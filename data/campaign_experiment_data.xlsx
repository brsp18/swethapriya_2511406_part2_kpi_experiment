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swe\Documents\"/>
    </mc:Choice>
  </mc:AlternateContent>
  <xr:revisionPtr revIDLastSave="0" documentId="8_{67578C38-65DB-4C36-9C09-D1E6C66FAE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eriment_data" sheetId="1" r:id="rId1"/>
    <sheet name="calculated_data" sheetId="3" r:id="rId2"/>
    <sheet name="business_context" sheetId="2" r:id="rId3"/>
  </sheets>
  <definedNames>
    <definedName name="_xlnm._FilterDatabase" localSheetId="0" hidden="1">experiment_data!$M$1:$M$1409</definedName>
  </definedNames>
  <calcPr calcId="191029"/>
  <pivotCaches>
    <pivotCache cacheId="1" r:id="rId4"/>
  </pivotCaches>
  <fileRecoveryPr repairLoad="1"/>
</workbook>
</file>

<file path=xl/calcChain.xml><?xml version="1.0" encoding="utf-8"?>
<calcChain xmlns="http://schemas.openxmlformats.org/spreadsheetml/2006/main">
  <c r="C10" i="2" l="1"/>
  <c r="C12" i="2"/>
  <c r="C11" i="2"/>
  <c r="C9" i="2"/>
  <c r="C8" i="2"/>
  <c r="C7" i="2"/>
  <c r="C6" i="2"/>
  <c r="L1411" i="1"/>
  <c r="AC692" i="1" l="1"/>
  <c r="AB692" i="1"/>
  <c r="AB2" i="1"/>
  <c r="B4" i="3"/>
  <c r="B6" i="3" s="1"/>
  <c r="B11" i="3"/>
  <c r="B5" i="3"/>
  <c r="B10" i="3"/>
  <c r="B12" i="3" s="1"/>
  <c r="B9" i="3"/>
  <c r="B3" i="3"/>
  <c r="B14" i="3" l="1"/>
</calcChain>
</file>

<file path=xl/sharedStrings.xml><?xml version="1.0" encoding="utf-8"?>
<sst xmlns="http://schemas.openxmlformats.org/spreadsheetml/2006/main" count="8527" uniqueCount="1492">
  <si>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</si>
  <si>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</si>
  <si>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</si>
  <si>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</si>
  <si>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</si>
  <si>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</si>
  <si>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</si>
  <si>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</si>
  <si>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</si>
  <si>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</si>
  <si>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</si>
  <si>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</si>
  <si>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</si>
  <si>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</si>
  <si>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</si>
  <si>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</si>
  <si>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</si>
  <si>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</si>
  <si>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</si>
  <si>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</si>
  <si>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</si>
  <si>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</si>
  <si>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</si>
  <si>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</si>
  <si>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</si>
  <si>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</si>
  <si>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</si>
  <si>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</si>
  <si>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</si>
  <si>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</si>
  <si>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</si>
  <si>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</si>
  <si>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</si>
  <si>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</si>
  <si>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</si>
  <si>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</si>
  <si>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</si>
  <si>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</si>
  <si>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</si>
  <si>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</si>
  <si>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</si>
  <si>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</si>
  <si>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</si>
  <si>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</si>
  <si>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</si>
  <si>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</si>
  <si>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</si>
  <si>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</si>
  <si>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</si>
  <si>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</si>
  <si>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</si>
  <si>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</si>
  <si>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</si>
  <si>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</si>
  <si>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</si>
  <si>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</si>
  <si>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</si>
  <si>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</si>
  <si>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</si>
  <si>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</si>
  <si>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</si>
  <si>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</si>
  <si>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</si>
  <si>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</si>
  <si>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</si>
  <si>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</si>
  <si>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</si>
  <si>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</si>
  <si>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</si>
  <si>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</si>
  <si>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</si>
  <si>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</si>
  <si>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</si>
  <si>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</si>
  <si>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</si>
  <si>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</si>
  <si>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</si>
  <si>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</si>
  <si>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</si>
  <si>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</si>
  <si>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</si>
  <si>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</si>
  <si>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</si>
  <si>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</si>
  <si>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</si>
  <si>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</si>
  <si>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</si>
  <si>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</si>
  <si>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</si>
  <si>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</si>
  <si>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</si>
  <si>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</si>
  <si>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</si>
  <si>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</si>
  <si>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</si>
  <si>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</si>
  <si>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</si>
  <si>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</si>
  <si>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</si>
  <si>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</si>
  <si>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</si>
  <si>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</si>
  <si>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</si>
  <si>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</si>
  <si>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</si>
  <si>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</si>
  <si>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</si>
  <si>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</si>
  <si>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</si>
  <si>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</si>
  <si>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</si>
  <si>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</si>
  <si>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</si>
  <si>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</si>
  <si>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</si>
  <si>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</si>
  <si>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</si>
  <si>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</si>
  <si>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</si>
  <si>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</si>
  <si>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</si>
  <si>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</si>
  <si>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</si>
  <si>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</si>
  <si>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</si>
  <si>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</si>
  <si>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</si>
  <si>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</si>
  <si>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</si>
  <si>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</si>
  <si>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</si>
  <si>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</si>
  <si>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</si>
  <si>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</si>
  <si>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</si>
  <si>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</si>
  <si>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</si>
  <si>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</si>
  <si>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</si>
  <si>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</si>
  <si>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</si>
  <si>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</si>
  <si>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</si>
  <si>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</si>
  <si>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</si>
  <si>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</si>
  <si>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</si>
  <si>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</si>
  <si>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</si>
  <si>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</si>
  <si>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</si>
  <si>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</si>
  <si>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</si>
  <si>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</si>
  <si>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</si>
  <si>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</si>
  <si>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</si>
  <si>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</si>
  <si>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</si>
  <si>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</si>
  <si>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</si>
  <si>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</si>
  <si>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</si>
  <si>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</si>
  <si>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</si>
  <si>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</si>
  <si>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</si>
  <si>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</si>
  <si>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</si>
  <si>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</si>
  <si>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</si>
  <si>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</si>
  <si>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</si>
  <si>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</si>
  <si>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</si>
  <si>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</si>
  <si>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</si>
  <si>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</si>
  <si>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</si>
  <si>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</si>
  <si>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</si>
  <si>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</si>
  <si>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</si>
  <si>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</si>
  <si>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</si>
  <si>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</si>
  <si>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</si>
  <si>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</si>
  <si>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</si>
  <si>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</si>
  <si>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</si>
  <si>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</si>
  <si>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</si>
  <si>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</si>
  <si>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</si>
  <si>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</si>
  <si>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</si>
  <si>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</si>
  <si>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</si>
  <si>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</si>
  <si>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</si>
  <si>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</si>
  <si>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</si>
  <si>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</si>
  <si>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</si>
  <si>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</si>
  <si>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</si>
  <si>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</si>
  <si>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</si>
  <si>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</si>
  <si>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</si>
  <si>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</si>
  <si>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</si>
  <si>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</si>
  <si>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</si>
  <si>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</si>
  <si>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</si>
  <si>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</si>
  <si>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</si>
  <si>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</si>
  <si>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</si>
  <si>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</si>
  <si>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</si>
  <si>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</si>
  <si>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</si>
  <si>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</si>
  <si>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</si>
  <si>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</si>
  <si>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</si>
  <si>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</si>
  <si>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</si>
  <si>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</si>
  <si>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</si>
  <si>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</si>
  <si>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</si>
  <si>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</si>
  <si>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</si>
  <si>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</si>
  <si>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</si>
  <si>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</si>
  <si>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</si>
  <si>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</si>
  <si>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</si>
  <si>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</si>
  <si>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</si>
  <si>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</si>
  <si>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</si>
  <si>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</si>
  <si>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</si>
  <si>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</si>
  <si>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</si>
  <si>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</si>
  <si>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</si>
  <si>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</si>
  <si>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</si>
  <si>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</si>
  <si>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</si>
  <si>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</si>
  <si>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</si>
  <si>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</si>
  <si>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</si>
  <si>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</si>
  <si>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</si>
  <si>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</si>
  <si>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</si>
  <si>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</si>
  <si>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</si>
  <si>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</si>
  <si>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</si>
  <si>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</si>
  <si>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</si>
  <si>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</si>
  <si>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</si>
  <si>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</si>
  <si>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</si>
  <si>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</si>
  <si>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</si>
  <si>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</si>
  <si>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</si>
  <si>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</si>
  <si>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</si>
  <si>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</si>
  <si>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</si>
  <si>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</si>
  <si>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</si>
  <si>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</si>
  <si>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</si>
  <si>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</si>
  <si>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</si>
  <si>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</si>
  <si>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</si>
  <si>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</si>
  <si>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</si>
  <si>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</si>
  <si>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</si>
  <si>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</si>
  <si>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</si>
  <si>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</si>
  <si>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</si>
  <si>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</si>
  <si>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</si>
  <si>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</si>
  <si>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</si>
  <si>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</si>
  <si>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</si>
  <si>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</si>
  <si>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</si>
  <si>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</si>
  <si>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</si>
  <si>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</si>
  <si>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</si>
  <si>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</si>
  <si>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</si>
  <si>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</si>
  <si>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</si>
  <si>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</si>
  <si>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</si>
  <si>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</si>
  <si>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</si>
  <si>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</si>
  <si>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</si>
  <si>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</si>
  <si>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</si>
  <si>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</si>
  <si>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</si>
  <si>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</si>
  <si>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</si>
  <si>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</si>
  <si>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</si>
  <si>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</si>
  <si>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</si>
  <si>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</si>
  <si>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</si>
  <si>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</si>
  <si>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</si>
  <si>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</si>
  <si>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</si>
  <si>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</si>
  <si>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</si>
  <si>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</si>
  <si>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</si>
  <si>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</si>
  <si>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</si>
  <si>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</si>
  <si>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</si>
  <si>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</si>
  <si>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</si>
  <si>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</si>
  <si>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</si>
  <si>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</si>
  <si>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</si>
  <si>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</si>
  <si>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</si>
  <si>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</si>
  <si>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</si>
  <si>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</si>
  <si>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</si>
  <si>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</si>
  <si>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</si>
  <si>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</si>
  <si>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</si>
  <si>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</si>
  <si>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</si>
  <si>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</si>
  <si>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</si>
  <si>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</si>
  <si>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</si>
  <si>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</si>
  <si>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</si>
  <si>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</si>
  <si>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</si>
  <si>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</si>
  <si>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</si>
  <si>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</si>
  <si>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</si>
  <si>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</si>
  <si>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</si>
  <si>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</si>
  <si>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</si>
  <si>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</si>
  <si>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</si>
  <si>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</si>
  <si>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</si>
  <si>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</si>
  <si>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</si>
  <si>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</si>
  <si>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</si>
  <si>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</si>
  <si>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</si>
  <si>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</si>
  <si>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</si>
  <si>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</si>
  <si>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</si>
  <si>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</si>
  <si>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</si>
  <si>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</si>
  <si>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</si>
  <si>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</si>
  <si>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</si>
  <si>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</si>
  <si>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</si>
  <si>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</si>
  <si>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</si>
  <si>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</si>
  <si>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</si>
  <si>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</si>
  <si>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</si>
  <si>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</si>
  <si>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</si>
  <si>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</si>
  <si>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</si>
  <si>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</si>
  <si>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</si>
  <si>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</si>
  <si>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</si>
  <si>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</si>
  <si>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</si>
  <si>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</si>
  <si>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</si>
  <si>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</si>
  <si>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</si>
  <si>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</si>
  <si>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</si>
  <si>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</si>
  <si>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</si>
  <si>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</si>
  <si>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</si>
  <si>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</si>
  <si>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</si>
  <si>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</si>
  <si>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</si>
  <si>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</si>
  <si>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</si>
  <si>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</si>
  <si>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</si>
  <si>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</si>
  <si>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</si>
  <si>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</si>
  <si>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</si>
  <si>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</si>
  <si>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</si>
  <si>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</si>
  <si>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</si>
  <si>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</si>
  <si>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</si>
  <si>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</si>
  <si>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</si>
  <si>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</si>
  <si>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</si>
  <si>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</si>
  <si>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</si>
  <si>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</si>
  <si>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</si>
  <si>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</si>
  <si>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</si>
  <si>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</si>
  <si>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</si>
  <si>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</si>
  <si>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</si>
  <si>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</si>
  <si>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</si>
  <si>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</si>
  <si>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</si>
  <si>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</si>
  <si>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</si>
  <si>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</si>
  <si>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</si>
  <si>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</si>
  <si>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</si>
  <si>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</si>
  <si>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</si>
  <si>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</si>
  <si>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</si>
  <si>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</si>
  <si>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</si>
  <si>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</si>
  <si>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</si>
  <si>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</si>
  <si>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</si>
  <si>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</si>
  <si>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</si>
  <si>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</si>
  <si>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</si>
  <si>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</si>
  <si>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</si>
  <si>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</si>
  <si>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</si>
  <si>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</si>
  <si>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</si>
  <si>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</si>
  <si>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</si>
  <si>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</si>
  <si>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</si>
  <si>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</si>
  <si>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</si>
  <si>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</si>
  <si>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</si>
  <si>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</si>
  <si>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</si>
  <si>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</si>
  <si>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</si>
  <si>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</si>
  <si>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</si>
  <si>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</si>
  <si>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</si>
  <si>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</si>
  <si>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</si>
  <si>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</si>
  <si>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</si>
  <si>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</si>
  <si>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</si>
  <si>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</si>
  <si>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</si>
  <si>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</si>
  <si>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</si>
  <si>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</si>
  <si>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</si>
  <si>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</si>
  <si>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</si>
  <si>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</si>
  <si>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</si>
  <si>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</si>
  <si>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</si>
  <si>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</si>
  <si>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</si>
  <si>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</si>
  <si>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</si>
  <si>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</si>
  <si>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</si>
  <si>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</si>
  <si>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</si>
  <si>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</si>
  <si>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</si>
  <si>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</si>
  <si>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</si>
  <si>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</si>
  <si>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</si>
  <si>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</si>
  <si>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</si>
  <si>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</si>
  <si>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</si>
  <si>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</si>
  <si>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</si>
  <si>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</si>
  <si>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</si>
  <si>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</si>
  <si>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</si>
  <si>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</si>
  <si>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</si>
  <si>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</si>
  <si>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</si>
  <si>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</si>
  <si>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</si>
  <si>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</si>
  <si>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</si>
  <si>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</si>
  <si>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</si>
  <si>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</si>
  <si>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</si>
  <si>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</si>
  <si>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</si>
  <si>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</si>
  <si>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</si>
  <si>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</si>
  <si>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</si>
  <si>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</si>
  <si>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</si>
  <si>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</si>
  <si>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</si>
  <si>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</si>
  <si>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</si>
  <si>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</si>
  <si>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</si>
  <si>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</si>
  <si>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</si>
  <si>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</si>
  <si>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</si>
  <si>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</si>
  <si>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</si>
  <si>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</si>
  <si>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</si>
  <si>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</si>
  <si>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</si>
  <si>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</si>
  <si>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</si>
  <si>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</si>
  <si>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</si>
  <si>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</si>
  <si>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</si>
  <si>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</si>
  <si>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</si>
  <si>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</si>
  <si>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</si>
  <si>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</si>
  <si>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</si>
  <si>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</si>
  <si>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</si>
  <si>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</si>
  <si>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</si>
  <si>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</si>
  <si>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</si>
  <si>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</si>
  <si>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</si>
  <si>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</si>
  <si>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</si>
  <si>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</si>
  <si>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</si>
  <si>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</si>
  <si>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</si>
  <si>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</si>
  <si>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</si>
  <si>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</si>
  <si>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</si>
  <si>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</si>
  <si>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</si>
  <si>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</si>
  <si>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</si>
  <si>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</si>
  <si>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</si>
  <si>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</si>
  <si>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</si>
  <si>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</si>
  <si>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</si>
  <si>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</si>
  <si>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</si>
  <si>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</si>
  <si>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</si>
  <si>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</si>
  <si>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</si>
  <si>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</si>
  <si>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</si>
  <si>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</si>
  <si>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</si>
  <si>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</si>
  <si>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</si>
  <si>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</si>
  <si>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</si>
  <si>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</si>
  <si>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</si>
  <si>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</si>
  <si>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</si>
  <si>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</si>
  <si>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</si>
  <si>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</si>
  <si>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</si>
  <si>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</si>
  <si>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</si>
  <si>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</si>
  <si>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</si>
  <si>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</si>
  <si>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</si>
  <si>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</si>
  <si>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</si>
  <si>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</si>
  <si>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</si>
  <si>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</si>
  <si>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</si>
  <si>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</si>
  <si>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</si>
  <si>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</si>
  <si>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</si>
  <si>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</si>
  <si>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</si>
  <si>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</si>
  <si>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</si>
  <si>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</si>
  <si>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</si>
  <si>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</si>
  <si>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</si>
  <si>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</si>
  <si>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</si>
  <si>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</si>
  <si>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</si>
  <si>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</si>
  <si>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</si>
  <si>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</si>
  <si>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</si>
  <si>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</si>
  <si>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</si>
  <si>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</si>
  <si>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</si>
  <si>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</si>
  <si>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</si>
  <si>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</si>
  <si>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</si>
  <si>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</si>
  <si>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</si>
  <si>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</si>
  <si>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</si>
  <si>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</si>
  <si>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</si>
  <si>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</si>
  <si>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</si>
  <si>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</si>
  <si>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</si>
  <si>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</si>
  <si>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</si>
  <si>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</si>
  <si>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</si>
  <si>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</si>
  <si>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</si>
  <si>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</si>
  <si>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</si>
  <si>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</si>
  <si>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</si>
  <si>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</si>
  <si>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</si>
  <si>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</si>
  <si>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</si>
  <si>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</si>
  <si>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</si>
  <si>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</si>
  <si>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</si>
  <si>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</si>
  <si>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</si>
  <si>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</si>
  <si>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</si>
  <si>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</si>
  <si>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</si>
  <si>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</si>
  <si>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</si>
  <si>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</si>
  <si>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</si>
  <si>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</si>
  <si>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</si>
  <si>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</si>
  <si>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</si>
  <si>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</si>
  <si>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</si>
  <si>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</si>
  <si>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</si>
  <si>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</si>
  <si>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</si>
  <si>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</si>
  <si>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</si>
  <si>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</si>
  <si>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</si>
  <si>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</si>
  <si>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</si>
  <si>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</si>
  <si>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</si>
  <si>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</si>
  <si>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</si>
  <si>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</si>
  <si>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</si>
  <si>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</si>
  <si>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</si>
  <si>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</si>
  <si>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</si>
  <si>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</si>
  <si>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</si>
  <si>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</si>
  <si>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</si>
  <si>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</si>
  <si>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</si>
  <si>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</si>
  <si>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</si>
  <si>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</si>
  <si>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</si>
  <si>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</si>
  <si>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</si>
  <si>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</si>
  <si>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</si>
  <si>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</si>
  <si>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</si>
  <si>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</si>
  <si>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</si>
  <si>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</si>
  <si>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</si>
  <si>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</si>
  <si>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</si>
  <si>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</si>
  <si>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</si>
  <si>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</si>
  <si>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</si>
  <si>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</si>
  <si>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</si>
  <si>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</si>
  <si>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</si>
  <si>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</si>
  <si>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</si>
  <si>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</si>
  <si>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</si>
  <si>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</si>
  <si>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</si>
  <si>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</si>
  <si>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</si>
  <si>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</si>
  <si>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</si>
  <si>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</si>
  <si>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</si>
  <si>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</si>
  <si>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</si>
  <si>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</si>
  <si>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</si>
  <si>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</si>
  <si>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</si>
  <si>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</si>
  <si>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</si>
  <si>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</si>
  <si>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</si>
  <si>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</si>
  <si>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</si>
  <si>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</si>
  <si>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</si>
  <si>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</si>
  <si>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</si>
  <si>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</si>
  <si>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</si>
  <si>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</si>
  <si>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</si>
  <si>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</si>
  <si>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</si>
  <si>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</si>
  <si>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</si>
  <si>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</si>
  <si>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</si>
  <si>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</si>
  <si>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</si>
  <si>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</si>
  <si>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</si>
  <si>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</si>
  <si>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</si>
  <si>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</si>
  <si>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</si>
  <si>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</si>
  <si>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</si>
  <si>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</si>
  <si>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</si>
  <si>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</si>
  <si>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</si>
  <si>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</si>
  <si>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</si>
  <si>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</si>
  <si>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</si>
  <si>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</si>
  <si>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</si>
  <si>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</si>
  <si>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</si>
  <si>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</si>
  <si>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</si>
  <si>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</si>
  <si>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</si>
  <si>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</si>
  <si>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</si>
  <si>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</si>
  <si>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</si>
  <si>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</si>
  <si>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</si>
  <si>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</si>
  <si>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</si>
  <si>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</si>
  <si>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</si>
  <si>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</si>
  <si>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</si>
  <si>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</si>
  <si>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</si>
  <si>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</si>
  <si>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</si>
  <si>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</si>
  <si>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</si>
  <si>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</si>
  <si>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</si>
  <si>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</si>
  <si>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</si>
  <si>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</si>
  <si>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</si>
  <si>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</si>
  <si>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</si>
  <si>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</si>
  <si>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</si>
  <si>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</si>
  <si>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</si>
  <si>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</si>
  <si>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</si>
  <si>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</si>
  <si>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</si>
  <si>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</si>
  <si>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</si>
  <si>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</si>
  <si>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</si>
  <si>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</si>
  <si>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</si>
  <si>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</si>
  <si>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</si>
  <si>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</si>
  <si>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</si>
  <si>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</si>
  <si>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</si>
  <si>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</si>
  <si>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</si>
  <si>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</si>
  <si>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</si>
  <si>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</si>
  <si>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</si>
  <si>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</si>
  <si>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</si>
  <si>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</si>
  <si>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</si>
  <si>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</si>
  <si>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</si>
  <si>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</si>
  <si>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</si>
  <si>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</si>
  <si>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</si>
  <si>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</si>
  <si>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</si>
  <si>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</si>
  <si>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</si>
  <si>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</si>
  <si>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</si>
  <si>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</si>
  <si>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</si>
  <si>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</si>
  <si>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</si>
  <si>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</si>
  <si>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</si>
  <si>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</si>
  <si>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</si>
  <si>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</si>
  <si>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</si>
  <si>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</si>
  <si>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</si>
  <si>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</si>
  <si>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</si>
  <si>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</si>
  <si>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</si>
  <si>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</si>
  <si>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</si>
  <si>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</si>
  <si>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</si>
  <si>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</si>
  <si>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</si>
  <si>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</si>
  <si>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</si>
  <si>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</si>
  <si>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</si>
  <si>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</si>
  <si>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</si>
  <si>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</si>
  <si>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</si>
  <si>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</si>
  <si>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</si>
  <si>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</si>
  <si>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</si>
  <si>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</si>
  <si>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</si>
  <si>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</si>
  <si>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</si>
  <si>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</si>
  <si>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</si>
  <si>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</si>
  <si>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</si>
  <si>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</si>
  <si>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</si>
  <si>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</si>
  <si>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</si>
  <si>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</si>
  <si>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</si>
  <si>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</si>
  <si>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</si>
  <si>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</si>
  <si>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</si>
  <si>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</si>
  <si>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</si>
  <si>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</si>
  <si>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</si>
  <si>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</si>
  <si>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</si>
  <si>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</si>
  <si>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</si>
  <si>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</si>
  <si>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</si>
  <si>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</si>
  <si>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</si>
  <si>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</si>
  <si>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</si>
  <si>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</si>
  <si>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</si>
  <si>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</si>
  <si>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</si>
  <si>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</si>
  <si>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</si>
  <si>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</si>
  <si>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</si>
  <si>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</si>
  <si>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</si>
  <si>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</si>
  <si>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</si>
  <si>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</si>
  <si>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</si>
  <si>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</si>
  <si>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</si>
  <si>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</si>
  <si>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</si>
  <si>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</si>
  <si>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</si>
  <si>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</si>
  <si>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</si>
  <si>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</si>
  <si>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</si>
  <si>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</si>
  <si>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</si>
  <si>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</si>
  <si>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</si>
  <si>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</si>
  <si>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</si>
  <si>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</si>
  <si>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</si>
  <si>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</si>
  <si>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</si>
  <si>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</si>
  <si>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</si>
  <si>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</si>
  <si>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</si>
  <si>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</si>
  <si>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</si>
  <si>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</si>
  <si>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</si>
  <si>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</si>
  <si>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</si>
  <si>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</si>
  <si>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</si>
  <si>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</si>
  <si>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</si>
  <si>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</si>
  <si>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</si>
  <si>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</si>
  <si>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</si>
  <si>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</si>
  <si>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</si>
  <si>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</si>
  <si>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</si>
  <si>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</si>
  <si>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</si>
  <si>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</si>
  <si>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</si>
  <si>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</si>
  <si>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</si>
  <si>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</si>
  <si>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</si>
  <si>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</si>
  <si>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</si>
  <si>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</si>
  <si>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</si>
  <si>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</si>
  <si>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</si>
  <si>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</si>
  <si>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</si>
  <si>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</si>
  <si>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</si>
  <si>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</si>
  <si>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</si>
  <si>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</si>
  <si>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</si>
  <si>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</si>
  <si>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</si>
  <si>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</si>
  <si>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</si>
  <si>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</si>
  <si>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</si>
  <si>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</si>
  <si>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</si>
  <si>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</si>
  <si>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</si>
  <si>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</si>
  <si>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</si>
  <si>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</si>
  <si>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</si>
  <si>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</si>
  <si>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</si>
  <si>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</si>
  <si>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</si>
  <si>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</si>
  <si>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</si>
  <si>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</si>
  <si>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</si>
  <si>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</si>
  <si>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</si>
  <si>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</si>
  <si>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</si>
  <si>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</si>
  <si>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</si>
  <si>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</si>
  <si>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</si>
  <si>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</si>
  <si>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</si>
  <si>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</si>
  <si>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</si>
  <si>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</si>
  <si>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</si>
  <si>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</si>
  <si>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</si>
  <si>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</si>
  <si>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</si>
  <si>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</si>
  <si>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</si>
  <si>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</si>
  <si>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</si>
  <si>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</si>
  <si>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</si>
  <si>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</si>
  <si>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</si>
  <si>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</si>
  <si>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</si>
  <si>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</si>
  <si>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</si>
  <si>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</si>
  <si>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</si>
  <si>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</si>
  <si>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</si>
  <si>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</si>
  <si>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</si>
  <si>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</si>
  <si>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</si>
  <si>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</si>
  <si>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</si>
  <si>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</si>
  <si>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</si>
  <si>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</si>
  <si>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</si>
  <si>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</si>
  <si>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</si>
  <si>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</si>
  <si>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</si>
  <si>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</si>
  <si>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</si>
  <si>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</si>
  <si>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</si>
  <si>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</si>
  <si>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</si>
  <si>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</si>
  <si>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</si>
  <si>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</si>
  <si>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</si>
  <si>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</si>
  <si>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</si>
  <si>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</si>
  <si>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</si>
  <si>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</si>
  <si>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</si>
  <si>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</si>
  <si>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</si>
  <si>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</si>
  <si>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</si>
  <si>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</si>
  <si>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</si>
  <si>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</si>
  <si>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</si>
  <si>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</si>
  <si>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</si>
  <si>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</si>
  <si>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</si>
  <si>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</si>
  <si>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</si>
  <si>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</si>
  <si>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</si>
  <si>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</si>
  <si>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</si>
  <si>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</si>
  <si>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</si>
  <si>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</si>
  <si>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</si>
  <si>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</si>
  <si>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</si>
  <si>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</si>
  <si>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</si>
  <si>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</si>
  <si>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</si>
  <si>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</si>
  <si>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</si>
  <si>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</si>
  <si>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</si>
  <si>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</si>
  <si>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</si>
  <si>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</si>
  <si>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</si>
  <si>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</si>
  <si>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</si>
  <si>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</si>
  <si>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</si>
  <si>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</si>
  <si>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</si>
  <si>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</si>
  <si>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</si>
  <si>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</si>
  <si>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</si>
  <si>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</si>
  <si>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</si>
  <si>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</si>
  <si>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</si>
  <si>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</si>
  <si>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</si>
  <si>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</si>
  <si>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</si>
  <si>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</si>
  <si>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</si>
  <si>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</si>
  <si>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</si>
  <si>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</si>
  <si>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</si>
  <si>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</si>
  <si>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</si>
  <si>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</si>
  <si>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</si>
  <si>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</si>
  <si>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</si>
  <si>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</si>
  <si>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</si>
  <si>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</si>
  <si>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</si>
  <si>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</si>
  <si>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</si>
  <si>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</si>
  <si>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</si>
  <si>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</si>
  <si>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</si>
  <si>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</si>
  <si>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</si>
  <si>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</si>
  <si>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</si>
  <si>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</si>
  <si>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</si>
  <si>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</si>
  <si>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</si>
  <si>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</si>
  <si>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</si>
  <si>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</si>
  <si>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</si>
  <si>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</si>
  <si>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</si>
  <si>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</si>
  <si>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</si>
  <si>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</si>
  <si>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</si>
  <si>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</si>
  <si>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</si>
  <si>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</si>
  <si>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</si>
  <si>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</si>
  <si>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</si>
  <si>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</si>
  <si>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</si>
  <si>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</si>
  <si>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</si>
  <si>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</si>
  <si>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</si>
  <si>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</si>
  <si>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</si>
  <si>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</si>
  <si>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</si>
  <si>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</si>
  <si>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</si>
  <si>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</si>
  <si>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</si>
  <si>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</si>
  <si>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</si>
  <si>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</si>
  <si>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</si>
  <si>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</si>
  <si>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</si>
  <si>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</si>
  <si>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</si>
  <si>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</si>
  <si>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</si>
  <si>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</si>
  <si>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</si>
  <si>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</si>
  <si>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</si>
  <si>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</si>
  <si>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</si>
  <si>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</si>
  <si>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</si>
  <si>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</si>
  <si>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</si>
  <si>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</si>
  <si>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</si>
  <si>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</si>
  <si>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</si>
  <si>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</si>
  <si>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</si>
  <si>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</si>
  <si>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</si>
  <si>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</si>
  <si>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</si>
  <si>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</si>
  <si>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</si>
  <si>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</si>
  <si>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</si>
  <si>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</si>
  <si>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</si>
  <si>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</si>
  <si>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</si>
  <si>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</si>
  <si>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</si>
  <si>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</si>
  <si>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</si>
  <si>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</si>
  <si>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</si>
  <si>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</si>
  <si>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</si>
  <si>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</si>
  <si>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</si>
  <si>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</si>
  <si>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</si>
  <si>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</si>
  <si>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</si>
  <si>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</si>
  <si>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</si>
  <si>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</si>
  <si>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</si>
  <si>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</si>
  <si>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</si>
  <si>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</si>
  <si>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</si>
  <si>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</si>
  <si>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</si>
  <si>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</si>
  <si>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</si>
  <si>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</si>
  <si>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</si>
  <si>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</si>
  <si>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</si>
  <si>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</si>
  <si>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</si>
  <si>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</si>
  <si>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</si>
  <si>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</si>
  <si>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</si>
  <si>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</si>
  <si>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</si>
  <si>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</si>
  <si>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</si>
  <si>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</si>
  <si>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</si>
  <si>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</si>
  <si>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</si>
  <si>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</si>
  <si>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</si>
  <si>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</si>
  <si>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</si>
  <si>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</si>
  <si>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</si>
  <si>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</si>
  <si>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</si>
  <si>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</si>
  <si>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</si>
  <si>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</si>
  <si>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</si>
  <si>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</si>
  <si>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</si>
  <si>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</si>
  <si>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</si>
  <si>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</si>
  <si>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</si>
  <si>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</si>
  <si>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</si>
  <si>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</si>
  <si>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</si>
  <si>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</si>
  <si>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</si>
  <si>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</si>
  <si>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</si>
  <si>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</si>
  <si>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</si>
  <si>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</si>
  <si>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</si>
  <si>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</si>
  <si>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</si>
  <si>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</si>
  <si>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</si>
  <si>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</si>
  <si>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</si>
  <si>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</si>
  <si>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</si>
  <si>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</si>
  <si>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</si>
  <si>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</si>
  <si>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</si>
  <si>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</si>
  <si>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</si>
  <si>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</si>
  <si>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</si>
  <si>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</si>
  <si>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</si>
  <si>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</si>
  <si>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</si>
  <si>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</si>
  <si>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</si>
  <si>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</si>
  <si>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</si>
  <si>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</si>
  <si>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</si>
  <si>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</si>
  <si>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</si>
  <si>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</si>
  <si>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</si>
  <si>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</si>
  <si>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</si>
  <si>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</si>
  <si>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</si>
  <si>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</si>
  <si>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</si>
  <si>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</si>
  <si>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</si>
  <si>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</si>
  <si>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</si>
  <si>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</si>
  <si>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</si>
  <si>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</si>
  <si>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</si>
  <si>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</si>
  <si>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</si>
  <si>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</si>
  <si>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</si>
  <si>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</si>
  <si>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</si>
  <si>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</si>
  <si>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</si>
  <si>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</si>
  <si>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</si>
  <si>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</si>
  <si>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</si>
  <si>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</si>
  <si>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</si>
  <si>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</si>
  <si>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</si>
  <si>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</si>
  <si>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</si>
  <si>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</si>
  <si>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</si>
  <si>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</si>
  <si>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</si>
  <si>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</si>
  <si>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</si>
  <si>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</si>
  <si>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</si>
  <si>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</si>
  <si>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</si>
  <si>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</si>
  <si>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</si>
  <si>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</si>
  <si>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</si>
  <si>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</si>
  <si>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</si>
  <si>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</si>
  <si>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</si>
  <si>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</si>
  <si>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</si>
  <si>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</si>
  <si>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</si>
  <si>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 xml:space="preserve">Total Users: </t>
  </si>
  <si>
    <t>TREATMENT GROUP:</t>
  </si>
  <si>
    <t>CONTROL GROUP:</t>
  </si>
  <si>
    <t>Total Users:</t>
  </si>
  <si>
    <t>Conversions:</t>
  </si>
  <si>
    <t>Avg Revenue"</t>
  </si>
  <si>
    <t>Avg Revenue:</t>
  </si>
  <si>
    <t>Control Conversion Rate</t>
  </si>
  <si>
    <t>Treatment Conversion rate</t>
  </si>
  <si>
    <t>Lift:</t>
  </si>
  <si>
    <t>Row Labels</t>
  </si>
  <si>
    <t>Grand Total</t>
  </si>
  <si>
    <t>Average of visited_landing_page</t>
  </si>
  <si>
    <t>Average of started_trial</t>
  </si>
  <si>
    <t>Average of completed_onboarding</t>
  </si>
  <si>
    <t>Average of converted_to_paid</t>
  </si>
  <si>
    <t>VALUES</t>
  </si>
  <si>
    <t>Treatment_converted</t>
  </si>
  <si>
    <t>Control_converted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</si>
  <si>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</si>
  <si>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</si>
  <si>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</si>
  <si>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</si>
  <si>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</si>
  <si>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</si>
  <si>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</si>
  <si>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</si>
  <si>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</si>
  <si>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</si>
  <si>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Treatment_visited_landing_page</t>
  </si>
  <si>
    <t>Control-visited_landing_page</t>
  </si>
  <si>
    <t>Control-started_trial</t>
  </si>
  <si>
    <t>Treatment-started_trial</t>
  </si>
  <si>
    <t>Treatment-completed_onboarding</t>
  </si>
  <si>
    <t>Control-completed_onboarding</t>
  </si>
  <si>
    <t>Treatment-visited_landing_page</t>
  </si>
  <si>
    <t>Landing Page Visit: Both are way below 0.05 — so highly significant.</t>
  </si>
  <si>
    <t>extremely significant</t>
  </si>
  <si>
    <t>Control-Support Tickets</t>
  </si>
  <si>
    <t>Treatment-Support_tickets</t>
  </si>
  <si>
    <r>
      <rPr>
        <b/>
        <sz val="11"/>
        <rFont val="Carlito"/>
      </rPr>
      <t>Support Tickets:</t>
    </r>
    <r>
      <rPr>
        <sz val="11"/>
        <rFont val="Carlito"/>
      </rPr>
      <t xml:space="preserve"> Support tickets increased by 70% in the treatment group (p &lt; 0.0001). This is statistically significant and must be investigated before full launch.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</si>
</sst>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0"/>
      <name val="Carlito"/>
    </font>
    <font>
      <i/>
      <sz val="11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0" fontId="3" fillId="0" borderId="0" xfId="0" applyFont="1"/>
    <xf numFmtId="0" fontId="0" fillId="0" borderId="4" xfId="0" applyBorder="1"/>
    <xf numFmtId="10" fontId="0" fillId="0" borderId="5" xfId="0" applyNumberFormat="1" applyBorder="1"/>
    <xf numFmtId="10" fontId="0" fillId="0" borderId="1" xfId="0" applyNumberFormat="1" applyBorder="1"/>
    <xf numFmtId="10" fontId="0" fillId="0" borderId="7" xfId="0" applyNumberFormat="1" applyBorder="1"/>
    <xf numFmtId="10" fontId="0" fillId="0" borderId="9" xfId="0" applyNumberFormat="1" applyBorder="1"/>
    <xf numFmtId="10" fontId="0" fillId="0" borderId="10" xfId="0" applyNumberFormat="1" applyBorder="1"/>
    <xf numFmtId="0" fontId="3" fillId="3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3" borderId="6" xfId="0" applyFont="1" applyFill="1" applyBorder="1"/>
    <xf numFmtId="44" fontId="0" fillId="0" borderId="7" xfId="1" applyFont="1" applyBorder="1"/>
    <xf numFmtId="10" fontId="0" fillId="0" borderId="7" xfId="1" applyNumberFormat="1" applyFont="1" applyBorder="1"/>
    <xf numFmtId="0" fontId="3" fillId="3" borderId="8" xfId="0" applyFont="1" applyFill="1" applyBorder="1"/>
    <xf numFmtId="10" fontId="0" fillId="0" borderId="8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6" xfId="0" applyNumberFormat="1" applyBorder="1"/>
    <xf numFmtId="0" fontId="0" fillId="0" borderId="2" xfId="0" pivotButton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3" borderId="5" xfId="0" applyFont="1" applyFill="1" applyBorder="1"/>
    <xf numFmtId="0" fontId="3" fillId="3" borderId="7" xfId="0" applyFont="1" applyFill="1" applyBorder="1"/>
    <xf numFmtId="10" fontId="3" fillId="3" borderId="10" xfId="0" applyNumberFormat="1" applyFont="1" applyFill="1" applyBorder="1"/>
    <xf numFmtId="0" fontId="3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0" fillId="0" borderId="9" xfId="0" applyBorder="1"/>
    <xf numFmtId="0" fontId="4" fillId="0" borderId="16" xfId="0" applyFont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0" fontId="4" fillId="7" borderId="16" xfId="0" applyFont="1" applyFill="1" applyBorder="1" applyAlignment="1">
      <alignment horizontal="center"/>
    </xf>
    <xf numFmtId="0" fontId="0" fillId="8" borderId="0" xfId="0" applyFill="1"/>
    <xf numFmtId="0" fontId="5" fillId="0" borderId="0" xfId="0" applyFont="1"/>
    <xf numFmtId="0" fontId="5" fillId="7" borderId="0" xfId="0" applyFont="1" applyFill="1"/>
    <xf numFmtId="0" fontId="0" fillId="8" borderId="9" xfId="0" applyFill="1" applyBorder="1" applyAlignment="1">
      <alignment horizontal="left" vertical="top" wrapText="1"/>
    </xf>
    <xf numFmtId="44" fontId="0" fillId="0" borderId="0" xfId="1" applyFont="1"/>
  </cellXfs>
  <cellStyles count="2">
    <cellStyle name="Currency" xfId="1" builtinId="4"/>
    <cellStyle name="Normal" xfId="0" builtinId="0"/>
  </cellStyles>
  <dxfs count="6"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Brahmanlapalli" refreshedDate="46196.899537962963" createdVersion="8" refreshedVersion="8" minRefreshableVersion="3" recordCount="1409" xr:uid="{7A0BDF77-AE6D-4AD3-B5A2-BF90BEE4D136}">
  <cacheSource type="worksheet">
    <worksheetSource ref="A1:P1048576" sheet="experiment_data"/>
  </cacheSource>
  <cacheFields count="16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 count="3">
        <n v="0"/>
        <n v="1"/>
        <m/>
      </sharedItems>
    </cacheField>
    <cacheField name="started_trial" numFmtId="0">
      <sharedItems containsString="0" containsBlank="1" containsNumber="1" containsInteger="1" minValue="0" maxValue="1" count="3">
        <n v="0"/>
        <n v="1"/>
        <m/>
      </sharedItems>
    </cacheField>
    <cacheField name="completed_onboarding" numFmtId="0">
      <sharedItems containsString="0" containsBlank="1" containsNumber="1" containsInteger="1" minValue="0" maxValue="1" count="3">
        <n v="0"/>
        <n v="1"/>
        <m/>
      </sharedItems>
    </cacheField>
    <cacheField name="converted_to_paid" numFmtId="0">
      <sharedItems containsString="0" containsBlank="1" containsNumber="1" containsInteger="1" minValue="0" maxValue="1" count="3">
        <n v="0"/>
        <n v="1"/>
        <m/>
      </sharedItems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s v="USR-100001"/>
    <d v="2025-03-16T00:00:00"/>
    <x v="0"/>
    <s v="North"/>
    <s v="Desktop"/>
    <s v="Email"/>
    <s v="Basic"/>
    <x v="0"/>
    <x v="0"/>
    <x v="0"/>
    <x v="0"/>
    <n v="0"/>
    <n v="0"/>
    <n v="0"/>
    <m/>
    <n v="45.7"/>
  </r>
  <r>
    <s v="USR-100002"/>
    <d v="2025-03-08T00:00:00"/>
    <x v="0"/>
    <s v="West"/>
    <s v="Mobile"/>
    <s v="Organic"/>
    <s v="Free"/>
    <x v="1"/>
    <x v="0"/>
    <x v="0"/>
    <x v="0"/>
    <n v="0"/>
    <n v="0"/>
    <n v="0"/>
    <m/>
    <n v="48.6"/>
  </r>
  <r>
    <s v="USR-100003"/>
    <d v="2025-04-24T00:00:00"/>
    <x v="0"/>
    <s v="East"/>
    <s v="Mobile"/>
    <s v="Paid Search"/>
    <s v="Premium"/>
    <x v="1"/>
    <x v="0"/>
    <x v="0"/>
    <x v="0"/>
    <n v="0"/>
    <n v="1"/>
    <n v="0"/>
    <m/>
    <n v="35.4"/>
  </r>
  <r>
    <s v="USR-100004"/>
    <d v="2025-05-04T00:00:00"/>
    <x v="0"/>
    <s v="South"/>
    <s v="Mobile"/>
    <s v="Email"/>
    <s v="Basic"/>
    <x v="1"/>
    <x v="0"/>
    <x v="0"/>
    <x v="0"/>
    <n v="0"/>
    <n v="0"/>
    <n v="0"/>
    <m/>
    <n v="64.599999999999994"/>
  </r>
  <r>
    <s v="USR-100005"/>
    <d v="2025-02-12T00:00:00"/>
    <x v="0"/>
    <s v="North"/>
    <s v="Tablet"/>
    <s v="Organic"/>
    <s v="Free"/>
    <x v="0"/>
    <x v="0"/>
    <x v="0"/>
    <x v="0"/>
    <n v="0"/>
    <n v="0"/>
    <n v="0"/>
    <m/>
    <n v="66.599999999999994"/>
  </r>
  <r>
    <s v="USR-100006"/>
    <d v="2025-01-28T00:00:00"/>
    <x v="0"/>
    <s v="East"/>
    <s v="Mobile"/>
    <s v="Organic"/>
    <s v="Premium"/>
    <x v="1"/>
    <x v="0"/>
    <x v="0"/>
    <x v="0"/>
    <n v="0"/>
    <n v="0"/>
    <n v="0"/>
    <m/>
    <n v="40.799999999999997"/>
  </r>
  <r>
    <s v="USR-100007"/>
    <d v="2025-04-08T00:00:00"/>
    <x v="0"/>
    <s v="East"/>
    <s v="Mobile"/>
    <s v="Paid Search"/>
    <s v="Basic"/>
    <x v="1"/>
    <x v="1"/>
    <x v="0"/>
    <x v="0"/>
    <n v="0"/>
    <n v="0"/>
    <n v="0"/>
    <m/>
    <n v="57.1"/>
  </r>
  <r>
    <s v="USR-100008"/>
    <d v="2025-05-17T00:00:00"/>
    <x v="0"/>
    <s v="South"/>
    <s v="Mobile"/>
    <s v="Paid Search"/>
    <s v="Free"/>
    <x v="0"/>
    <x v="0"/>
    <x v="0"/>
    <x v="0"/>
    <n v="0"/>
    <n v="0"/>
    <n v="0"/>
    <m/>
    <n v="36.4"/>
  </r>
  <r>
    <s v="USR-100009"/>
    <d v="2025-02-23T00:00:00"/>
    <x v="0"/>
    <s v="South"/>
    <s v="Tablet"/>
    <s v="Referral"/>
    <s v="Basic"/>
    <x v="0"/>
    <x v="0"/>
    <x v="0"/>
    <x v="0"/>
    <n v="0"/>
    <n v="0"/>
    <n v="0"/>
    <m/>
    <n v="55.4"/>
  </r>
  <r>
    <s v="USR-100010"/>
    <d v="2025-05-29T00:00:00"/>
    <x v="0"/>
    <s v="West"/>
    <s v="Desktop"/>
    <s v="Social"/>
    <s v="Free"/>
    <x v="1"/>
    <x v="0"/>
    <x v="0"/>
    <x v="0"/>
    <n v="0"/>
    <n v="0"/>
    <n v="0"/>
    <m/>
    <n v="57.3"/>
  </r>
  <r>
    <s v="USR-100011"/>
    <d v="2025-04-30T00:00:00"/>
    <x v="0"/>
    <s v="East"/>
    <s v="Mobile"/>
    <s v="Paid Search"/>
    <s v="Basic"/>
    <x v="1"/>
    <x v="1"/>
    <x v="1"/>
    <x v="0"/>
    <n v="0"/>
    <n v="0"/>
    <n v="0"/>
    <m/>
    <n v="63.6"/>
  </r>
  <r>
    <s v="USR-100012"/>
    <d v="2025-03-16T00:00:00"/>
    <x v="0"/>
    <s v="East"/>
    <s v="Mobile"/>
    <s v="Social"/>
    <s v="Premium"/>
    <x v="1"/>
    <x v="1"/>
    <x v="1"/>
    <x v="0"/>
    <n v="0"/>
    <n v="1"/>
    <n v="0"/>
    <m/>
    <n v="80.400000000000006"/>
  </r>
  <r>
    <s v="USR-100013"/>
    <d v="2025-02-07T00:00:00"/>
    <x v="0"/>
    <s v="South"/>
    <s v="Desktop"/>
    <s v="Email"/>
    <s v="Basic"/>
    <x v="1"/>
    <x v="0"/>
    <x v="0"/>
    <x v="0"/>
    <n v="0"/>
    <n v="0"/>
    <n v="0"/>
    <m/>
    <n v="62.4"/>
  </r>
  <r>
    <s v="USR-100014"/>
    <d v="2025-03-02T00:00:00"/>
    <x v="0"/>
    <s v="West"/>
    <s v="Mobile"/>
    <s v="Social"/>
    <s v="Basic"/>
    <x v="1"/>
    <x v="0"/>
    <x v="0"/>
    <x v="0"/>
    <n v="0"/>
    <n v="0"/>
    <n v="0"/>
    <m/>
    <n v="82.4"/>
  </r>
  <r>
    <s v="USR-100015"/>
    <d v="2025-05-30T00:00:00"/>
    <x v="0"/>
    <s v="South"/>
    <s v="Mobile"/>
    <s v="Organic"/>
    <s v="Basic"/>
    <x v="0"/>
    <x v="0"/>
    <x v="0"/>
    <x v="0"/>
    <n v="0"/>
    <n v="0"/>
    <n v="0"/>
    <m/>
    <n v="61.2"/>
  </r>
  <r>
    <s v="USR-100016"/>
    <d v="2025-03-25T00:00:00"/>
    <x v="0"/>
    <s v="South"/>
    <s v="Mobile"/>
    <s v="Social"/>
    <s v="Basic"/>
    <x v="1"/>
    <x v="0"/>
    <x v="0"/>
    <x v="0"/>
    <n v="0"/>
    <n v="0"/>
    <n v="0"/>
    <m/>
    <n v="68.900000000000006"/>
  </r>
  <r>
    <s v="USR-100017"/>
    <d v="2025-03-27T00:00:00"/>
    <x v="0"/>
    <s v="East"/>
    <s v="Desktop"/>
    <s v="Paid Search"/>
    <s v="Free"/>
    <x v="1"/>
    <x v="1"/>
    <x v="1"/>
    <x v="0"/>
    <n v="0"/>
    <n v="0"/>
    <n v="0"/>
    <m/>
    <n v="71.900000000000006"/>
  </r>
  <r>
    <s v="USR-100018"/>
    <d v="2025-05-28T00:00:00"/>
    <x v="0"/>
    <s v="South"/>
    <s v="Desktop"/>
    <s v="Paid Search"/>
    <s v="Free"/>
    <x v="0"/>
    <x v="0"/>
    <x v="0"/>
    <x v="0"/>
    <n v="0"/>
    <n v="0"/>
    <n v="0"/>
    <m/>
    <n v="50.5"/>
  </r>
  <r>
    <s v="USR-100019"/>
    <d v="2025-02-15T00:00:00"/>
    <x v="0"/>
    <s v="North"/>
    <s v="Desktop"/>
    <s v="Paid Search"/>
    <s v="Basic"/>
    <x v="0"/>
    <x v="0"/>
    <x v="0"/>
    <x v="0"/>
    <n v="0"/>
    <n v="0"/>
    <n v="0"/>
    <m/>
    <n v="49.3"/>
  </r>
  <r>
    <s v="USR-100020"/>
    <d v="2025-05-05T00:00:00"/>
    <x v="0"/>
    <s v="West"/>
    <s v="Desktop"/>
    <s v="Organic"/>
    <s v="Basic"/>
    <x v="0"/>
    <x v="0"/>
    <x v="0"/>
    <x v="0"/>
    <n v="0"/>
    <n v="2"/>
    <n v="0"/>
    <m/>
    <n v="60.9"/>
  </r>
  <r>
    <s v="USR-100021"/>
    <d v="2025-04-13T00:00:00"/>
    <x v="0"/>
    <s v="East"/>
    <s v="Mobile"/>
    <s v="Social"/>
    <s v="Free"/>
    <x v="1"/>
    <x v="0"/>
    <x v="0"/>
    <x v="0"/>
    <n v="0"/>
    <n v="0"/>
    <n v="0"/>
    <m/>
    <n v="62.7"/>
  </r>
  <r>
    <s v="USR-100022"/>
    <d v="2025-05-07T00:00:00"/>
    <x v="0"/>
    <s v="North"/>
    <s v="Desktop"/>
    <s v="Paid Search"/>
    <s v="Free"/>
    <x v="0"/>
    <x v="0"/>
    <x v="0"/>
    <x v="0"/>
    <n v="0"/>
    <n v="0"/>
    <n v="0"/>
    <m/>
    <n v="52.7"/>
  </r>
  <r>
    <s v="USR-100023"/>
    <d v="2025-05-25T00:00:00"/>
    <x v="0"/>
    <s v="North"/>
    <s v="Desktop"/>
    <s v="Organic"/>
    <s v="Free"/>
    <x v="0"/>
    <x v="0"/>
    <x v="0"/>
    <x v="0"/>
    <n v="0"/>
    <n v="0"/>
    <n v="0"/>
    <m/>
    <n v="54"/>
  </r>
  <r>
    <s v="USR-100024"/>
    <d v="2025-04-01T00:00:00"/>
    <x v="0"/>
    <s v="East"/>
    <s v="Mobile"/>
    <s v="Paid Search"/>
    <s v="Premium"/>
    <x v="1"/>
    <x v="1"/>
    <x v="0"/>
    <x v="0"/>
    <n v="0"/>
    <n v="0"/>
    <n v="0"/>
    <m/>
    <n v="51.6"/>
  </r>
  <r>
    <s v="USR-100025"/>
    <d v="2025-02-22T00:00:00"/>
    <x v="0"/>
    <s v="North"/>
    <s v="Mobile"/>
    <s v="Paid Search"/>
    <s v="Premium"/>
    <x v="0"/>
    <x v="0"/>
    <x v="0"/>
    <x v="0"/>
    <n v="0"/>
    <n v="2"/>
    <n v="0"/>
    <m/>
    <n v="66.900000000000006"/>
  </r>
  <r>
    <s v="USR-100026"/>
    <d v="2025-03-24T00:00:00"/>
    <x v="0"/>
    <s v="East"/>
    <s v="Mobile"/>
    <s v="Organic"/>
    <s v="Basic"/>
    <x v="0"/>
    <x v="0"/>
    <x v="0"/>
    <x v="0"/>
    <n v="0"/>
    <n v="0"/>
    <n v="0"/>
    <m/>
    <n v="67.400000000000006"/>
  </r>
  <r>
    <s v="USR-100027"/>
    <d v="2025-02-13T00:00:00"/>
    <x v="0"/>
    <s v="North"/>
    <s v="Mobile"/>
    <s v="Organic"/>
    <s v="Free"/>
    <x v="0"/>
    <x v="0"/>
    <x v="0"/>
    <x v="0"/>
    <n v="0"/>
    <n v="0"/>
    <n v="0"/>
    <m/>
    <n v="58.8"/>
  </r>
  <r>
    <s v="USR-100028"/>
    <d v="2025-05-30T00:00:00"/>
    <x v="0"/>
    <s v="South"/>
    <s v="Mobile"/>
    <s v="Organic"/>
    <s v="Free"/>
    <x v="1"/>
    <x v="0"/>
    <x v="0"/>
    <x v="0"/>
    <n v="0"/>
    <n v="0"/>
    <n v="0"/>
    <m/>
    <n v="73.8"/>
  </r>
  <r>
    <s v="USR-100029"/>
    <d v="2025-01-20T00:00:00"/>
    <x v="0"/>
    <s v="East"/>
    <s v="Tablet"/>
    <s v="Organic"/>
    <s v="Basic"/>
    <x v="0"/>
    <x v="0"/>
    <x v="0"/>
    <x v="0"/>
    <n v="0"/>
    <n v="0"/>
    <n v="0"/>
    <m/>
    <n v="60.1"/>
  </r>
  <r>
    <s v="USR-100030"/>
    <d v="2025-05-19T00:00:00"/>
    <x v="0"/>
    <s v="East"/>
    <s v="Mobile"/>
    <s v="Social"/>
    <s v="Basic"/>
    <x v="1"/>
    <x v="1"/>
    <x v="1"/>
    <x v="0"/>
    <n v="0"/>
    <n v="0"/>
    <n v="0"/>
    <m/>
    <n v="41"/>
  </r>
  <r>
    <s v="USR-100031"/>
    <d v="2025-02-18T00:00:00"/>
    <x v="0"/>
    <s v="South"/>
    <s v="Mobile"/>
    <s v="Organic"/>
    <s v="Basic"/>
    <x v="1"/>
    <x v="0"/>
    <x v="0"/>
    <x v="0"/>
    <n v="0"/>
    <n v="0"/>
    <n v="0"/>
    <m/>
    <n v="80.3"/>
  </r>
  <r>
    <s v="USR-100032"/>
    <d v="2025-02-13T00:00:00"/>
    <x v="0"/>
    <s v="East"/>
    <s v="Mobile"/>
    <s v="Organic"/>
    <s v="Free"/>
    <x v="0"/>
    <x v="0"/>
    <x v="0"/>
    <x v="0"/>
    <n v="0"/>
    <n v="0"/>
    <n v="0"/>
    <m/>
    <n v="67.599999999999994"/>
  </r>
  <r>
    <s v="USR-100033"/>
    <d v="2025-03-08T00:00:00"/>
    <x v="0"/>
    <s v="East"/>
    <s v="Desktop"/>
    <s v="Referral"/>
    <s v="Premium"/>
    <x v="0"/>
    <x v="0"/>
    <x v="0"/>
    <x v="0"/>
    <n v="0"/>
    <n v="0"/>
    <n v="0"/>
    <m/>
    <n v="64"/>
  </r>
  <r>
    <s v="USR-100034"/>
    <d v="2025-01-11T00:00:00"/>
    <x v="0"/>
    <s v="North"/>
    <s v="Mobile"/>
    <s v="Paid Search"/>
    <s v="Free"/>
    <x v="1"/>
    <x v="1"/>
    <x v="0"/>
    <x v="0"/>
    <n v="0"/>
    <n v="0"/>
    <n v="0"/>
    <m/>
    <n v="27.2"/>
  </r>
  <r>
    <s v="USR-100035"/>
    <d v="2025-02-12T00:00:00"/>
    <x v="0"/>
    <s v="North"/>
    <s v="Desktop"/>
    <s v="Organic"/>
    <s v="Free"/>
    <x v="1"/>
    <x v="0"/>
    <x v="0"/>
    <x v="0"/>
    <n v="0"/>
    <n v="0"/>
    <n v="0"/>
    <m/>
    <n v="85.4"/>
  </r>
  <r>
    <s v="USR-100036"/>
    <d v="2025-04-13T00:00:00"/>
    <x v="0"/>
    <s v="East"/>
    <s v="Desktop"/>
    <s v="Organic"/>
    <s v="Basic"/>
    <x v="1"/>
    <x v="0"/>
    <x v="0"/>
    <x v="0"/>
    <n v="0"/>
    <n v="0"/>
    <n v="0"/>
    <m/>
    <n v="75.900000000000006"/>
  </r>
  <r>
    <s v="USR-100037"/>
    <d v="2025-05-09T00:00:00"/>
    <x v="0"/>
    <s v="East"/>
    <s v="Mobile"/>
    <s v="Organic"/>
    <s v="Premium"/>
    <x v="1"/>
    <x v="0"/>
    <x v="0"/>
    <x v="0"/>
    <n v="0"/>
    <n v="1"/>
    <n v="0"/>
    <m/>
    <n v="34.799999999999997"/>
  </r>
  <r>
    <s v="USR-100038"/>
    <d v="2025-01-20T00:00:00"/>
    <x v="0"/>
    <s v="East"/>
    <s v="Mobile"/>
    <s v="Organic"/>
    <s v="Free"/>
    <x v="1"/>
    <x v="1"/>
    <x v="1"/>
    <x v="0"/>
    <n v="0"/>
    <n v="3"/>
    <n v="0"/>
    <m/>
    <n v="48.9"/>
  </r>
  <r>
    <s v="USR-100039"/>
    <d v="2025-05-13T00:00:00"/>
    <x v="0"/>
    <s v="East"/>
    <s v="Mobile"/>
    <s v="Email"/>
    <s v="Premium"/>
    <x v="1"/>
    <x v="0"/>
    <x v="0"/>
    <x v="0"/>
    <n v="0"/>
    <n v="0"/>
    <n v="0"/>
    <m/>
    <n v="41.5"/>
  </r>
  <r>
    <s v="USR-100040"/>
    <d v="2025-04-07T00:00:00"/>
    <x v="0"/>
    <s v="North"/>
    <s v="Desktop"/>
    <s v="Organic"/>
    <s v="Basic"/>
    <x v="1"/>
    <x v="0"/>
    <x v="0"/>
    <x v="0"/>
    <n v="0"/>
    <n v="0"/>
    <n v="0"/>
    <m/>
    <n v="51.5"/>
  </r>
  <r>
    <s v="USR-100041"/>
    <d v="2025-03-31T00:00:00"/>
    <x v="0"/>
    <s v="North"/>
    <s v="Desktop"/>
    <s v="Organic"/>
    <s v="Free"/>
    <x v="0"/>
    <x v="0"/>
    <x v="0"/>
    <x v="0"/>
    <n v="0"/>
    <n v="0"/>
    <n v="0"/>
    <m/>
    <n v="53.2"/>
  </r>
  <r>
    <s v="USR-100042"/>
    <d v="2025-01-25T00:00:00"/>
    <x v="0"/>
    <s v="East"/>
    <s v="Mobile"/>
    <s v="Email"/>
    <s v="Premium"/>
    <x v="0"/>
    <x v="0"/>
    <x v="0"/>
    <x v="0"/>
    <n v="0"/>
    <n v="0"/>
    <n v="0"/>
    <m/>
    <n v="55.6"/>
  </r>
  <r>
    <s v="USR-100043"/>
    <d v="2025-02-14T00:00:00"/>
    <x v="0"/>
    <s v="South"/>
    <s v="Desktop"/>
    <s v="Organic"/>
    <s v="Free"/>
    <x v="0"/>
    <x v="0"/>
    <x v="0"/>
    <x v="0"/>
    <n v="0"/>
    <n v="0"/>
    <n v="0"/>
    <m/>
    <n v="73"/>
  </r>
  <r>
    <s v="USR-100044"/>
    <d v="2025-02-27T00:00:00"/>
    <x v="0"/>
    <s v="East"/>
    <s v="Mobile"/>
    <s v="Email"/>
    <s v="Free"/>
    <x v="1"/>
    <x v="0"/>
    <x v="0"/>
    <x v="0"/>
    <n v="0"/>
    <n v="0"/>
    <n v="0"/>
    <m/>
    <n v="65"/>
  </r>
  <r>
    <s v="USR-100045"/>
    <d v="2025-03-28T00:00:00"/>
    <x v="0"/>
    <s v="East"/>
    <s v="Mobile"/>
    <s v="Social"/>
    <s v="Free"/>
    <x v="1"/>
    <x v="0"/>
    <x v="0"/>
    <x v="0"/>
    <n v="0"/>
    <n v="4"/>
    <n v="0"/>
    <m/>
    <n v="56.3"/>
  </r>
  <r>
    <s v="USR-100046"/>
    <d v="2025-05-25T00:00:00"/>
    <x v="0"/>
    <s v="East"/>
    <s v="Mobile"/>
    <s v="Referral"/>
    <s v="Premium"/>
    <x v="1"/>
    <x v="0"/>
    <x v="0"/>
    <x v="0"/>
    <n v="0"/>
    <n v="0"/>
    <n v="0"/>
    <m/>
    <n v="62.4"/>
  </r>
  <r>
    <s v="USR-100047"/>
    <d v="2025-05-05T00:00:00"/>
    <x v="0"/>
    <s v="West"/>
    <s v="Desktop"/>
    <s v="Organic"/>
    <s v="Free"/>
    <x v="1"/>
    <x v="1"/>
    <x v="1"/>
    <x v="0"/>
    <n v="0"/>
    <n v="0"/>
    <n v="0"/>
    <m/>
    <n v="58.1"/>
  </r>
  <r>
    <s v="USR-100048"/>
    <d v="2025-05-16T00:00:00"/>
    <x v="0"/>
    <s v="North"/>
    <s v="Mobile"/>
    <s v="Organic"/>
    <s v="Free"/>
    <x v="1"/>
    <x v="1"/>
    <x v="1"/>
    <x v="0"/>
    <n v="0"/>
    <n v="0"/>
    <n v="0"/>
    <m/>
    <n v="80.8"/>
  </r>
  <r>
    <s v="USR-100049"/>
    <d v="2025-01-08T00:00:00"/>
    <x v="0"/>
    <s v="North"/>
    <s v="Mobile"/>
    <s v="Social"/>
    <s v="Free"/>
    <x v="1"/>
    <x v="1"/>
    <x v="0"/>
    <x v="0"/>
    <n v="0"/>
    <n v="0"/>
    <n v="0"/>
    <m/>
    <n v="42.9"/>
  </r>
  <r>
    <s v="USR-100050"/>
    <d v="2025-01-06T00:00:00"/>
    <x v="0"/>
    <s v="West"/>
    <s v="Desktop"/>
    <s v="Paid Search"/>
    <s v="Free"/>
    <x v="1"/>
    <x v="0"/>
    <x v="0"/>
    <x v="0"/>
    <n v="0"/>
    <n v="0"/>
    <n v="0"/>
    <m/>
    <n v="52.7"/>
  </r>
  <r>
    <s v="USR-100051"/>
    <d v="2025-01-12T00:00:00"/>
    <x v="0"/>
    <s v="North"/>
    <s v="Mobile"/>
    <s v="Social"/>
    <s v="Basic"/>
    <x v="0"/>
    <x v="0"/>
    <x v="0"/>
    <x v="0"/>
    <n v="0"/>
    <n v="0"/>
    <n v="0"/>
    <m/>
    <n v="46.9"/>
  </r>
  <r>
    <s v="USR-100052"/>
    <d v="2025-02-14T00:00:00"/>
    <x v="0"/>
    <s v="East"/>
    <s v="Desktop"/>
    <s v="Email"/>
    <s v="Premium"/>
    <x v="1"/>
    <x v="0"/>
    <x v="0"/>
    <x v="0"/>
    <n v="0"/>
    <n v="0"/>
    <n v="0"/>
    <m/>
    <n v="63"/>
  </r>
  <r>
    <s v="USR-100053"/>
    <d v="2025-03-10T00:00:00"/>
    <x v="0"/>
    <s v="South"/>
    <s v="Tablet"/>
    <s v="Organic"/>
    <s v="Free"/>
    <x v="0"/>
    <x v="0"/>
    <x v="0"/>
    <x v="0"/>
    <n v="0"/>
    <n v="0"/>
    <n v="0"/>
    <m/>
    <n v="53.6"/>
  </r>
  <r>
    <s v="USR-100054"/>
    <d v="2025-04-20T00:00:00"/>
    <x v="0"/>
    <s v="West"/>
    <s v="Desktop"/>
    <s v="Organic"/>
    <s v="Basic"/>
    <x v="0"/>
    <x v="0"/>
    <x v="0"/>
    <x v="0"/>
    <n v="0"/>
    <n v="0"/>
    <n v="0"/>
    <m/>
    <n v="49.6"/>
  </r>
  <r>
    <s v="USR-100055"/>
    <d v="2025-02-19T00:00:00"/>
    <x v="0"/>
    <s v="South"/>
    <s v="Mobile"/>
    <s v="Organic"/>
    <s v="Free"/>
    <x v="0"/>
    <x v="0"/>
    <x v="0"/>
    <x v="0"/>
    <n v="0"/>
    <n v="0"/>
    <n v="0"/>
    <m/>
    <n v="54"/>
  </r>
  <r>
    <s v="USR-100056"/>
    <d v="2025-05-17T00:00:00"/>
    <x v="0"/>
    <s v="South"/>
    <s v="Mobile"/>
    <s v="Social"/>
    <s v="Basic"/>
    <x v="1"/>
    <x v="0"/>
    <x v="0"/>
    <x v="0"/>
    <n v="0"/>
    <n v="2"/>
    <n v="0"/>
    <m/>
    <n v="50"/>
  </r>
  <r>
    <s v="USR-100057"/>
    <d v="2025-04-01T00:00:00"/>
    <x v="0"/>
    <s v="East"/>
    <s v="Mobile"/>
    <s v="Social"/>
    <s v="Basic"/>
    <x v="0"/>
    <x v="0"/>
    <x v="0"/>
    <x v="0"/>
    <n v="0"/>
    <n v="0"/>
    <n v="0"/>
    <m/>
    <n v="48.1"/>
  </r>
  <r>
    <s v="USR-100058"/>
    <d v="2025-02-04T00:00:00"/>
    <x v="0"/>
    <s v="North"/>
    <s v="Desktop"/>
    <s v="Organic"/>
    <s v="Free"/>
    <x v="1"/>
    <x v="0"/>
    <x v="0"/>
    <x v="0"/>
    <n v="0"/>
    <n v="0"/>
    <n v="0"/>
    <m/>
    <n v="49.6"/>
  </r>
  <r>
    <s v="USR-100059"/>
    <d v="2025-04-14T00:00:00"/>
    <x v="0"/>
    <s v="North"/>
    <s v="Mobile"/>
    <s v="Social"/>
    <s v="Free"/>
    <x v="0"/>
    <x v="0"/>
    <x v="0"/>
    <x v="0"/>
    <n v="0"/>
    <n v="2"/>
    <n v="0"/>
    <m/>
    <n v="48.9"/>
  </r>
  <r>
    <s v="USR-100060"/>
    <d v="2025-01-01T00:00:00"/>
    <x v="0"/>
    <s v="West"/>
    <s v="Mobile"/>
    <s v="Social"/>
    <s v="Free"/>
    <x v="1"/>
    <x v="1"/>
    <x v="1"/>
    <x v="1"/>
    <n v="240.42"/>
    <n v="0"/>
    <n v="0"/>
    <n v="16"/>
    <n v="56.5"/>
  </r>
  <r>
    <s v="USR-100061"/>
    <d v="2025-04-02T00:00:00"/>
    <x v="0"/>
    <s v="South"/>
    <s v="Mobile"/>
    <s v="Referral"/>
    <s v="Free"/>
    <x v="1"/>
    <x v="0"/>
    <x v="0"/>
    <x v="0"/>
    <n v="0"/>
    <n v="0"/>
    <n v="0"/>
    <m/>
    <n v="53.7"/>
  </r>
  <r>
    <s v="USR-100062"/>
    <d v="2025-03-29T00:00:00"/>
    <x v="0"/>
    <s v="North"/>
    <s v="Mobile"/>
    <s v="Social"/>
    <s v="Premium"/>
    <x v="0"/>
    <x v="0"/>
    <x v="0"/>
    <x v="0"/>
    <n v="0"/>
    <n v="0"/>
    <n v="0"/>
    <m/>
    <n v="62.2"/>
  </r>
  <r>
    <s v="USR-100063"/>
    <d v="2025-05-15T00:00:00"/>
    <x v="0"/>
    <s v="South"/>
    <s v="Desktop"/>
    <s v="Organic"/>
    <s v="Free"/>
    <x v="1"/>
    <x v="0"/>
    <x v="0"/>
    <x v="0"/>
    <n v="0"/>
    <n v="0"/>
    <n v="0"/>
    <m/>
    <n v="50.2"/>
  </r>
  <r>
    <s v="USR-100064"/>
    <d v="2025-04-11T00:00:00"/>
    <x v="0"/>
    <s v="North"/>
    <s v="Mobile"/>
    <s v="Organic"/>
    <s v="Basic"/>
    <x v="1"/>
    <x v="0"/>
    <x v="0"/>
    <x v="0"/>
    <n v="0"/>
    <n v="0"/>
    <n v="0"/>
    <m/>
    <n v="74.3"/>
  </r>
  <r>
    <s v="USR-100065"/>
    <d v="2025-03-07T00:00:00"/>
    <x v="0"/>
    <s v="South"/>
    <s v="Desktop"/>
    <s v="Paid Search"/>
    <s v="Free"/>
    <x v="1"/>
    <x v="0"/>
    <x v="0"/>
    <x v="0"/>
    <n v="0"/>
    <n v="0"/>
    <n v="0"/>
    <m/>
    <n v="58"/>
  </r>
  <r>
    <s v="USR-100066"/>
    <d v="2025-05-30T00:00:00"/>
    <x v="0"/>
    <s v="South"/>
    <s v="Mobile"/>
    <s v="Organic"/>
    <s v="Free"/>
    <x v="0"/>
    <x v="0"/>
    <x v="0"/>
    <x v="0"/>
    <n v="0"/>
    <n v="0"/>
    <n v="0"/>
    <m/>
    <n v="46.7"/>
  </r>
  <r>
    <s v="USR-100067"/>
    <d v="2025-01-07T00:00:00"/>
    <x v="0"/>
    <s v="South"/>
    <s v="Desktop"/>
    <s v="Organic"/>
    <s v="Premium"/>
    <x v="1"/>
    <x v="0"/>
    <x v="0"/>
    <x v="0"/>
    <n v="0"/>
    <n v="1"/>
    <n v="0"/>
    <m/>
    <n v="49.6"/>
  </r>
  <r>
    <s v="USR-100068"/>
    <d v="2025-05-08T00:00:00"/>
    <x v="0"/>
    <s v="West"/>
    <s v="Mobile"/>
    <s v="Social"/>
    <s v="Free"/>
    <x v="0"/>
    <x v="0"/>
    <x v="0"/>
    <x v="0"/>
    <n v="0"/>
    <n v="0"/>
    <n v="0"/>
    <m/>
    <n v="60.4"/>
  </r>
  <r>
    <s v="USR-100069"/>
    <d v="2025-03-19T00:00:00"/>
    <x v="0"/>
    <s v="East"/>
    <s v="Desktop"/>
    <s v="Email"/>
    <s v="Free"/>
    <x v="1"/>
    <x v="1"/>
    <x v="1"/>
    <x v="0"/>
    <n v="0"/>
    <n v="0"/>
    <n v="0"/>
    <m/>
    <n v="55.3"/>
  </r>
  <r>
    <s v="USR-100070"/>
    <d v="2025-05-16T00:00:00"/>
    <x v="0"/>
    <s v="North"/>
    <s v="Desktop"/>
    <s v="Organic"/>
    <s v="Free"/>
    <x v="0"/>
    <x v="0"/>
    <x v="0"/>
    <x v="0"/>
    <n v="0"/>
    <n v="0"/>
    <n v="0"/>
    <m/>
    <n v="56.2"/>
  </r>
  <r>
    <s v="USR-100071"/>
    <d v="2025-03-08T00:00:00"/>
    <x v="0"/>
    <s v="West"/>
    <s v="Mobile"/>
    <s v="Email"/>
    <s v="Free"/>
    <x v="0"/>
    <x v="0"/>
    <x v="0"/>
    <x v="0"/>
    <n v="0"/>
    <n v="0"/>
    <n v="0"/>
    <m/>
    <n v="29.4"/>
  </r>
  <r>
    <s v="USR-100072"/>
    <d v="2025-03-08T00:00:00"/>
    <x v="0"/>
    <s v="East"/>
    <s v="Mobile"/>
    <s v="Email"/>
    <s v="Free"/>
    <x v="1"/>
    <x v="0"/>
    <x v="0"/>
    <x v="0"/>
    <n v="0"/>
    <n v="0"/>
    <n v="0"/>
    <m/>
    <n v="54.2"/>
  </r>
  <r>
    <s v="USR-100073"/>
    <d v="2025-01-14T00:00:00"/>
    <x v="0"/>
    <s v="East"/>
    <s v="Desktop"/>
    <s v="Paid Search"/>
    <s v="Basic"/>
    <x v="0"/>
    <x v="0"/>
    <x v="0"/>
    <x v="0"/>
    <n v="0"/>
    <n v="0"/>
    <n v="0"/>
    <m/>
    <n v="46.4"/>
  </r>
  <r>
    <s v="USR-100074"/>
    <d v="2025-02-10T00:00:00"/>
    <x v="0"/>
    <s v="South"/>
    <s v="Mobile"/>
    <s v="Paid Search"/>
    <s v="Basic"/>
    <x v="0"/>
    <x v="0"/>
    <x v="0"/>
    <x v="0"/>
    <n v="0"/>
    <n v="0"/>
    <n v="0"/>
    <m/>
    <n v="54.5"/>
  </r>
  <r>
    <s v="USR-100075"/>
    <d v="2025-03-17T00:00:00"/>
    <x v="0"/>
    <s v="North"/>
    <s v="Mobile"/>
    <s v="Organic"/>
    <s v="Free"/>
    <x v="0"/>
    <x v="0"/>
    <x v="0"/>
    <x v="0"/>
    <n v="0"/>
    <n v="0"/>
    <n v="0"/>
    <m/>
    <n v="58.5"/>
  </r>
  <r>
    <s v="USR-100076"/>
    <d v="2025-01-09T00:00:00"/>
    <x v="0"/>
    <s v="South"/>
    <s v="Mobile"/>
    <s v="Email"/>
    <s v="Free"/>
    <x v="0"/>
    <x v="0"/>
    <x v="0"/>
    <x v="0"/>
    <n v="0"/>
    <n v="0"/>
    <n v="0"/>
    <m/>
    <n v="75.900000000000006"/>
  </r>
  <r>
    <s v="USR-100077"/>
    <d v="2025-04-17T00:00:00"/>
    <x v="0"/>
    <s v="North"/>
    <s v="Mobile"/>
    <s v="Referral"/>
    <s v="Free"/>
    <x v="0"/>
    <x v="0"/>
    <x v="0"/>
    <x v="0"/>
    <n v="0"/>
    <n v="1"/>
    <n v="0"/>
    <m/>
    <n v="84.9"/>
  </r>
  <r>
    <s v="USR-100078"/>
    <d v="2025-01-16T00:00:00"/>
    <x v="0"/>
    <s v="North"/>
    <s v="Mobile"/>
    <s v="Organic"/>
    <s v="Free"/>
    <x v="0"/>
    <x v="0"/>
    <x v="0"/>
    <x v="0"/>
    <n v="0"/>
    <n v="2"/>
    <n v="0"/>
    <m/>
    <n v="48.4"/>
  </r>
  <r>
    <s v="USR-100079"/>
    <d v="2025-02-20T00:00:00"/>
    <x v="0"/>
    <s v="West"/>
    <s v="Desktop"/>
    <s v="Organic"/>
    <s v="Free"/>
    <x v="1"/>
    <x v="1"/>
    <x v="1"/>
    <x v="1"/>
    <n v="457.51"/>
    <n v="0"/>
    <n v="0"/>
    <n v="7"/>
    <n v="38"/>
  </r>
  <r>
    <s v="USR-100080"/>
    <d v="2025-05-21T00:00:00"/>
    <x v="0"/>
    <s v="East"/>
    <s v="Mobile"/>
    <s v="Social"/>
    <s v="Free"/>
    <x v="1"/>
    <x v="0"/>
    <x v="0"/>
    <x v="0"/>
    <n v="0"/>
    <n v="0"/>
    <n v="0"/>
    <m/>
    <n v="44.2"/>
  </r>
  <r>
    <s v="USR-100081"/>
    <d v="2025-05-08T00:00:00"/>
    <x v="0"/>
    <s v="South"/>
    <s v="Mobile"/>
    <s v="Organic"/>
    <s v="Free"/>
    <x v="1"/>
    <x v="1"/>
    <x v="1"/>
    <x v="0"/>
    <n v="0"/>
    <n v="0"/>
    <n v="0"/>
    <m/>
    <n v="81.2"/>
  </r>
  <r>
    <s v="USR-100082"/>
    <d v="2025-03-08T00:00:00"/>
    <x v="0"/>
    <s v="South"/>
    <s v="Mobile"/>
    <s v="Referral"/>
    <s v="Free"/>
    <x v="1"/>
    <x v="1"/>
    <x v="0"/>
    <x v="0"/>
    <n v="0"/>
    <n v="0"/>
    <n v="0"/>
    <m/>
    <n v="63.8"/>
  </r>
  <r>
    <s v="USR-100083"/>
    <d v="2025-04-01T00:00:00"/>
    <x v="0"/>
    <s v="South"/>
    <s v="Desktop"/>
    <s v="Email"/>
    <s v="Free"/>
    <x v="0"/>
    <x v="0"/>
    <x v="0"/>
    <x v="0"/>
    <n v="0"/>
    <n v="0"/>
    <n v="0"/>
    <m/>
    <n v="64.7"/>
  </r>
  <r>
    <s v="USR-100084"/>
    <d v="2025-03-03T00:00:00"/>
    <x v="0"/>
    <s v="West"/>
    <s v="Mobile"/>
    <s v="Social"/>
    <s v="Basic"/>
    <x v="0"/>
    <x v="0"/>
    <x v="0"/>
    <x v="0"/>
    <n v="0"/>
    <n v="0"/>
    <n v="0"/>
    <m/>
    <n v="60.4"/>
  </r>
  <r>
    <s v="USR-100085"/>
    <d v="2025-04-16T00:00:00"/>
    <x v="0"/>
    <s v="South"/>
    <s v="Mobile"/>
    <s v="Paid Search"/>
    <s v="Free"/>
    <x v="0"/>
    <x v="0"/>
    <x v="0"/>
    <x v="0"/>
    <n v="0"/>
    <n v="0"/>
    <n v="0"/>
    <m/>
    <n v="66.599999999999994"/>
  </r>
  <r>
    <s v="USR-100086"/>
    <d v="2025-01-09T00:00:00"/>
    <x v="0"/>
    <s v="North"/>
    <s v="Desktop"/>
    <s v="Organic"/>
    <s v="Free"/>
    <x v="1"/>
    <x v="0"/>
    <x v="0"/>
    <x v="0"/>
    <n v="0"/>
    <n v="0"/>
    <n v="0"/>
    <m/>
    <n v="50.9"/>
  </r>
  <r>
    <s v="USR-100087"/>
    <d v="2025-01-22T00:00:00"/>
    <x v="0"/>
    <s v="West"/>
    <s v="Desktop"/>
    <s v="Social"/>
    <s v="Basic"/>
    <x v="0"/>
    <x v="0"/>
    <x v="0"/>
    <x v="0"/>
    <n v="0"/>
    <n v="0"/>
    <n v="0"/>
    <m/>
    <n v="51"/>
  </r>
  <r>
    <s v="USR-100088"/>
    <d v="2025-04-30T00:00:00"/>
    <x v="0"/>
    <s v="South"/>
    <s v="Mobile"/>
    <s v="Email"/>
    <s v="Premium"/>
    <x v="0"/>
    <x v="0"/>
    <x v="0"/>
    <x v="0"/>
    <n v="0"/>
    <n v="0"/>
    <n v="0"/>
    <m/>
    <n v="65.8"/>
  </r>
  <r>
    <s v="USR-100089"/>
    <d v="2025-04-25T00:00:00"/>
    <x v="0"/>
    <s v="North"/>
    <s v="Mobile"/>
    <s v="Referral"/>
    <s v="Basic"/>
    <x v="1"/>
    <x v="0"/>
    <x v="0"/>
    <x v="0"/>
    <n v="0"/>
    <n v="0"/>
    <n v="0"/>
    <m/>
    <n v="61.8"/>
  </r>
  <r>
    <s v="USR-100090"/>
    <d v="2025-02-01T00:00:00"/>
    <x v="0"/>
    <s v="North"/>
    <s v="Mobile"/>
    <s v="Organic"/>
    <s v="Basic"/>
    <x v="1"/>
    <x v="0"/>
    <x v="0"/>
    <x v="0"/>
    <n v="0"/>
    <n v="0"/>
    <n v="0"/>
    <m/>
    <n v="54.5"/>
  </r>
  <r>
    <s v="USR-100091"/>
    <d v="2025-04-23T00:00:00"/>
    <x v="0"/>
    <s v="South"/>
    <s v="Desktop"/>
    <s v="Organic"/>
    <s v="Free"/>
    <x v="1"/>
    <x v="0"/>
    <x v="0"/>
    <x v="0"/>
    <n v="0"/>
    <n v="0"/>
    <n v="0"/>
    <m/>
    <n v="72.2"/>
  </r>
  <r>
    <s v="USR-100092"/>
    <d v="2025-02-27T00:00:00"/>
    <x v="0"/>
    <s v="South"/>
    <s v="Mobile"/>
    <s v="Social"/>
    <s v="Free"/>
    <x v="1"/>
    <x v="0"/>
    <x v="0"/>
    <x v="0"/>
    <n v="0"/>
    <n v="0"/>
    <n v="0"/>
    <m/>
    <n v="42.3"/>
  </r>
  <r>
    <s v="USR-100093"/>
    <d v="2025-04-09T00:00:00"/>
    <x v="0"/>
    <s v="East"/>
    <s v="Desktop"/>
    <s v="Organic"/>
    <s v="Basic"/>
    <x v="1"/>
    <x v="0"/>
    <x v="0"/>
    <x v="0"/>
    <n v="0"/>
    <n v="0"/>
    <n v="0"/>
    <m/>
    <n v="76.2"/>
  </r>
  <r>
    <s v="USR-100094"/>
    <d v="2025-05-13T00:00:00"/>
    <x v="0"/>
    <s v="South"/>
    <s v="Tablet"/>
    <s v="Organic"/>
    <s v="Premium"/>
    <x v="1"/>
    <x v="1"/>
    <x v="1"/>
    <x v="0"/>
    <n v="0"/>
    <n v="1"/>
    <n v="0"/>
    <m/>
    <n v="37.4"/>
  </r>
  <r>
    <s v="USR-100095"/>
    <d v="2025-04-13T00:00:00"/>
    <x v="0"/>
    <s v="East"/>
    <s v="Mobile"/>
    <s v="Organic"/>
    <s v="Free"/>
    <x v="0"/>
    <x v="0"/>
    <x v="0"/>
    <x v="0"/>
    <n v="0"/>
    <n v="0"/>
    <n v="0"/>
    <m/>
    <n v="84.2"/>
  </r>
  <r>
    <s v="USR-100096"/>
    <d v="2025-02-05T00:00:00"/>
    <x v="0"/>
    <s v="East"/>
    <s v="Mobile"/>
    <s v="Social"/>
    <s v="Free"/>
    <x v="0"/>
    <x v="0"/>
    <x v="0"/>
    <x v="0"/>
    <n v="0"/>
    <n v="0"/>
    <n v="0"/>
    <m/>
    <n v="68"/>
  </r>
  <r>
    <s v="USR-100097"/>
    <d v="2025-02-14T00:00:00"/>
    <x v="0"/>
    <s v="West"/>
    <s v="Mobile"/>
    <s v="Organic"/>
    <s v="Basic"/>
    <x v="1"/>
    <x v="0"/>
    <x v="0"/>
    <x v="0"/>
    <n v="0"/>
    <n v="0"/>
    <n v="0"/>
    <m/>
    <n v="53.5"/>
  </r>
  <r>
    <s v="USR-100098"/>
    <d v="2025-02-11T00:00:00"/>
    <x v="0"/>
    <s v="North"/>
    <s v="Desktop"/>
    <s v="Organic"/>
    <s v="Premium"/>
    <x v="1"/>
    <x v="0"/>
    <x v="0"/>
    <x v="0"/>
    <n v="0"/>
    <n v="0"/>
    <n v="0"/>
    <m/>
    <n v="63.2"/>
  </r>
  <r>
    <s v="USR-100099"/>
    <d v="2025-02-11T00:00:00"/>
    <x v="0"/>
    <s v="East"/>
    <s v="Desktop"/>
    <s v="Social"/>
    <s v="Free"/>
    <x v="1"/>
    <x v="1"/>
    <x v="1"/>
    <x v="1"/>
    <n v="363.32"/>
    <n v="0"/>
    <n v="0"/>
    <n v="9"/>
    <n v="55.9"/>
  </r>
  <r>
    <s v="USR-100100"/>
    <d v="2025-05-26T00:00:00"/>
    <x v="0"/>
    <s v="North"/>
    <s v="Mobile"/>
    <s v="Organic"/>
    <s v="Free"/>
    <x v="1"/>
    <x v="0"/>
    <x v="0"/>
    <x v="0"/>
    <n v="0"/>
    <n v="0"/>
    <n v="0"/>
    <m/>
    <n v="63.5"/>
  </r>
  <r>
    <s v="USR-100101"/>
    <d v="2025-03-22T00:00:00"/>
    <x v="0"/>
    <s v="North"/>
    <s v="Mobile"/>
    <s v="Paid Search"/>
    <s v="Basic"/>
    <x v="1"/>
    <x v="0"/>
    <x v="0"/>
    <x v="0"/>
    <n v="0"/>
    <n v="0"/>
    <n v="0"/>
    <m/>
    <n v="51.5"/>
  </r>
  <r>
    <s v="USR-100102"/>
    <d v="2025-04-08T00:00:00"/>
    <x v="0"/>
    <s v="West"/>
    <s v="Mobile"/>
    <s v="Paid Search"/>
    <s v="Free"/>
    <x v="1"/>
    <x v="0"/>
    <x v="0"/>
    <x v="0"/>
    <n v="0"/>
    <n v="0"/>
    <n v="0"/>
    <m/>
    <n v="74.400000000000006"/>
  </r>
  <r>
    <s v="USR-100103"/>
    <d v="2025-04-14T00:00:00"/>
    <x v="0"/>
    <s v="North"/>
    <s v="Desktop"/>
    <s v="Social"/>
    <s v="Free"/>
    <x v="1"/>
    <x v="1"/>
    <x v="1"/>
    <x v="1"/>
    <n v="3887.98"/>
    <n v="0"/>
    <n v="0"/>
    <n v="13"/>
    <n v="60.2"/>
  </r>
  <r>
    <s v="USR-100104"/>
    <d v="2025-03-27T00:00:00"/>
    <x v="0"/>
    <s v="South"/>
    <s v="Mobile"/>
    <s v="Email"/>
    <s v="Free"/>
    <x v="1"/>
    <x v="0"/>
    <x v="0"/>
    <x v="0"/>
    <n v="0"/>
    <n v="1"/>
    <n v="0"/>
    <m/>
    <n v="67.2"/>
  </r>
  <r>
    <s v="USR-100105"/>
    <d v="2025-01-05T00:00:00"/>
    <x v="0"/>
    <s v="South"/>
    <s v="Mobile"/>
    <s v="Social"/>
    <s v="Free"/>
    <x v="1"/>
    <x v="1"/>
    <x v="1"/>
    <x v="0"/>
    <n v="0"/>
    <n v="0"/>
    <n v="0"/>
    <m/>
    <n v="79.599999999999994"/>
  </r>
  <r>
    <s v="USR-100106"/>
    <d v="2025-01-25T00:00:00"/>
    <x v="0"/>
    <s v="South"/>
    <s v="Mobile"/>
    <s v="Social"/>
    <s v="Basic"/>
    <x v="1"/>
    <x v="1"/>
    <x v="1"/>
    <x v="1"/>
    <n v="8610.7199999999993"/>
    <n v="0"/>
    <n v="0"/>
    <n v="6"/>
    <n v="61"/>
  </r>
  <r>
    <s v="USR-100107"/>
    <d v="2025-01-23T00:00:00"/>
    <x v="0"/>
    <s v="West"/>
    <s v="Mobile"/>
    <s v="Email"/>
    <s v="Free"/>
    <x v="1"/>
    <x v="1"/>
    <x v="1"/>
    <x v="0"/>
    <n v="0"/>
    <n v="4"/>
    <n v="0"/>
    <m/>
    <n v="51.1"/>
  </r>
  <r>
    <s v="USR-100108"/>
    <d v="2025-05-25T00:00:00"/>
    <x v="0"/>
    <s v="East"/>
    <s v="Desktop"/>
    <s v="Referral"/>
    <s v="Free"/>
    <x v="1"/>
    <x v="0"/>
    <x v="0"/>
    <x v="0"/>
    <n v="0"/>
    <n v="0"/>
    <n v="0"/>
    <m/>
    <n v="92.1"/>
  </r>
  <r>
    <s v="USR-100109"/>
    <d v="2025-03-22T00:00:00"/>
    <x v="0"/>
    <s v="South"/>
    <s v="Mobile"/>
    <s v="Referral"/>
    <s v="Basic"/>
    <x v="0"/>
    <x v="0"/>
    <x v="0"/>
    <x v="0"/>
    <n v="0"/>
    <n v="0"/>
    <n v="0"/>
    <m/>
    <n v="82.1"/>
  </r>
  <r>
    <s v="USR-100110"/>
    <d v="2025-02-12T00:00:00"/>
    <x v="0"/>
    <s v="West"/>
    <s v="Desktop"/>
    <s v="Paid Search"/>
    <s v="Basic"/>
    <x v="1"/>
    <x v="0"/>
    <x v="0"/>
    <x v="0"/>
    <n v="0"/>
    <n v="1"/>
    <n v="0"/>
    <m/>
    <n v="74"/>
  </r>
  <r>
    <s v="USR-100111"/>
    <d v="2025-04-28T00:00:00"/>
    <x v="0"/>
    <s v="West"/>
    <s v="Desktop"/>
    <s v="Organic"/>
    <s v="Basic"/>
    <x v="1"/>
    <x v="0"/>
    <x v="0"/>
    <x v="0"/>
    <n v="0"/>
    <n v="0"/>
    <n v="0"/>
    <m/>
    <n v="63.4"/>
  </r>
  <r>
    <s v="USR-100112"/>
    <d v="2025-01-30T00:00:00"/>
    <x v="0"/>
    <s v="North"/>
    <s v="Mobile"/>
    <s v="Organic"/>
    <s v="Basic"/>
    <x v="1"/>
    <x v="0"/>
    <x v="0"/>
    <x v="0"/>
    <n v="0"/>
    <n v="0"/>
    <n v="0"/>
    <m/>
    <n v="53.2"/>
  </r>
  <r>
    <s v="USR-100113"/>
    <d v="2025-05-19T00:00:00"/>
    <x v="0"/>
    <s v="East"/>
    <s v="Tablet"/>
    <s v="Paid Search"/>
    <s v="Free"/>
    <x v="0"/>
    <x v="0"/>
    <x v="0"/>
    <x v="0"/>
    <n v="0"/>
    <n v="0"/>
    <n v="0"/>
    <m/>
    <n v="48.1"/>
  </r>
  <r>
    <s v="USR-100114"/>
    <d v="2025-01-23T00:00:00"/>
    <x v="0"/>
    <s v="South"/>
    <s v="Mobile"/>
    <s v="Social"/>
    <s v="Free"/>
    <x v="1"/>
    <x v="1"/>
    <x v="0"/>
    <x v="0"/>
    <n v="0"/>
    <n v="0"/>
    <n v="0"/>
    <m/>
    <n v="61.5"/>
  </r>
  <r>
    <s v="USR-100115"/>
    <d v="2025-03-28T00:00:00"/>
    <x v="0"/>
    <s v="East"/>
    <s v="Desktop"/>
    <s v="Social"/>
    <s v="Free"/>
    <x v="1"/>
    <x v="0"/>
    <x v="0"/>
    <x v="0"/>
    <n v="0"/>
    <n v="0"/>
    <n v="0"/>
    <m/>
    <n v="63.2"/>
  </r>
  <r>
    <s v="USR-100116"/>
    <d v="2025-01-11T00:00:00"/>
    <x v="0"/>
    <s v="West"/>
    <s v="Mobile"/>
    <s v="Organic"/>
    <s v="Free"/>
    <x v="0"/>
    <x v="0"/>
    <x v="0"/>
    <x v="0"/>
    <n v="0"/>
    <n v="0"/>
    <n v="0"/>
    <m/>
    <n v="71.900000000000006"/>
  </r>
  <r>
    <s v="USR-100117"/>
    <d v="2025-04-11T00:00:00"/>
    <x v="0"/>
    <s v="North"/>
    <s v="Mobile"/>
    <s v="Referral"/>
    <s v="Free"/>
    <x v="0"/>
    <x v="0"/>
    <x v="0"/>
    <x v="0"/>
    <n v="0"/>
    <n v="0"/>
    <n v="0"/>
    <m/>
    <n v="62.7"/>
  </r>
  <r>
    <s v="USR-100118"/>
    <d v="2025-01-02T00:00:00"/>
    <x v="0"/>
    <s v="West"/>
    <s v="Mobile"/>
    <s v="Paid Search"/>
    <s v="Free"/>
    <x v="1"/>
    <x v="0"/>
    <x v="0"/>
    <x v="0"/>
    <n v="0"/>
    <n v="0"/>
    <n v="0"/>
    <m/>
    <n v="51.5"/>
  </r>
  <r>
    <s v="USR-100119"/>
    <d v="2025-03-18T00:00:00"/>
    <x v="0"/>
    <s v="East"/>
    <s v="Mobile"/>
    <s v="Social"/>
    <s v="Free"/>
    <x v="1"/>
    <x v="1"/>
    <x v="1"/>
    <x v="0"/>
    <n v="0"/>
    <n v="0"/>
    <n v="0"/>
    <m/>
    <n v="39.1"/>
  </r>
  <r>
    <s v="USR-100120"/>
    <d v="2025-03-31T00:00:00"/>
    <x v="0"/>
    <s v="North"/>
    <s v="Mobile"/>
    <s v="Email"/>
    <s v="Free"/>
    <x v="1"/>
    <x v="0"/>
    <x v="0"/>
    <x v="0"/>
    <n v="0"/>
    <n v="0"/>
    <n v="0"/>
    <m/>
    <n v="43.8"/>
  </r>
  <r>
    <s v="USR-100121"/>
    <d v="2025-01-06T00:00:00"/>
    <x v="0"/>
    <s v="North"/>
    <s v="Mobile"/>
    <s v="Paid Search"/>
    <s v="Basic"/>
    <x v="1"/>
    <x v="0"/>
    <x v="0"/>
    <x v="0"/>
    <n v="0"/>
    <n v="0"/>
    <n v="0"/>
    <m/>
    <n v="59.9"/>
  </r>
  <r>
    <s v="USR-100122"/>
    <d v="2025-01-26T00:00:00"/>
    <x v="0"/>
    <s v="North"/>
    <s v="Mobile"/>
    <s v="Referral"/>
    <s v="Free"/>
    <x v="1"/>
    <x v="1"/>
    <x v="0"/>
    <x v="0"/>
    <n v="0"/>
    <n v="0"/>
    <n v="0"/>
    <m/>
    <n v="71.400000000000006"/>
  </r>
  <r>
    <s v="USR-100123"/>
    <d v="2025-04-22T00:00:00"/>
    <x v="0"/>
    <s v="South"/>
    <s v="Mobile"/>
    <s v="Referral"/>
    <s v="Basic"/>
    <x v="0"/>
    <x v="0"/>
    <x v="0"/>
    <x v="0"/>
    <n v="0"/>
    <n v="0"/>
    <n v="0"/>
    <m/>
    <n v="36.1"/>
  </r>
  <r>
    <s v="USR-100124"/>
    <d v="2025-05-30T00:00:00"/>
    <x v="0"/>
    <s v="West"/>
    <m/>
    <s v="Email"/>
    <s v="Basic"/>
    <x v="1"/>
    <x v="1"/>
    <x v="0"/>
    <x v="0"/>
    <n v="0"/>
    <n v="0"/>
    <n v="0"/>
    <m/>
    <n v="47.9"/>
  </r>
  <r>
    <s v="USR-100125"/>
    <d v="2025-05-18T00:00:00"/>
    <x v="0"/>
    <s v="West"/>
    <s v="Desktop"/>
    <s v="Organic"/>
    <s v="Premium"/>
    <x v="1"/>
    <x v="0"/>
    <x v="0"/>
    <x v="0"/>
    <n v="0"/>
    <n v="0"/>
    <n v="0"/>
    <m/>
    <n v="62.5"/>
  </r>
  <r>
    <s v="USR-100126"/>
    <d v="2025-01-13T00:00:00"/>
    <x v="0"/>
    <s v="South"/>
    <s v="Desktop"/>
    <s v="Paid Search"/>
    <s v="Premium"/>
    <x v="1"/>
    <x v="0"/>
    <x v="0"/>
    <x v="0"/>
    <n v="0"/>
    <n v="0"/>
    <n v="0"/>
    <m/>
    <n v="56.9"/>
  </r>
  <r>
    <s v="USR-100127"/>
    <d v="2025-03-25T00:00:00"/>
    <x v="0"/>
    <s v="North"/>
    <s v="Desktop"/>
    <s v="Email"/>
    <s v="Free"/>
    <x v="0"/>
    <x v="0"/>
    <x v="0"/>
    <x v="0"/>
    <n v="0"/>
    <n v="0"/>
    <n v="0"/>
    <m/>
    <n v="64.7"/>
  </r>
  <r>
    <s v="USR-100128"/>
    <d v="2025-04-29T00:00:00"/>
    <x v="0"/>
    <s v="South"/>
    <s v="Desktop"/>
    <s v="Organic"/>
    <s v="Free"/>
    <x v="1"/>
    <x v="1"/>
    <x v="1"/>
    <x v="0"/>
    <n v="0"/>
    <n v="0"/>
    <n v="0"/>
    <m/>
    <n v="64"/>
  </r>
  <r>
    <s v="USR-100129"/>
    <d v="2025-05-17T00:00:00"/>
    <x v="0"/>
    <s v="East"/>
    <s v="Mobile"/>
    <s v="Referral"/>
    <s v="Basic"/>
    <x v="1"/>
    <x v="1"/>
    <x v="1"/>
    <x v="0"/>
    <n v="0"/>
    <n v="0"/>
    <n v="0"/>
    <m/>
    <n v="75.2"/>
  </r>
  <r>
    <s v="USR-100130"/>
    <d v="2025-01-02T00:00:00"/>
    <x v="0"/>
    <s v="North"/>
    <s v="Mobile"/>
    <s v="Paid Search"/>
    <s v="Free"/>
    <x v="1"/>
    <x v="0"/>
    <x v="0"/>
    <x v="0"/>
    <n v="0"/>
    <n v="1"/>
    <n v="0"/>
    <m/>
    <n v="79"/>
  </r>
  <r>
    <s v="USR-100131"/>
    <d v="2025-02-03T00:00:00"/>
    <x v="0"/>
    <s v="South"/>
    <s v="Mobile"/>
    <s v="Organic"/>
    <s v="Free"/>
    <x v="0"/>
    <x v="0"/>
    <x v="0"/>
    <x v="0"/>
    <n v="0"/>
    <n v="0"/>
    <n v="0"/>
    <m/>
    <n v="33"/>
  </r>
  <r>
    <s v="USR-100132"/>
    <d v="2025-03-04T00:00:00"/>
    <x v="0"/>
    <s v="East"/>
    <s v="Mobile"/>
    <s v="Organic"/>
    <s v="Free"/>
    <x v="1"/>
    <x v="0"/>
    <x v="0"/>
    <x v="0"/>
    <n v="0"/>
    <n v="0"/>
    <n v="0"/>
    <m/>
    <n v="67.900000000000006"/>
  </r>
  <r>
    <s v="USR-100133"/>
    <d v="2025-01-26T00:00:00"/>
    <x v="0"/>
    <s v="South"/>
    <s v="Mobile"/>
    <s v="Paid Search"/>
    <s v="Basic"/>
    <x v="0"/>
    <x v="0"/>
    <x v="0"/>
    <x v="0"/>
    <n v="0"/>
    <n v="0"/>
    <n v="0"/>
    <m/>
    <n v="42.2"/>
  </r>
  <r>
    <s v="USR-100134"/>
    <d v="2025-05-12T00:00:00"/>
    <x v="0"/>
    <s v="West"/>
    <s v="Mobile"/>
    <s v="Paid Search"/>
    <s v="Basic"/>
    <x v="1"/>
    <x v="1"/>
    <x v="1"/>
    <x v="0"/>
    <n v="0"/>
    <n v="0"/>
    <n v="0"/>
    <m/>
    <n v="43.4"/>
  </r>
  <r>
    <s v="USR-100135"/>
    <d v="2025-03-06T00:00:00"/>
    <x v="0"/>
    <s v="North"/>
    <s v="Mobile"/>
    <s v="Organic"/>
    <s v="Basic"/>
    <x v="0"/>
    <x v="0"/>
    <x v="0"/>
    <x v="0"/>
    <n v="0"/>
    <n v="0"/>
    <n v="0"/>
    <m/>
    <n v="54.4"/>
  </r>
  <r>
    <s v="USR-100136"/>
    <d v="2025-03-10T00:00:00"/>
    <x v="0"/>
    <s v="South"/>
    <s v="Desktop"/>
    <s v="Email"/>
    <s v="Premium"/>
    <x v="0"/>
    <x v="0"/>
    <x v="0"/>
    <x v="0"/>
    <n v="0"/>
    <n v="0"/>
    <n v="0"/>
    <m/>
    <n v="45.7"/>
  </r>
  <r>
    <s v="USR-100137"/>
    <d v="2025-05-06T00:00:00"/>
    <x v="0"/>
    <s v="North"/>
    <s v="Mobile"/>
    <s v="Paid Search"/>
    <s v="Free"/>
    <x v="0"/>
    <x v="0"/>
    <x v="0"/>
    <x v="0"/>
    <n v="0"/>
    <n v="3"/>
    <n v="0"/>
    <m/>
    <n v="32"/>
  </r>
  <r>
    <s v="USR-100138"/>
    <d v="2025-02-23T00:00:00"/>
    <x v="0"/>
    <s v="South"/>
    <s v="Desktop"/>
    <s v="Paid Search"/>
    <s v="Free"/>
    <x v="1"/>
    <x v="0"/>
    <x v="0"/>
    <x v="0"/>
    <n v="0"/>
    <n v="0"/>
    <n v="0"/>
    <m/>
    <n v="70.900000000000006"/>
  </r>
  <r>
    <s v="USR-100139"/>
    <d v="2025-01-29T00:00:00"/>
    <x v="0"/>
    <s v="West"/>
    <s v="Mobile"/>
    <s v="Social"/>
    <s v="Basic"/>
    <x v="1"/>
    <x v="1"/>
    <x v="1"/>
    <x v="0"/>
    <n v="0"/>
    <n v="0"/>
    <n v="0"/>
    <m/>
    <n v="59.1"/>
  </r>
  <r>
    <s v="USR-100140"/>
    <d v="2025-01-31T00:00:00"/>
    <x v="0"/>
    <s v="North"/>
    <s v="Mobile"/>
    <s v="Organic"/>
    <s v="Basic"/>
    <x v="0"/>
    <x v="0"/>
    <x v="0"/>
    <x v="0"/>
    <n v="0"/>
    <n v="0"/>
    <n v="0"/>
    <m/>
    <n v="62.4"/>
  </r>
  <r>
    <s v="USR-100141"/>
    <d v="2025-01-19T00:00:00"/>
    <x v="0"/>
    <s v="South"/>
    <s v="Mobile"/>
    <s v="Organic"/>
    <s v="Free"/>
    <x v="0"/>
    <x v="0"/>
    <x v="0"/>
    <x v="0"/>
    <n v="0"/>
    <n v="0"/>
    <n v="0"/>
    <m/>
    <n v="49.6"/>
  </r>
  <r>
    <s v="USR-100142"/>
    <d v="2025-04-03T00:00:00"/>
    <x v="0"/>
    <s v="West"/>
    <s v="Desktop"/>
    <s v="Social"/>
    <s v="Free"/>
    <x v="1"/>
    <x v="1"/>
    <x v="1"/>
    <x v="1"/>
    <n v="404.4"/>
    <n v="0"/>
    <n v="0"/>
    <n v="9"/>
    <n v="80.599999999999994"/>
  </r>
  <r>
    <s v="USR-100143"/>
    <d v="2025-04-07T00:00:00"/>
    <x v="0"/>
    <s v="North"/>
    <s v="Mobile"/>
    <s v="Paid Search"/>
    <s v="Free"/>
    <x v="1"/>
    <x v="0"/>
    <x v="0"/>
    <x v="0"/>
    <n v="0"/>
    <n v="0"/>
    <n v="0"/>
    <m/>
    <n v="47.9"/>
  </r>
  <r>
    <s v="USR-100144"/>
    <d v="2025-01-06T00:00:00"/>
    <x v="0"/>
    <s v="East"/>
    <s v="Mobile"/>
    <s v="Paid Search"/>
    <s v="Basic"/>
    <x v="1"/>
    <x v="1"/>
    <x v="0"/>
    <x v="0"/>
    <n v="0"/>
    <n v="0"/>
    <n v="0"/>
    <m/>
    <n v="54.8"/>
  </r>
  <r>
    <s v="USR-100145"/>
    <d v="2025-04-11T00:00:00"/>
    <x v="0"/>
    <s v="East"/>
    <s v="Mobile"/>
    <s v="Organic"/>
    <s v="Free"/>
    <x v="1"/>
    <x v="0"/>
    <x v="0"/>
    <x v="0"/>
    <n v="0"/>
    <n v="1"/>
    <n v="0"/>
    <m/>
    <n v="53.9"/>
  </r>
  <r>
    <s v="USR-100146"/>
    <d v="2025-04-23T00:00:00"/>
    <x v="0"/>
    <s v="East"/>
    <s v="Mobile"/>
    <s v="Paid Search"/>
    <s v="Free"/>
    <x v="1"/>
    <x v="0"/>
    <x v="0"/>
    <x v="0"/>
    <n v="0"/>
    <n v="0"/>
    <n v="0"/>
    <m/>
    <n v="41.3"/>
  </r>
  <r>
    <s v="USR-100147"/>
    <d v="2025-03-25T00:00:00"/>
    <x v="0"/>
    <s v="West"/>
    <s v="Mobile"/>
    <s v="Organic"/>
    <s v="Basic"/>
    <x v="1"/>
    <x v="1"/>
    <x v="0"/>
    <x v="0"/>
    <n v="0"/>
    <n v="0"/>
    <n v="0"/>
    <m/>
    <n v="38.9"/>
  </r>
  <r>
    <s v="USR-100148"/>
    <d v="2025-05-25T00:00:00"/>
    <x v="0"/>
    <s v="South"/>
    <s v="Desktop"/>
    <s v="Organic"/>
    <s v="Basic"/>
    <x v="1"/>
    <x v="0"/>
    <x v="0"/>
    <x v="0"/>
    <n v="0"/>
    <n v="0"/>
    <n v="0"/>
    <m/>
    <n v="63.6"/>
  </r>
  <r>
    <s v="USR-100149"/>
    <d v="2025-01-28T00:00:00"/>
    <x v="0"/>
    <s v="North"/>
    <s v="Mobile"/>
    <s v="Organic"/>
    <s v="Free"/>
    <x v="1"/>
    <x v="1"/>
    <x v="1"/>
    <x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x v="0"/>
    <x v="0"/>
    <x v="0"/>
    <x v="0"/>
    <n v="0"/>
    <n v="1"/>
    <n v="0"/>
    <m/>
    <n v="67.599999999999994"/>
  </r>
  <r>
    <s v="USR-100151"/>
    <d v="2025-04-29T00:00:00"/>
    <x v="0"/>
    <s v="North"/>
    <s v="Mobile"/>
    <s v="Social"/>
    <s v="Premium"/>
    <x v="1"/>
    <x v="0"/>
    <x v="0"/>
    <x v="0"/>
    <n v="0"/>
    <n v="0"/>
    <n v="0"/>
    <m/>
    <n v="43.1"/>
  </r>
  <r>
    <s v="USR-100152"/>
    <d v="2025-03-13T00:00:00"/>
    <x v="0"/>
    <s v="South"/>
    <s v="Mobile"/>
    <s v="Email"/>
    <s v="Free"/>
    <x v="1"/>
    <x v="0"/>
    <x v="0"/>
    <x v="0"/>
    <n v="0"/>
    <n v="0"/>
    <n v="0"/>
    <m/>
    <n v="58.3"/>
  </r>
  <r>
    <s v="USR-100153"/>
    <d v="2025-02-04T00:00:00"/>
    <x v="0"/>
    <s v="East"/>
    <s v="Desktop"/>
    <s v="Paid Search"/>
    <s v="Free"/>
    <x v="1"/>
    <x v="0"/>
    <x v="0"/>
    <x v="0"/>
    <n v="0"/>
    <n v="0"/>
    <n v="0"/>
    <m/>
    <n v="69.8"/>
  </r>
  <r>
    <s v="USR-100154"/>
    <d v="2025-03-04T00:00:00"/>
    <x v="0"/>
    <s v="South"/>
    <s v="Mobile"/>
    <s v="Referral"/>
    <s v="Free"/>
    <x v="1"/>
    <x v="1"/>
    <x v="0"/>
    <x v="0"/>
    <n v="0"/>
    <n v="0"/>
    <n v="0"/>
    <m/>
    <m/>
  </r>
  <r>
    <s v="USR-100155"/>
    <d v="2025-02-04T00:00:00"/>
    <x v="0"/>
    <s v="West"/>
    <s v="Mobile"/>
    <s v="Paid Search"/>
    <s v="Basic"/>
    <x v="1"/>
    <x v="1"/>
    <x v="0"/>
    <x v="0"/>
    <n v="0"/>
    <n v="0"/>
    <n v="0"/>
    <m/>
    <n v="41.9"/>
  </r>
  <r>
    <s v="USR-100156"/>
    <d v="2025-03-11T00:00:00"/>
    <x v="0"/>
    <s v="North"/>
    <s v="Desktop"/>
    <s v="Organic"/>
    <s v="Free"/>
    <x v="0"/>
    <x v="0"/>
    <x v="0"/>
    <x v="0"/>
    <n v="0"/>
    <n v="0"/>
    <n v="0"/>
    <m/>
    <n v="33.1"/>
  </r>
  <r>
    <s v="USR-100157"/>
    <d v="2025-04-22T00:00:00"/>
    <x v="0"/>
    <s v="West"/>
    <s v="Mobile"/>
    <s v="Organic"/>
    <s v="Free"/>
    <x v="0"/>
    <x v="0"/>
    <x v="0"/>
    <x v="0"/>
    <n v="0"/>
    <n v="0"/>
    <n v="0"/>
    <m/>
    <n v="58.6"/>
  </r>
  <r>
    <s v="USR-100158"/>
    <d v="2025-03-08T00:00:00"/>
    <x v="0"/>
    <s v="North"/>
    <s v="Desktop"/>
    <s v="Paid Search"/>
    <s v="Free"/>
    <x v="0"/>
    <x v="0"/>
    <x v="0"/>
    <x v="0"/>
    <n v="0"/>
    <n v="0"/>
    <n v="0"/>
    <m/>
    <n v="55.7"/>
  </r>
  <r>
    <s v="USR-100159"/>
    <d v="2025-03-10T00:00:00"/>
    <x v="0"/>
    <s v="East"/>
    <s v="Mobile"/>
    <s v="Organic"/>
    <s v="Free"/>
    <x v="0"/>
    <x v="0"/>
    <x v="0"/>
    <x v="0"/>
    <n v="0"/>
    <n v="2"/>
    <n v="0"/>
    <m/>
    <n v="64.900000000000006"/>
  </r>
  <r>
    <s v="USR-100160"/>
    <d v="2025-05-18T00:00:00"/>
    <x v="0"/>
    <s v="North"/>
    <s v="Desktop"/>
    <s v="Paid Search"/>
    <s v="Basic"/>
    <x v="0"/>
    <x v="0"/>
    <x v="0"/>
    <x v="0"/>
    <n v="0"/>
    <n v="0"/>
    <n v="0"/>
    <m/>
    <n v="72.3"/>
  </r>
  <r>
    <s v="USR-100161"/>
    <d v="2025-05-14T00:00:00"/>
    <x v="0"/>
    <s v="North"/>
    <s v="Mobile"/>
    <s v="Social"/>
    <s v="Basic"/>
    <x v="0"/>
    <x v="0"/>
    <x v="0"/>
    <x v="0"/>
    <n v="0"/>
    <n v="0"/>
    <n v="0"/>
    <m/>
    <n v="42.1"/>
  </r>
  <r>
    <s v="USR-100162"/>
    <d v="2025-02-01T00:00:00"/>
    <x v="0"/>
    <s v="North"/>
    <s v="Mobile"/>
    <s v="Organic"/>
    <s v="Free"/>
    <x v="0"/>
    <x v="0"/>
    <x v="0"/>
    <x v="0"/>
    <n v="0"/>
    <n v="0"/>
    <n v="0"/>
    <m/>
    <m/>
  </r>
  <r>
    <s v="USR-100163"/>
    <d v="2025-04-11T00:00:00"/>
    <x v="0"/>
    <s v="South"/>
    <s v="Mobile"/>
    <s v="Organic"/>
    <s v="Basic"/>
    <x v="0"/>
    <x v="0"/>
    <x v="0"/>
    <x v="0"/>
    <n v="0"/>
    <n v="1"/>
    <n v="0"/>
    <m/>
    <n v="64.8"/>
  </r>
  <r>
    <s v="USR-100164"/>
    <d v="2025-02-14T00:00:00"/>
    <x v="0"/>
    <s v="East"/>
    <s v="Mobile"/>
    <s v="Organic"/>
    <s v="Free"/>
    <x v="0"/>
    <x v="0"/>
    <x v="0"/>
    <x v="0"/>
    <n v="0"/>
    <n v="0"/>
    <n v="0"/>
    <m/>
    <n v="72.099999999999994"/>
  </r>
  <r>
    <s v="USR-100165"/>
    <d v="2025-05-19T00:00:00"/>
    <x v="0"/>
    <s v="East"/>
    <s v="Mobile"/>
    <s v="Social"/>
    <s v="Free"/>
    <x v="1"/>
    <x v="0"/>
    <x v="0"/>
    <x v="0"/>
    <n v="0"/>
    <n v="0"/>
    <n v="0"/>
    <m/>
    <n v="50.6"/>
  </r>
  <r>
    <s v="USR-100166"/>
    <d v="2025-04-26T00:00:00"/>
    <x v="0"/>
    <s v="North"/>
    <s v="Desktop"/>
    <s v="Paid Search"/>
    <s v="Basic"/>
    <x v="1"/>
    <x v="1"/>
    <x v="1"/>
    <x v="1"/>
    <n v="1281.25"/>
    <n v="1"/>
    <n v="0"/>
    <n v="9"/>
    <n v="43.4"/>
  </r>
  <r>
    <s v="USR-100167"/>
    <d v="2025-04-06T00:00:00"/>
    <x v="0"/>
    <s v="South"/>
    <s v="Mobile"/>
    <s v="Social"/>
    <s v="Free"/>
    <x v="1"/>
    <x v="0"/>
    <x v="0"/>
    <x v="0"/>
    <n v="0"/>
    <n v="0"/>
    <n v="0"/>
    <m/>
    <n v="59.7"/>
  </r>
  <r>
    <s v="USR-100168"/>
    <d v="2025-03-06T00:00:00"/>
    <x v="0"/>
    <s v="South"/>
    <s v="Mobile"/>
    <s v="Paid Search"/>
    <s v="Free"/>
    <x v="1"/>
    <x v="0"/>
    <x v="0"/>
    <x v="0"/>
    <n v="0"/>
    <n v="1"/>
    <n v="0"/>
    <m/>
    <m/>
  </r>
  <r>
    <s v="USR-100169"/>
    <d v="2025-03-10T00:00:00"/>
    <x v="0"/>
    <s v="West"/>
    <s v="Mobile"/>
    <s v="Social"/>
    <s v="Basic"/>
    <x v="0"/>
    <x v="0"/>
    <x v="0"/>
    <x v="0"/>
    <n v="0"/>
    <n v="0"/>
    <n v="0"/>
    <m/>
    <n v="54.5"/>
  </r>
  <r>
    <s v="USR-100170"/>
    <d v="2025-03-30T00:00:00"/>
    <x v="0"/>
    <s v="North"/>
    <s v="Mobile"/>
    <s v="Organic"/>
    <s v="Free"/>
    <x v="1"/>
    <x v="0"/>
    <x v="0"/>
    <x v="0"/>
    <n v="0"/>
    <n v="0"/>
    <n v="0"/>
    <m/>
    <n v="71.099999999999994"/>
  </r>
  <r>
    <s v="USR-100171"/>
    <d v="2025-05-29T00:00:00"/>
    <x v="0"/>
    <s v="East"/>
    <m/>
    <s v="Paid Search"/>
    <s v="Free"/>
    <x v="1"/>
    <x v="1"/>
    <x v="1"/>
    <x v="0"/>
    <n v="0"/>
    <n v="0"/>
    <n v="0"/>
    <m/>
    <n v="44.4"/>
  </r>
  <r>
    <s v="USR-100172"/>
    <d v="2025-03-23T00:00:00"/>
    <x v="0"/>
    <s v="North"/>
    <s v="Mobile"/>
    <s v="Organic"/>
    <s v="Free"/>
    <x v="1"/>
    <x v="0"/>
    <x v="0"/>
    <x v="0"/>
    <n v="0"/>
    <n v="0"/>
    <n v="0"/>
    <m/>
    <n v="61.7"/>
  </r>
  <r>
    <s v="USR-100173"/>
    <d v="2025-02-18T00:00:00"/>
    <x v="0"/>
    <s v="North"/>
    <s v="Tablet"/>
    <s v="Organic"/>
    <s v="Basic"/>
    <x v="0"/>
    <x v="0"/>
    <x v="0"/>
    <x v="0"/>
    <n v="0"/>
    <n v="1"/>
    <n v="0"/>
    <m/>
    <n v="81.3"/>
  </r>
  <r>
    <s v="USR-100174"/>
    <d v="2025-01-26T00:00:00"/>
    <x v="0"/>
    <s v="North"/>
    <s v="Desktop"/>
    <s v="Email"/>
    <s v="Free"/>
    <x v="1"/>
    <x v="0"/>
    <x v="0"/>
    <x v="0"/>
    <n v="0"/>
    <n v="2"/>
    <n v="0"/>
    <m/>
    <n v="28.7"/>
  </r>
  <r>
    <s v="USR-100175"/>
    <d v="2025-04-23T00:00:00"/>
    <x v="0"/>
    <s v="East"/>
    <s v="Mobile"/>
    <s v="Social"/>
    <s v="Basic"/>
    <x v="0"/>
    <x v="0"/>
    <x v="0"/>
    <x v="0"/>
    <n v="0"/>
    <n v="0"/>
    <n v="0"/>
    <m/>
    <n v="53"/>
  </r>
  <r>
    <s v="USR-100176"/>
    <d v="2025-03-16T00:00:00"/>
    <x v="0"/>
    <s v="South"/>
    <s v="Tablet"/>
    <s v="Referral"/>
    <s v="Basic"/>
    <x v="1"/>
    <x v="0"/>
    <x v="0"/>
    <x v="0"/>
    <n v="0"/>
    <n v="0"/>
    <n v="0"/>
    <m/>
    <n v="54.9"/>
  </r>
  <r>
    <s v="USR-100177"/>
    <d v="2025-04-29T00:00:00"/>
    <x v="0"/>
    <s v="West"/>
    <s v="Mobile"/>
    <s v="Organic"/>
    <s v="Basic"/>
    <x v="1"/>
    <x v="0"/>
    <x v="0"/>
    <x v="0"/>
    <n v="0"/>
    <n v="0"/>
    <n v="0"/>
    <m/>
    <n v="58.2"/>
  </r>
  <r>
    <s v="USR-100178"/>
    <d v="2025-04-06T00:00:00"/>
    <x v="0"/>
    <s v="North"/>
    <s v="Mobile"/>
    <s v="Organic"/>
    <s v="Free"/>
    <x v="0"/>
    <x v="0"/>
    <x v="0"/>
    <x v="0"/>
    <n v="0"/>
    <n v="0"/>
    <n v="0"/>
    <m/>
    <n v="80.599999999999994"/>
  </r>
  <r>
    <s v="USR-100179"/>
    <d v="2025-04-17T00:00:00"/>
    <x v="0"/>
    <s v="North"/>
    <s v="Desktop"/>
    <s v="Referral"/>
    <s v="Premium"/>
    <x v="1"/>
    <x v="1"/>
    <x v="1"/>
    <x v="0"/>
    <n v="0"/>
    <n v="0"/>
    <n v="0"/>
    <m/>
    <n v="38.4"/>
  </r>
  <r>
    <s v="USR-100180"/>
    <d v="2025-04-03T00:00:00"/>
    <x v="0"/>
    <s v="South"/>
    <s v="Mobile"/>
    <s v="Paid Search"/>
    <s v="Free"/>
    <x v="1"/>
    <x v="0"/>
    <x v="0"/>
    <x v="0"/>
    <n v="0"/>
    <n v="0"/>
    <n v="0"/>
    <m/>
    <n v="56.1"/>
  </r>
  <r>
    <s v="USR-100181"/>
    <d v="2025-04-25T00:00:00"/>
    <x v="0"/>
    <s v="West"/>
    <s v="Mobile"/>
    <s v="Paid Search"/>
    <s v="Free"/>
    <x v="0"/>
    <x v="0"/>
    <x v="0"/>
    <x v="0"/>
    <n v="0"/>
    <n v="0"/>
    <n v="0"/>
    <m/>
    <n v="62.6"/>
  </r>
  <r>
    <s v="USR-100182"/>
    <d v="2025-04-30T00:00:00"/>
    <x v="0"/>
    <s v="South"/>
    <s v="Mobile"/>
    <s v="Organic"/>
    <s v="Premium"/>
    <x v="0"/>
    <x v="0"/>
    <x v="0"/>
    <x v="0"/>
    <n v="0"/>
    <n v="0"/>
    <n v="0"/>
    <m/>
    <n v="36.299999999999997"/>
  </r>
  <r>
    <s v="USR-100183"/>
    <d v="2025-03-12T00:00:00"/>
    <x v="0"/>
    <s v="South"/>
    <s v="Mobile"/>
    <s v="Paid Search"/>
    <s v="Free"/>
    <x v="1"/>
    <x v="0"/>
    <x v="0"/>
    <x v="0"/>
    <n v="0"/>
    <n v="0"/>
    <n v="0"/>
    <m/>
    <n v="52.1"/>
  </r>
  <r>
    <s v="USR-100184"/>
    <d v="2025-05-04T00:00:00"/>
    <x v="0"/>
    <s v="South"/>
    <s v="Mobile"/>
    <s v="Organic"/>
    <s v="Free"/>
    <x v="1"/>
    <x v="0"/>
    <x v="0"/>
    <x v="0"/>
    <n v="0"/>
    <n v="0"/>
    <n v="0"/>
    <m/>
    <n v="45.1"/>
  </r>
  <r>
    <s v="USR-100185"/>
    <d v="2025-02-07T00:00:00"/>
    <x v="0"/>
    <s v="South"/>
    <s v="Tablet"/>
    <s v="Paid Search"/>
    <s v="Premium"/>
    <x v="0"/>
    <x v="0"/>
    <x v="0"/>
    <x v="0"/>
    <n v="0"/>
    <n v="0"/>
    <n v="0"/>
    <m/>
    <n v="67.5"/>
  </r>
  <r>
    <s v="USR-100186"/>
    <d v="2025-04-28T00:00:00"/>
    <x v="0"/>
    <s v="East"/>
    <s v="Tablet"/>
    <s v="Email"/>
    <s v="Basic"/>
    <x v="1"/>
    <x v="1"/>
    <x v="1"/>
    <x v="0"/>
    <n v="0"/>
    <n v="0"/>
    <n v="0"/>
    <m/>
    <n v="80"/>
  </r>
  <r>
    <s v="USR-100187"/>
    <d v="2025-05-15T00:00:00"/>
    <x v="0"/>
    <s v="East"/>
    <s v="Desktop"/>
    <s v="Referral"/>
    <s v="Free"/>
    <x v="0"/>
    <x v="0"/>
    <x v="0"/>
    <x v="0"/>
    <n v="0"/>
    <n v="0"/>
    <n v="0"/>
    <m/>
    <n v="56.4"/>
  </r>
  <r>
    <s v="USR-100188"/>
    <d v="2025-01-18T00:00:00"/>
    <x v="0"/>
    <s v="West"/>
    <s v="Mobile"/>
    <s v="Paid Search"/>
    <s v="Basic"/>
    <x v="0"/>
    <x v="0"/>
    <x v="0"/>
    <x v="0"/>
    <n v="0"/>
    <n v="0"/>
    <n v="0"/>
    <m/>
    <n v="55.4"/>
  </r>
  <r>
    <s v="USR-100189"/>
    <d v="2025-02-15T00:00:00"/>
    <x v="0"/>
    <s v="South"/>
    <s v="Mobile"/>
    <s v="Social"/>
    <s v="Basic"/>
    <x v="1"/>
    <x v="0"/>
    <x v="0"/>
    <x v="0"/>
    <n v="0"/>
    <n v="0"/>
    <n v="0"/>
    <m/>
    <n v="67.900000000000006"/>
  </r>
  <r>
    <s v="USR-100190"/>
    <d v="2025-02-18T00:00:00"/>
    <x v="0"/>
    <s v="North"/>
    <s v="Tablet"/>
    <s v="Email"/>
    <s v="Free"/>
    <x v="1"/>
    <x v="0"/>
    <x v="0"/>
    <x v="0"/>
    <n v="0"/>
    <n v="0"/>
    <n v="0"/>
    <m/>
    <n v="62.5"/>
  </r>
  <r>
    <s v="USR-100191"/>
    <d v="2025-01-30T00:00:00"/>
    <x v="0"/>
    <s v="South"/>
    <s v="Desktop"/>
    <s v="Email"/>
    <s v="Basic"/>
    <x v="1"/>
    <x v="1"/>
    <x v="1"/>
    <x v="0"/>
    <n v="0"/>
    <n v="0"/>
    <n v="0"/>
    <m/>
    <n v="54.3"/>
  </r>
  <r>
    <s v="USR-100192"/>
    <d v="2025-02-09T00:00:00"/>
    <x v="0"/>
    <s v="South"/>
    <s v="Desktop"/>
    <s v="Organic"/>
    <s v="Basic"/>
    <x v="1"/>
    <x v="0"/>
    <x v="0"/>
    <x v="0"/>
    <n v="0"/>
    <n v="0"/>
    <n v="0"/>
    <m/>
    <n v="37.5"/>
  </r>
  <r>
    <s v="USR-100193"/>
    <d v="2025-03-16T00:00:00"/>
    <x v="0"/>
    <s v="West"/>
    <s v="Mobile"/>
    <s v="Paid Search"/>
    <s v="Basic"/>
    <x v="1"/>
    <x v="0"/>
    <x v="0"/>
    <x v="0"/>
    <n v="0"/>
    <n v="0"/>
    <n v="0"/>
    <m/>
    <n v="52.6"/>
  </r>
  <r>
    <s v="USR-100194"/>
    <d v="2025-05-19T00:00:00"/>
    <x v="0"/>
    <s v="North"/>
    <s v="Mobile"/>
    <s v="Paid Search"/>
    <s v="Free"/>
    <x v="1"/>
    <x v="0"/>
    <x v="0"/>
    <x v="0"/>
    <n v="0"/>
    <n v="0"/>
    <n v="0"/>
    <m/>
    <n v="46.1"/>
  </r>
  <r>
    <s v="USR-100195"/>
    <d v="2025-05-16T00:00:00"/>
    <x v="0"/>
    <s v="South"/>
    <s v="Desktop"/>
    <s v="Organic"/>
    <s v="Basic"/>
    <x v="1"/>
    <x v="0"/>
    <x v="0"/>
    <x v="0"/>
    <n v="0"/>
    <n v="0"/>
    <n v="0"/>
    <m/>
    <n v="54.7"/>
  </r>
  <r>
    <s v="USR-100196"/>
    <d v="2025-04-25T00:00:00"/>
    <x v="0"/>
    <s v="West"/>
    <s v="Desktop"/>
    <s v="Referral"/>
    <s v="Basic"/>
    <x v="0"/>
    <x v="0"/>
    <x v="0"/>
    <x v="0"/>
    <n v="0"/>
    <n v="0"/>
    <n v="0"/>
    <m/>
    <n v="74.2"/>
  </r>
  <r>
    <s v="USR-100197"/>
    <d v="2025-02-27T00:00:00"/>
    <x v="0"/>
    <s v="North"/>
    <s v="Mobile"/>
    <s v="Social"/>
    <s v="Basic"/>
    <x v="1"/>
    <x v="1"/>
    <x v="1"/>
    <x v="1"/>
    <n v="1052.8"/>
    <n v="2"/>
    <n v="0"/>
    <n v="6"/>
    <n v="64.7"/>
  </r>
  <r>
    <s v="USR-100198"/>
    <d v="2025-04-26T00:00:00"/>
    <x v="0"/>
    <s v="South"/>
    <s v="Mobile"/>
    <s v="Paid Search"/>
    <s v="Basic"/>
    <x v="0"/>
    <x v="0"/>
    <x v="0"/>
    <x v="0"/>
    <n v="0"/>
    <n v="0"/>
    <n v="0"/>
    <m/>
    <n v="65.900000000000006"/>
  </r>
  <r>
    <s v="USR-100199"/>
    <d v="2025-05-14T00:00:00"/>
    <x v="0"/>
    <s v="North"/>
    <s v="Mobile"/>
    <s v="Organic"/>
    <s v="Basic"/>
    <x v="1"/>
    <x v="0"/>
    <x v="0"/>
    <x v="0"/>
    <n v="0"/>
    <n v="0"/>
    <n v="0"/>
    <m/>
    <n v="64"/>
  </r>
  <r>
    <s v="USR-100200"/>
    <d v="2025-03-05T00:00:00"/>
    <x v="0"/>
    <s v="North"/>
    <s v="Mobile"/>
    <s v="Organic"/>
    <s v="Premium"/>
    <x v="1"/>
    <x v="0"/>
    <x v="0"/>
    <x v="0"/>
    <n v="0"/>
    <n v="0"/>
    <n v="0"/>
    <m/>
    <n v="57.2"/>
  </r>
  <r>
    <s v="USR-100201"/>
    <d v="2025-04-02T00:00:00"/>
    <x v="0"/>
    <s v="West"/>
    <s v="Desktop"/>
    <s v="Organic"/>
    <s v="Free"/>
    <x v="1"/>
    <x v="0"/>
    <x v="0"/>
    <x v="0"/>
    <n v="0"/>
    <n v="0"/>
    <n v="0"/>
    <m/>
    <n v="80.5"/>
  </r>
  <r>
    <s v="USR-100202"/>
    <d v="2025-05-14T00:00:00"/>
    <x v="0"/>
    <s v="South"/>
    <s v="Tablet"/>
    <s v="Organic"/>
    <s v="Free"/>
    <x v="0"/>
    <x v="0"/>
    <x v="0"/>
    <x v="0"/>
    <n v="0"/>
    <n v="0"/>
    <n v="0"/>
    <m/>
    <n v="53.9"/>
  </r>
  <r>
    <s v="USR-100203"/>
    <d v="2025-05-21T00:00:00"/>
    <x v="0"/>
    <s v="North"/>
    <s v="Mobile"/>
    <s v="Paid Search"/>
    <s v="Free"/>
    <x v="1"/>
    <x v="1"/>
    <x v="0"/>
    <x v="0"/>
    <n v="0"/>
    <n v="0"/>
    <n v="0"/>
    <m/>
    <n v="77.5"/>
  </r>
  <r>
    <s v="USR-100204"/>
    <d v="2025-01-27T00:00:00"/>
    <x v="0"/>
    <s v="East"/>
    <s v="Mobile"/>
    <s v="Social"/>
    <s v="Basic"/>
    <x v="0"/>
    <x v="0"/>
    <x v="0"/>
    <x v="0"/>
    <n v="0"/>
    <n v="0"/>
    <n v="0"/>
    <m/>
    <n v="84.2"/>
  </r>
  <r>
    <s v="USR-100205"/>
    <d v="2025-05-22T00:00:00"/>
    <x v="0"/>
    <s v="West"/>
    <s v="Desktop"/>
    <s v="Organic"/>
    <s v="Free"/>
    <x v="1"/>
    <x v="1"/>
    <x v="0"/>
    <x v="0"/>
    <n v="0"/>
    <n v="0"/>
    <n v="0"/>
    <m/>
    <n v="54.9"/>
  </r>
  <r>
    <s v="USR-100206"/>
    <d v="2025-05-19T00:00:00"/>
    <x v="0"/>
    <s v="South"/>
    <s v="Mobile"/>
    <s v="Paid Search"/>
    <s v="Free"/>
    <x v="0"/>
    <x v="0"/>
    <x v="0"/>
    <x v="0"/>
    <n v="0"/>
    <n v="0"/>
    <n v="0"/>
    <m/>
    <n v="69.3"/>
  </r>
  <r>
    <s v="USR-100207"/>
    <d v="2025-01-14T00:00:00"/>
    <x v="0"/>
    <s v="South"/>
    <s v="Desktop"/>
    <s v="Paid Search"/>
    <s v="Free"/>
    <x v="1"/>
    <x v="0"/>
    <x v="0"/>
    <x v="0"/>
    <n v="0"/>
    <n v="2"/>
    <n v="0"/>
    <m/>
    <n v="42.3"/>
  </r>
  <r>
    <s v="USR-100208"/>
    <d v="2025-01-21T00:00:00"/>
    <x v="0"/>
    <s v="North"/>
    <s v="Desktop"/>
    <s v="Referral"/>
    <s v="Premium"/>
    <x v="1"/>
    <x v="0"/>
    <x v="0"/>
    <x v="0"/>
    <n v="0"/>
    <n v="1"/>
    <n v="0"/>
    <m/>
    <n v="69.599999999999994"/>
  </r>
  <r>
    <s v="USR-100209"/>
    <d v="2025-05-16T00:00:00"/>
    <x v="0"/>
    <s v="East"/>
    <s v="Mobile"/>
    <s v="Organic"/>
    <s v="Free"/>
    <x v="0"/>
    <x v="0"/>
    <x v="0"/>
    <x v="0"/>
    <n v="0"/>
    <n v="0"/>
    <n v="0"/>
    <m/>
    <n v="40.700000000000003"/>
  </r>
  <r>
    <s v="USR-100210"/>
    <d v="2025-02-02T00:00:00"/>
    <x v="0"/>
    <s v="North"/>
    <s v="Mobile"/>
    <s v="Email"/>
    <s v="Free"/>
    <x v="1"/>
    <x v="0"/>
    <x v="0"/>
    <x v="0"/>
    <n v="0"/>
    <n v="0"/>
    <n v="0"/>
    <m/>
    <n v="54"/>
  </r>
  <r>
    <s v="USR-100211"/>
    <d v="2025-03-23T00:00:00"/>
    <x v="0"/>
    <s v="East"/>
    <m/>
    <s v="Referral"/>
    <s v="Free"/>
    <x v="1"/>
    <x v="1"/>
    <x v="1"/>
    <x v="1"/>
    <n v="553.37"/>
    <n v="0"/>
    <n v="0"/>
    <n v="5"/>
    <n v="46.3"/>
  </r>
  <r>
    <s v="USR-100212"/>
    <d v="2025-01-24T00:00:00"/>
    <x v="0"/>
    <s v="East"/>
    <s v="Mobile"/>
    <s v="Organic"/>
    <s v="Free"/>
    <x v="1"/>
    <x v="0"/>
    <x v="0"/>
    <x v="0"/>
    <n v="0"/>
    <n v="0"/>
    <n v="0"/>
    <m/>
    <n v="64.2"/>
  </r>
  <r>
    <s v="USR-100213"/>
    <d v="2025-04-12T00:00:00"/>
    <x v="0"/>
    <s v="North"/>
    <s v="Desktop"/>
    <s v="Organic"/>
    <s v="Free"/>
    <x v="1"/>
    <x v="0"/>
    <x v="0"/>
    <x v="0"/>
    <n v="0"/>
    <n v="0"/>
    <n v="0"/>
    <m/>
    <n v="75.2"/>
  </r>
  <r>
    <s v="USR-100214"/>
    <d v="2025-02-18T00:00:00"/>
    <x v="0"/>
    <s v="East"/>
    <s v="Desktop"/>
    <s v="Paid Search"/>
    <s v="Free"/>
    <x v="1"/>
    <x v="1"/>
    <x v="0"/>
    <x v="0"/>
    <n v="0"/>
    <n v="0"/>
    <n v="0"/>
    <m/>
    <n v="60.9"/>
  </r>
  <r>
    <s v="USR-100215"/>
    <d v="2025-05-28T00:00:00"/>
    <x v="0"/>
    <s v="South"/>
    <s v="Mobile"/>
    <s v="Email"/>
    <s v="Basic"/>
    <x v="1"/>
    <x v="1"/>
    <x v="1"/>
    <x v="0"/>
    <n v="0"/>
    <n v="0"/>
    <n v="0"/>
    <m/>
    <n v="62.1"/>
  </r>
  <r>
    <s v="USR-100216"/>
    <d v="2025-04-18T00:00:00"/>
    <x v="0"/>
    <s v="South"/>
    <s v="Mobile"/>
    <s v="Social"/>
    <s v="Basic"/>
    <x v="0"/>
    <x v="0"/>
    <x v="0"/>
    <x v="0"/>
    <n v="0"/>
    <n v="0"/>
    <n v="0"/>
    <m/>
    <n v="45.4"/>
  </r>
  <r>
    <s v="USR-100217"/>
    <d v="2025-03-27T00:00:00"/>
    <x v="0"/>
    <s v="North"/>
    <s v="Mobile"/>
    <s v="Paid Search"/>
    <s v="Basic"/>
    <x v="1"/>
    <x v="0"/>
    <x v="0"/>
    <x v="0"/>
    <n v="0"/>
    <n v="0"/>
    <n v="0"/>
    <m/>
    <n v="53.3"/>
  </r>
  <r>
    <s v="USR-100218"/>
    <d v="2025-02-25T00:00:00"/>
    <x v="0"/>
    <s v="North"/>
    <s v="Tablet"/>
    <s v="Social"/>
    <s v="Free"/>
    <x v="1"/>
    <x v="0"/>
    <x v="0"/>
    <x v="0"/>
    <n v="0"/>
    <n v="0"/>
    <n v="0"/>
    <m/>
    <m/>
  </r>
  <r>
    <s v="USR-100219"/>
    <d v="2025-02-19T00:00:00"/>
    <x v="0"/>
    <s v="East"/>
    <s v="Mobile"/>
    <s v="Paid Search"/>
    <s v="Free"/>
    <x v="0"/>
    <x v="0"/>
    <x v="0"/>
    <x v="0"/>
    <n v="0"/>
    <n v="1"/>
    <n v="0"/>
    <m/>
    <n v="38.200000000000003"/>
  </r>
  <r>
    <s v="USR-100220"/>
    <d v="2025-04-11T00:00:00"/>
    <x v="0"/>
    <s v="West"/>
    <s v="Mobile"/>
    <s v="Paid Search"/>
    <s v="Free"/>
    <x v="1"/>
    <x v="1"/>
    <x v="0"/>
    <x v="0"/>
    <n v="0"/>
    <n v="3"/>
    <n v="0"/>
    <m/>
    <n v="59"/>
  </r>
  <r>
    <s v="USR-100221"/>
    <d v="2025-01-22T00:00:00"/>
    <x v="0"/>
    <s v="East"/>
    <s v="Tablet"/>
    <s v="Referral"/>
    <s v="Premium"/>
    <x v="1"/>
    <x v="1"/>
    <x v="1"/>
    <x v="0"/>
    <n v="0"/>
    <n v="0"/>
    <n v="0"/>
    <m/>
    <n v="80.599999999999994"/>
  </r>
  <r>
    <s v="USR-100222"/>
    <d v="2025-01-12T00:00:00"/>
    <x v="0"/>
    <s v="South"/>
    <s v="Mobile"/>
    <s v="Social"/>
    <s v="Free"/>
    <x v="1"/>
    <x v="0"/>
    <x v="0"/>
    <x v="0"/>
    <n v="0"/>
    <n v="0"/>
    <n v="0"/>
    <m/>
    <n v="67"/>
  </r>
  <r>
    <s v="USR-100223"/>
    <d v="2025-02-17T00:00:00"/>
    <x v="0"/>
    <s v="West"/>
    <s v="Mobile"/>
    <s v="Email"/>
    <s v="Free"/>
    <x v="1"/>
    <x v="0"/>
    <x v="0"/>
    <x v="0"/>
    <n v="0"/>
    <n v="1"/>
    <n v="0"/>
    <m/>
    <n v="72.099999999999994"/>
  </r>
  <r>
    <s v="USR-100224"/>
    <d v="2025-04-11T00:00:00"/>
    <x v="0"/>
    <s v="West"/>
    <s v="Desktop"/>
    <s v="Organic"/>
    <s v="Free"/>
    <x v="0"/>
    <x v="0"/>
    <x v="0"/>
    <x v="0"/>
    <n v="0"/>
    <n v="0"/>
    <n v="0"/>
    <m/>
    <n v="74.099999999999994"/>
  </r>
  <r>
    <s v="USR-100225"/>
    <d v="2025-05-25T00:00:00"/>
    <x v="0"/>
    <s v="South"/>
    <s v="Mobile"/>
    <s v="Referral"/>
    <s v="Premium"/>
    <x v="0"/>
    <x v="0"/>
    <x v="0"/>
    <x v="0"/>
    <n v="0"/>
    <n v="0"/>
    <n v="0"/>
    <m/>
    <n v="84.8"/>
  </r>
  <r>
    <s v="USR-100226"/>
    <d v="2025-03-12T00:00:00"/>
    <x v="0"/>
    <s v="South"/>
    <s v="Mobile"/>
    <s v="Organic"/>
    <s v="Basic"/>
    <x v="1"/>
    <x v="0"/>
    <x v="0"/>
    <x v="0"/>
    <n v="0"/>
    <n v="0"/>
    <n v="0"/>
    <m/>
    <n v="33"/>
  </r>
  <r>
    <s v="USR-100227"/>
    <d v="2025-04-20T00:00:00"/>
    <x v="0"/>
    <s v="North"/>
    <s v="Tablet"/>
    <s v="Email"/>
    <s v="Free"/>
    <x v="0"/>
    <x v="0"/>
    <x v="0"/>
    <x v="0"/>
    <n v="0"/>
    <n v="0"/>
    <n v="0"/>
    <m/>
    <n v="52.5"/>
  </r>
  <r>
    <s v="USR-100228"/>
    <d v="2025-02-23T00:00:00"/>
    <x v="0"/>
    <s v="North"/>
    <s v="Tablet"/>
    <s v="Organic"/>
    <s v="Free"/>
    <x v="0"/>
    <x v="0"/>
    <x v="0"/>
    <x v="0"/>
    <n v="0"/>
    <n v="0"/>
    <n v="0"/>
    <m/>
    <n v="66.900000000000006"/>
  </r>
  <r>
    <s v="USR-100229"/>
    <d v="2025-01-24T00:00:00"/>
    <x v="0"/>
    <s v="North"/>
    <s v="Mobile"/>
    <s v="Organic"/>
    <s v="Basic"/>
    <x v="1"/>
    <x v="1"/>
    <x v="1"/>
    <x v="0"/>
    <n v="0"/>
    <n v="1"/>
    <n v="0"/>
    <m/>
    <n v="32.700000000000003"/>
  </r>
  <r>
    <s v="USR-100230"/>
    <d v="2025-01-16T00:00:00"/>
    <x v="0"/>
    <s v="West"/>
    <s v="Mobile"/>
    <s v="Organic"/>
    <s v="Premium"/>
    <x v="1"/>
    <x v="1"/>
    <x v="1"/>
    <x v="0"/>
    <n v="0"/>
    <n v="1"/>
    <n v="0"/>
    <m/>
    <n v="70.599999999999994"/>
  </r>
  <r>
    <s v="USR-100231"/>
    <d v="2025-02-17T00:00:00"/>
    <x v="0"/>
    <s v="North"/>
    <s v="Mobile"/>
    <s v="Social"/>
    <s v="Free"/>
    <x v="0"/>
    <x v="0"/>
    <x v="0"/>
    <x v="0"/>
    <n v="0"/>
    <n v="0"/>
    <n v="0"/>
    <m/>
    <n v="69.400000000000006"/>
  </r>
  <r>
    <s v="USR-100232"/>
    <d v="2025-05-04T00:00:00"/>
    <x v="0"/>
    <s v="North"/>
    <s v="Desktop"/>
    <s v="Organic"/>
    <s v="Basic"/>
    <x v="1"/>
    <x v="0"/>
    <x v="0"/>
    <x v="0"/>
    <n v="0"/>
    <n v="0"/>
    <n v="0"/>
    <m/>
    <n v="56.1"/>
  </r>
  <r>
    <s v="USR-100233"/>
    <d v="2025-01-12T00:00:00"/>
    <x v="0"/>
    <s v="West"/>
    <s v="Mobile"/>
    <s v="Organic"/>
    <s v="Basic"/>
    <x v="0"/>
    <x v="0"/>
    <x v="0"/>
    <x v="0"/>
    <n v="0"/>
    <n v="0"/>
    <n v="0"/>
    <m/>
    <n v="55.8"/>
  </r>
  <r>
    <s v="USR-100234"/>
    <d v="2025-04-28T00:00:00"/>
    <x v="0"/>
    <s v="North"/>
    <s v="Tablet"/>
    <s v="Organic"/>
    <s v="Free"/>
    <x v="0"/>
    <x v="0"/>
    <x v="0"/>
    <x v="0"/>
    <n v="0"/>
    <n v="0"/>
    <n v="0"/>
    <m/>
    <n v="49.3"/>
  </r>
  <r>
    <s v="USR-100235"/>
    <d v="2025-02-26T00:00:00"/>
    <x v="0"/>
    <s v="North"/>
    <s v="Mobile"/>
    <s v="Organic"/>
    <s v="Free"/>
    <x v="0"/>
    <x v="0"/>
    <x v="0"/>
    <x v="0"/>
    <n v="0"/>
    <n v="0"/>
    <n v="0"/>
    <m/>
    <n v="71.8"/>
  </r>
  <r>
    <s v="USR-100236"/>
    <d v="2025-03-18T00:00:00"/>
    <x v="0"/>
    <s v="West"/>
    <s v="Mobile"/>
    <s v="Social"/>
    <s v="Free"/>
    <x v="1"/>
    <x v="0"/>
    <x v="0"/>
    <x v="0"/>
    <n v="0"/>
    <n v="3"/>
    <n v="0"/>
    <m/>
    <n v="39.700000000000003"/>
  </r>
  <r>
    <s v="USR-100237"/>
    <d v="2025-03-01T00:00:00"/>
    <x v="0"/>
    <s v="South"/>
    <s v="Desktop"/>
    <s v="Organic"/>
    <s v="Premium"/>
    <x v="1"/>
    <x v="0"/>
    <x v="0"/>
    <x v="0"/>
    <n v="0"/>
    <n v="0"/>
    <n v="0"/>
    <m/>
    <n v="45.4"/>
  </r>
  <r>
    <s v="USR-100238"/>
    <d v="2025-04-05T00:00:00"/>
    <x v="0"/>
    <s v="North"/>
    <s v="Desktop"/>
    <s v="Social"/>
    <s v="Premium"/>
    <x v="1"/>
    <x v="0"/>
    <x v="0"/>
    <x v="0"/>
    <n v="0"/>
    <n v="0"/>
    <n v="0"/>
    <m/>
    <n v="69.900000000000006"/>
  </r>
  <r>
    <s v="USR-100239"/>
    <d v="2025-03-12T00:00:00"/>
    <x v="0"/>
    <s v="North"/>
    <s v="Desktop"/>
    <s v="Social"/>
    <s v="Free"/>
    <x v="1"/>
    <x v="1"/>
    <x v="1"/>
    <x v="0"/>
    <n v="0"/>
    <n v="0"/>
    <n v="0"/>
    <m/>
    <n v="56.1"/>
  </r>
  <r>
    <s v="USR-100240"/>
    <d v="2025-03-15T00:00:00"/>
    <x v="0"/>
    <s v="West"/>
    <s v="Mobile"/>
    <s v="Referral"/>
    <s v="Basic"/>
    <x v="1"/>
    <x v="1"/>
    <x v="0"/>
    <x v="0"/>
    <n v="0"/>
    <n v="0"/>
    <n v="0"/>
    <m/>
    <n v="45.9"/>
  </r>
  <r>
    <s v="USR-100241"/>
    <d v="2025-02-23T00:00:00"/>
    <x v="0"/>
    <s v="West"/>
    <s v="Mobile"/>
    <s v="Email"/>
    <s v="Free"/>
    <x v="0"/>
    <x v="0"/>
    <x v="0"/>
    <x v="0"/>
    <n v="0"/>
    <n v="0"/>
    <n v="0"/>
    <m/>
    <n v="65.8"/>
  </r>
  <r>
    <s v="USR-100242"/>
    <d v="2025-04-22T00:00:00"/>
    <x v="0"/>
    <s v="North"/>
    <s v="Mobile"/>
    <s v="Organic"/>
    <s v="Basic"/>
    <x v="1"/>
    <x v="0"/>
    <x v="0"/>
    <x v="0"/>
    <n v="0"/>
    <n v="0"/>
    <n v="0"/>
    <m/>
    <n v="48.2"/>
  </r>
  <r>
    <s v="USR-100243"/>
    <d v="2025-01-09T00:00:00"/>
    <x v="0"/>
    <s v="East"/>
    <s v="Mobile"/>
    <s v="Organic"/>
    <s v="Basic"/>
    <x v="1"/>
    <x v="1"/>
    <x v="1"/>
    <x v="0"/>
    <n v="0"/>
    <n v="0"/>
    <n v="0"/>
    <m/>
    <n v="81.099999999999994"/>
  </r>
  <r>
    <s v="USR-100244"/>
    <d v="2025-03-05T00:00:00"/>
    <x v="0"/>
    <s v="East"/>
    <s v="Tablet"/>
    <s v="Social"/>
    <s v="Premium"/>
    <x v="1"/>
    <x v="1"/>
    <x v="0"/>
    <x v="0"/>
    <n v="0"/>
    <n v="0"/>
    <n v="0"/>
    <m/>
    <n v="53.2"/>
  </r>
  <r>
    <s v="USR-100245"/>
    <d v="2025-01-28T00:00:00"/>
    <x v="0"/>
    <s v="North"/>
    <s v="Mobile"/>
    <s v="Social"/>
    <s v="Free"/>
    <x v="1"/>
    <x v="1"/>
    <x v="1"/>
    <x v="0"/>
    <n v="0"/>
    <n v="0"/>
    <n v="0"/>
    <m/>
    <n v="57.7"/>
  </r>
  <r>
    <s v="USR-100246"/>
    <d v="2025-01-21T00:00:00"/>
    <x v="0"/>
    <s v="West"/>
    <s v="Mobile"/>
    <s v="Paid Search"/>
    <s v="Premium"/>
    <x v="1"/>
    <x v="1"/>
    <x v="0"/>
    <x v="0"/>
    <n v="0"/>
    <n v="0"/>
    <n v="0"/>
    <m/>
    <n v="78.900000000000006"/>
  </r>
  <r>
    <s v="USR-100247"/>
    <d v="2025-03-14T00:00:00"/>
    <x v="0"/>
    <s v="South"/>
    <s v="Mobile"/>
    <s v="Referral"/>
    <s v="Basic"/>
    <x v="0"/>
    <x v="0"/>
    <x v="0"/>
    <x v="0"/>
    <n v="0"/>
    <n v="0"/>
    <n v="0"/>
    <m/>
    <n v="55.7"/>
  </r>
  <r>
    <s v="USR-100248"/>
    <d v="2025-02-03T00:00:00"/>
    <x v="0"/>
    <s v="West"/>
    <s v="Mobile"/>
    <s v="Paid Search"/>
    <s v="Free"/>
    <x v="0"/>
    <x v="0"/>
    <x v="0"/>
    <x v="0"/>
    <n v="0"/>
    <n v="0"/>
    <n v="0"/>
    <m/>
    <n v="52.3"/>
  </r>
  <r>
    <s v="USR-100249"/>
    <d v="2025-05-22T00:00:00"/>
    <x v="0"/>
    <s v="North"/>
    <s v="Mobile"/>
    <s v="Social"/>
    <s v="Free"/>
    <x v="1"/>
    <x v="0"/>
    <x v="0"/>
    <x v="0"/>
    <n v="0"/>
    <n v="0"/>
    <n v="0"/>
    <m/>
    <n v="51.5"/>
  </r>
  <r>
    <s v="USR-100250"/>
    <d v="2025-04-25T00:00:00"/>
    <x v="0"/>
    <s v="North"/>
    <s v="Desktop"/>
    <s v="Email"/>
    <s v="Free"/>
    <x v="1"/>
    <x v="0"/>
    <x v="0"/>
    <x v="0"/>
    <n v="0"/>
    <n v="0"/>
    <n v="0"/>
    <m/>
    <n v="70.8"/>
  </r>
  <r>
    <s v="USR-100251"/>
    <d v="2025-01-30T00:00:00"/>
    <x v="0"/>
    <s v="North"/>
    <s v="Desktop"/>
    <s v="Email"/>
    <s v="Basic"/>
    <x v="1"/>
    <x v="1"/>
    <x v="1"/>
    <x v="1"/>
    <n v="1250.78"/>
    <n v="0"/>
    <n v="0"/>
    <n v="10"/>
    <n v="39"/>
  </r>
  <r>
    <s v="USR-100252"/>
    <d v="2025-05-23T00:00:00"/>
    <x v="0"/>
    <s v="West"/>
    <s v="Mobile"/>
    <s v="Organic"/>
    <s v="Free"/>
    <x v="1"/>
    <x v="0"/>
    <x v="0"/>
    <x v="0"/>
    <n v="0"/>
    <n v="0"/>
    <n v="0"/>
    <m/>
    <n v="61.6"/>
  </r>
  <r>
    <s v="USR-100253"/>
    <d v="2025-02-14T00:00:00"/>
    <x v="0"/>
    <s v="East"/>
    <s v="Desktop"/>
    <s v="Organic"/>
    <s v="Free"/>
    <x v="1"/>
    <x v="1"/>
    <x v="1"/>
    <x v="0"/>
    <n v="0"/>
    <n v="0"/>
    <n v="0"/>
    <m/>
    <n v="46.8"/>
  </r>
  <r>
    <s v="USR-100254"/>
    <d v="2025-03-05T00:00:00"/>
    <x v="0"/>
    <s v="North"/>
    <s v="Mobile"/>
    <s v="Paid Search"/>
    <s v="Premium"/>
    <x v="0"/>
    <x v="0"/>
    <x v="0"/>
    <x v="0"/>
    <n v="0"/>
    <n v="1"/>
    <n v="0"/>
    <m/>
    <n v="58.5"/>
  </r>
  <r>
    <s v="USR-100255"/>
    <d v="2025-05-27T00:00:00"/>
    <x v="0"/>
    <s v="North"/>
    <s v="Mobile"/>
    <s v="Paid Search"/>
    <s v="Basic"/>
    <x v="0"/>
    <x v="0"/>
    <x v="0"/>
    <x v="0"/>
    <n v="0"/>
    <n v="0"/>
    <n v="0"/>
    <m/>
    <n v="70.900000000000006"/>
  </r>
  <r>
    <s v="USR-100256"/>
    <d v="2025-01-07T00:00:00"/>
    <x v="0"/>
    <s v="South"/>
    <s v="Mobile"/>
    <s v="Paid Search"/>
    <s v="Free"/>
    <x v="1"/>
    <x v="0"/>
    <x v="0"/>
    <x v="0"/>
    <n v="0"/>
    <n v="0"/>
    <n v="0"/>
    <m/>
    <n v="48.4"/>
  </r>
  <r>
    <s v="USR-100257"/>
    <d v="2025-04-21T00:00:00"/>
    <x v="0"/>
    <s v="North"/>
    <s v="Mobile"/>
    <s v="Email"/>
    <s v="Free"/>
    <x v="1"/>
    <x v="0"/>
    <x v="0"/>
    <x v="0"/>
    <n v="0"/>
    <n v="0"/>
    <n v="0"/>
    <m/>
    <n v="58"/>
  </r>
  <r>
    <s v="USR-100258"/>
    <d v="2025-05-13T00:00:00"/>
    <x v="0"/>
    <s v="North"/>
    <s v="Mobile"/>
    <s v="Paid Search"/>
    <s v="Free"/>
    <x v="0"/>
    <x v="0"/>
    <x v="0"/>
    <x v="0"/>
    <n v="0"/>
    <n v="0"/>
    <n v="0"/>
    <m/>
    <n v="61.6"/>
  </r>
  <r>
    <s v="USR-100259"/>
    <d v="2025-01-28T00:00:00"/>
    <x v="0"/>
    <s v="East"/>
    <s v="Desktop"/>
    <s v="Organic"/>
    <s v="Free"/>
    <x v="1"/>
    <x v="0"/>
    <x v="0"/>
    <x v="0"/>
    <n v="0"/>
    <n v="0"/>
    <n v="0"/>
    <m/>
    <n v="43.2"/>
  </r>
  <r>
    <s v="USR-100260"/>
    <d v="2025-03-16T00:00:00"/>
    <x v="0"/>
    <s v="East"/>
    <s v="Desktop"/>
    <s v="Paid Search"/>
    <s v="Basic"/>
    <x v="1"/>
    <x v="0"/>
    <x v="0"/>
    <x v="0"/>
    <n v="0"/>
    <n v="1"/>
    <n v="0"/>
    <m/>
    <n v="53.3"/>
  </r>
  <r>
    <s v="USR-100261"/>
    <d v="2025-04-10T00:00:00"/>
    <x v="0"/>
    <s v="East"/>
    <s v="Desktop"/>
    <s v="Social"/>
    <s v="Basic"/>
    <x v="0"/>
    <x v="0"/>
    <x v="0"/>
    <x v="0"/>
    <n v="0"/>
    <n v="0"/>
    <n v="0"/>
    <m/>
    <n v="33.9"/>
  </r>
  <r>
    <s v="USR-100262"/>
    <d v="2025-03-15T00:00:00"/>
    <x v="0"/>
    <s v="East"/>
    <s v="Desktop"/>
    <s v="Referral"/>
    <s v="Free"/>
    <x v="1"/>
    <x v="1"/>
    <x v="1"/>
    <x v="0"/>
    <n v="0"/>
    <n v="0"/>
    <n v="0"/>
    <m/>
    <n v="35.4"/>
  </r>
  <r>
    <s v="USR-100263"/>
    <d v="2025-04-07T00:00:00"/>
    <x v="0"/>
    <s v="West"/>
    <s v="Desktop"/>
    <s v="Organic"/>
    <s v="Basic"/>
    <x v="1"/>
    <x v="0"/>
    <x v="0"/>
    <x v="0"/>
    <n v="0"/>
    <n v="0"/>
    <n v="0"/>
    <m/>
    <n v="45"/>
  </r>
  <r>
    <s v="USR-100264"/>
    <d v="2025-02-12T00:00:00"/>
    <x v="0"/>
    <s v="South"/>
    <s v="Mobile"/>
    <s v="Organic"/>
    <s v="Free"/>
    <x v="1"/>
    <x v="1"/>
    <x v="0"/>
    <x v="0"/>
    <n v="0"/>
    <n v="0"/>
    <n v="0"/>
    <m/>
    <n v="86.5"/>
  </r>
  <r>
    <s v="USR-100265"/>
    <d v="2025-05-05T00:00:00"/>
    <x v="0"/>
    <s v="West"/>
    <s v="Mobile"/>
    <s v="Social"/>
    <s v="Free"/>
    <x v="0"/>
    <x v="0"/>
    <x v="0"/>
    <x v="0"/>
    <n v="0"/>
    <n v="0"/>
    <n v="0"/>
    <m/>
    <n v="58.1"/>
  </r>
  <r>
    <s v="USR-100266"/>
    <d v="2025-03-11T00:00:00"/>
    <x v="0"/>
    <s v="West"/>
    <s v="Mobile"/>
    <s v="Referral"/>
    <s v="Free"/>
    <x v="1"/>
    <x v="0"/>
    <x v="0"/>
    <x v="0"/>
    <n v="0"/>
    <n v="0"/>
    <n v="0"/>
    <m/>
    <n v="36.1"/>
  </r>
  <r>
    <s v="USR-100267"/>
    <d v="2025-02-10T00:00:00"/>
    <x v="0"/>
    <s v="East"/>
    <s v="Mobile"/>
    <s v="Social"/>
    <s v="Free"/>
    <x v="0"/>
    <x v="0"/>
    <x v="0"/>
    <x v="0"/>
    <n v="0"/>
    <n v="0"/>
    <n v="0"/>
    <m/>
    <n v="62.8"/>
  </r>
  <r>
    <s v="USR-100268"/>
    <d v="2025-04-06T00:00:00"/>
    <x v="0"/>
    <s v="South"/>
    <s v="Mobile"/>
    <s v="Organic"/>
    <s v="Free"/>
    <x v="0"/>
    <x v="0"/>
    <x v="0"/>
    <x v="0"/>
    <n v="0"/>
    <n v="0"/>
    <n v="0"/>
    <m/>
    <n v="54.2"/>
  </r>
  <r>
    <s v="USR-100269"/>
    <d v="2025-01-06T00:00:00"/>
    <x v="0"/>
    <s v="East"/>
    <s v="Mobile"/>
    <s v="Referral"/>
    <s v="Free"/>
    <x v="0"/>
    <x v="0"/>
    <x v="0"/>
    <x v="0"/>
    <n v="0"/>
    <n v="0"/>
    <n v="0"/>
    <m/>
    <n v="50"/>
  </r>
  <r>
    <s v="USR-100270"/>
    <d v="2025-03-25T00:00:00"/>
    <x v="0"/>
    <s v="East"/>
    <s v="Tablet"/>
    <s v="Paid Search"/>
    <s v="Basic"/>
    <x v="1"/>
    <x v="0"/>
    <x v="0"/>
    <x v="0"/>
    <n v="0"/>
    <n v="0"/>
    <n v="0"/>
    <m/>
    <n v="62"/>
  </r>
  <r>
    <s v="USR-100271"/>
    <d v="2025-02-13T00:00:00"/>
    <x v="0"/>
    <s v="East"/>
    <s v="Desktop"/>
    <s v="Referral"/>
    <s v="Free"/>
    <x v="1"/>
    <x v="0"/>
    <x v="0"/>
    <x v="0"/>
    <n v="0"/>
    <n v="0"/>
    <n v="0"/>
    <m/>
    <n v="29.3"/>
  </r>
  <r>
    <s v="USR-100272"/>
    <d v="2025-03-17T00:00:00"/>
    <x v="0"/>
    <s v="West"/>
    <s v="Desktop"/>
    <s v="Organic"/>
    <s v="Free"/>
    <x v="1"/>
    <x v="0"/>
    <x v="0"/>
    <x v="0"/>
    <n v="0"/>
    <n v="0"/>
    <n v="0"/>
    <m/>
    <n v="67.900000000000006"/>
  </r>
  <r>
    <s v="USR-100273"/>
    <d v="2025-05-10T00:00:00"/>
    <x v="0"/>
    <s v="North"/>
    <s v="Mobile"/>
    <s v="Referral"/>
    <s v="Free"/>
    <x v="1"/>
    <x v="1"/>
    <x v="1"/>
    <x v="0"/>
    <n v="0"/>
    <n v="0"/>
    <n v="0"/>
    <m/>
    <n v="67.599999999999994"/>
  </r>
  <r>
    <s v="USR-100274"/>
    <d v="2025-05-07T00:00:00"/>
    <x v="0"/>
    <s v="South"/>
    <s v="Mobile"/>
    <s v="Paid Search"/>
    <s v="Basic"/>
    <x v="0"/>
    <x v="0"/>
    <x v="0"/>
    <x v="0"/>
    <n v="0"/>
    <n v="0"/>
    <n v="0"/>
    <m/>
    <n v="67.400000000000006"/>
  </r>
  <r>
    <s v="USR-100275"/>
    <d v="2025-02-26T00:00:00"/>
    <x v="0"/>
    <s v="West"/>
    <s v="Desktop"/>
    <s v="Paid Search"/>
    <s v="Premium"/>
    <x v="0"/>
    <x v="0"/>
    <x v="0"/>
    <x v="0"/>
    <n v="0"/>
    <n v="2"/>
    <n v="0"/>
    <m/>
    <n v="53"/>
  </r>
  <r>
    <s v="USR-100276"/>
    <d v="2025-05-11T00:00:00"/>
    <x v="0"/>
    <s v="North"/>
    <s v="Mobile"/>
    <s v="Organic"/>
    <s v="Basic"/>
    <x v="0"/>
    <x v="0"/>
    <x v="0"/>
    <x v="0"/>
    <n v="0"/>
    <n v="0"/>
    <n v="0"/>
    <m/>
    <n v="65.5"/>
  </r>
  <r>
    <s v="USR-100277"/>
    <d v="2025-03-20T00:00:00"/>
    <x v="0"/>
    <s v="South"/>
    <s v="Mobile"/>
    <s v="Organic"/>
    <s v="Basic"/>
    <x v="1"/>
    <x v="1"/>
    <x v="0"/>
    <x v="0"/>
    <n v="0"/>
    <n v="0"/>
    <n v="0"/>
    <m/>
    <n v="49.6"/>
  </r>
  <r>
    <s v="USR-100278"/>
    <d v="2025-01-19T00:00:00"/>
    <x v="0"/>
    <s v="North"/>
    <s v="Mobile"/>
    <s v="Email"/>
    <s v="Free"/>
    <x v="1"/>
    <x v="1"/>
    <x v="0"/>
    <x v="0"/>
    <n v="0"/>
    <n v="0"/>
    <n v="0"/>
    <m/>
    <n v="74.5"/>
  </r>
  <r>
    <s v="USR-100279"/>
    <d v="2025-03-08T00:00:00"/>
    <x v="0"/>
    <s v="North"/>
    <s v="Tablet"/>
    <s v="Paid Search"/>
    <s v="Premium"/>
    <x v="1"/>
    <x v="0"/>
    <x v="0"/>
    <x v="0"/>
    <n v="0"/>
    <n v="1"/>
    <n v="0"/>
    <m/>
    <n v="46.9"/>
  </r>
  <r>
    <s v="USR-100280"/>
    <d v="2025-04-25T00:00:00"/>
    <x v="0"/>
    <s v="North"/>
    <s v="Mobile"/>
    <s v="Organic"/>
    <s v="Free"/>
    <x v="0"/>
    <x v="0"/>
    <x v="0"/>
    <x v="0"/>
    <n v="0"/>
    <n v="0"/>
    <n v="0"/>
    <m/>
    <n v="87.1"/>
  </r>
  <r>
    <s v="USR-100281"/>
    <d v="2025-04-04T00:00:00"/>
    <x v="0"/>
    <s v="North"/>
    <s v="Desktop"/>
    <s v="Organic"/>
    <s v="Free"/>
    <x v="1"/>
    <x v="0"/>
    <x v="0"/>
    <x v="0"/>
    <n v="0"/>
    <n v="0"/>
    <n v="0"/>
    <m/>
    <n v="56"/>
  </r>
  <r>
    <s v="USR-100282"/>
    <d v="2025-05-01T00:00:00"/>
    <x v="0"/>
    <s v="East"/>
    <s v="Mobile"/>
    <s v="Paid Search"/>
    <s v="Premium"/>
    <x v="1"/>
    <x v="0"/>
    <x v="0"/>
    <x v="0"/>
    <n v="0"/>
    <n v="1"/>
    <n v="0"/>
    <m/>
    <n v="61.7"/>
  </r>
  <r>
    <s v="USR-100283"/>
    <d v="2025-01-21T00:00:00"/>
    <x v="0"/>
    <s v="South"/>
    <s v="Mobile"/>
    <s v="Social"/>
    <s v="Free"/>
    <x v="1"/>
    <x v="0"/>
    <x v="0"/>
    <x v="0"/>
    <n v="0"/>
    <n v="1"/>
    <n v="0"/>
    <m/>
    <n v="70.5"/>
  </r>
  <r>
    <s v="USR-100284"/>
    <d v="2025-02-10T00:00:00"/>
    <x v="0"/>
    <s v="North"/>
    <s v="Desktop"/>
    <s v="Referral"/>
    <s v="Basic"/>
    <x v="1"/>
    <x v="0"/>
    <x v="0"/>
    <x v="0"/>
    <n v="0"/>
    <n v="0"/>
    <n v="0"/>
    <m/>
    <n v="33.4"/>
  </r>
  <r>
    <s v="USR-100285"/>
    <d v="2025-05-06T00:00:00"/>
    <x v="0"/>
    <s v="South"/>
    <s v="Desktop"/>
    <s v="Organic"/>
    <s v="Free"/>
    <x v="1"/>
    <x v="0"/>
    <x v="0"/>
    <x v="0"/>
    <n v="0"/>
    <n v="0"/>
    <n v="0"/>
    <m/>
    <n v="57.5"/>
  </r>
  <r>
    <s v="USR-100286"/>
    <d v="2025-02-08T00:00:00"/>
    <x v="0"/>
    <s v="North"/>
    <s v="Desktop"/>
    <s v="Paid Search"/>
    <s v="Basic"/>
    <x v="1"/>
    <x v="1"/>
    <x v="0"/>
    <x v="0"/>
    <n v="0"/>
    <n v="0"/>
    <n v="0"/>
    <m/>
    <n v="85.7"/>
  </r>
  <r>
    <s v="USR-100287"/>
    <d v="2025-05-31T00:00:00"/>
    <x v="0"/>
    <s v="East"/>
    <s v="Mobile"/>
    <s v="Social"/>
    <s v="Free"/>
    <x v="1"/>
    <x v="0"/>
    <x v="0"/>
    <x v="0"/>
    <n v="0"/>
    <n v="0"/>
    <n v="0"/>
    <m/>
    <n v="41.9"/>
  </r>
  <r>
    <s v="USR-100288"/>
    <d v="2025-02-07T00:00:00"/>
    <x v="0"/>
    <s v="West"/>
    <s v="Mobile"/>
    <s v="Email"/>
    <s v="Basic"/>
    <x v="1"/>
    <x v="0"/>
    <x v="0"/>
    <x v="0"/>
    <n v="0"/>
    <n v="0"/>
    <n v="0"/>
    <m/>
    <n v="70.2"/>
  </r>
  <r>
    <s v="USR-100289"/>
    <d v="2025-02-10T00:00:00"/>
    <x v="0"/>
    <s v="North"/>
    <s v="Mobile"/>
    <s v="Social"/>
    <s v="Free"/>
    <x v="1"/>
    <x v="0"/>
    <x v="0"/>
    <x v="0"/>
    <n v="0"/>
    <n v="0"/>
    <n v="0"/>
    <m/>
    <n v="42.6"/>
  </r>
  <r>
    <s v="USR-100290"/>
    <d v="2025-01-31T00:00:00"/>
    <x v="0"/>
    <s v="West"/>
    <s v="Mobile"/>
    <s v="Social"/>
    <s v="Basic"/>
    <x v="0"/>
    <x v="0"/>
    <x v="0"/>
    <x v="0"/>
    <n v="0"/>
    <n v="2"/>
    <n v="0"/>
    <m/>
    <n v="30.4"/>
  </r>
  <r>
    <s v="USR-100291"/>
    <d v="2025-03-16T00:00:00"/>
    <x v="0"/>
    <s v="East"/>
    <s v="Mobile"/>
    <s v="Paid Search"/>
    <s v="Basic"/>
    <x v="1"/>
    <x v="0"/>
    <x v="0"/>
    <x v="0"/>
    <n v="0"/>
    <n v="0"/>
    <n v="0"/>
    <m/>
    <n v="63.7"/>
  </r>
  <r>
    <s v="USR-100292"/>
    <d v="2025-04-24T00:00:00"/>
    <x v="0"/>
    <s v="South"/>
    <s v="Mobile"/>
    <s v="Social"/>
    <s v="Basic"/>
    <x v="0"/>
    <x v="0"/>
    <x v="0"/>
    <x v="0"/>
    <n v="0"/>
    <n v="0"/>
    <n v="0"/>
    <m/>
    <n v="42.7"/>
  </r>
  <r>
    <s v="USR-100293"/>
    <d v="2025-01-28T00:00:00"/>
    <x v="0"/>
    <s v="North"/>
    <s v="Mobile"/>
    <s v="Organic"/>
    <s v="Free"/>
    <x v="0"/>
    <x v="0"/>
    <x v="0"/>
    <x v="0"/>
    <n v="0"/>
    <n v="0"/>
    <n v="0"/>
    <m/>
    <n v="74.3"/>
  </r>
  <r>
    <s v="USR-100294"/>
    <d v="2025-02-16T00:00:00"/>
    <x v="0"/>
    <s v="West"/>
    <s v="Desktop"/>
    <s v="Email"/>
    <s v="Free"/>
    <x v="1"/>
    <x v="0"/>
    <x v="0"/>
    <x v="0"/>
    <n v="0"/>
    <n v="0"/>
    <n v="0"/>
    <m/>
    <n v="40.6"/>
  </r>
  <r>
    <s v="USR-100295"/>
    <d v="2025-03-23T00:00:00"/>
    <x v="0"/>
    <s v="East"/>
    <s v="Mobile"/>
    <s v="Organic"/>
    <s v="Premium"/>
    <x v="0"/>
    <x v="0"/>
    <x v="0"/>
    <x v="0"/>
    <n v="0"/>
    <n v="0"/>
    <n v="0"/>
    <m/>
    <n v="67"/>
  </r>
  <r>
    <s v="USR-100296"/>
    <d v="2025-05-31T00:00:00"/>
    <x v="0"/>
    <s v="East"/>
    <s v="Mobile"/>
    <s v="Paid Search"/>
    <s v="Premium"/>
    <x v="0"/>
    <x v="0"/>
    <x v="0"/>
    <x v="0"/>
    <n v="0"/>
    <n v="0"/>
    <n v="0"/>
    <m/>
    <n v="51"/>
  </r>
  <r>
    <s v="USR-100297"/>
    <d v="2025-04-13T00:00:00"/>
    <x v="0"/>
    <s v="West"/>
    <s v="Mobile"/>
    <s v="Social"/>
    <s v="Basic"/>
    <x v="1"/>
    <x v="1"/>
    <x v="0"/>
    <x v="0"/>
    <n v="0"/>
    <n v="1"/>
    <n v="0"/>
    <m/>
    <n v="54.8"/>
  </r>
  <r>
    <s v="USR-100298"/>
    <d v="2025-05-14T00:00:00"/>
    <x v="0"/>
    <s v="North"/>
    <s v="Tablet"/>
    <s v="Email"/>
    <s v="Basic"/>
    <x v="0"/>
    <x v="0"/>
    <x v="0"/>
    <x v="0"/>
    <n v="0"/>
    <n v="0"/>
    <n v="0"/>
    <m/>
    <n v="40.799999999999997"/>
  </r>
  <r>
    <s v="USR-100299"/>
    <d v="2025-02-19T00:00:00"/>
    <x v="0"/>
    <s v="East"/>
    <s v="Mobile"/>
    <s v="Paid Search"/>
    <s v="Free"/>
    <x v="0"/>
    <x v="0"/>
    <x v="0"/>
    <x v="0"/>
    <n v="0"/>
    <n v="0"/>
    <n v="0"/>
    <m/>
    <n v="48.8"/>
  </r>
  <r>
    <s v="USR-100300"/>
    <d v="2025-01-24T00:00:00"/>
    <x v="0"/>
    <s v="South"/>
    <s v="Mobile"/>
    <m/>
    <s v="Basic"/>
    <x v="1"/>
    <x v="1"/>
    <x v="1"/>
    <x v="1"/>
    <n v="1198.69"/>
    <n v="1"/>
    <n v="0"/>
    <n v="6"/>
    <n v="88.9"/>
  </r>
  <r>
    <s v="USR-100301"/>
    <d v="2025-05-09T00:00:00"/>
    <x v="0"/>
    <s v="North"/>
    <s v="Mobile"/>
    <s v="Email"/>
    <s v="Basic"/>
    <x v="1"/>
    <x v="1"/>
    <x v="1"/>
    <x v="0"/>
    <n v="0"/>
    <n v="1"/>
    <n v="0"/>
    <m/>
    <n v="60.5"/>
  </r>
  <r>
    <s v="USR-100302"/>
    <d v="2025-02-11T00:00:00"/>
    <x v="0"/>
    <s v="North"/>
    <s v="Mobile"/>
    <s v="Organic"/>
    <s v="Basic"/>
    <x v="1"/>
    <x v="0"/>
    <x v="0"/>
    <x v="0"/>
    <n v="0"/>
    <n v="0"/>
    <n v="0"/>
    <m/>
    <n v="63.6"/>
  </r>
  <r>
    <s v="USR-100303"/>
    <d v="2025-02-26T00:00:00"/>
    <x v="0"/>
    <s v="North"/>
    <s v="Desktop"/>
    <s v="Organic"/>
    <s v="Basic"/>
    <x v="1"/>
    <x v="1"/>
    <x v="1"/>
    <x v="1"/>
    <n v="6788.95"/>
    <n v="0"/>
    <n v="0"/>
    <n v="17"/>
    <n v="58.4"/>
  </r>
  <r>
    <s v="USR-100304"/>
    <d v="2025-02-12T00:00:00"/>
    <x v="0"/>
    <s v="South"/>
    <s v="Mobile"/>
    <s v="Social"/>
    <s v="Premium"/>
    <x v="0"/>
    <x v="0"/>
    <x v="0"/>
    <x v="0"/>
    <n v="0"/>
    <n v="0"/>
    <n v="0"/>
    <m/>
    <n v="52.7"/>
  </r>
  <r>
    <s v="USR-100305"/>
    <d v="2025-01-05T00:00:00"/>
    <x v="0"/>
    <s v="South"/>
    <s v="Tablet"/>
    <s v="Social"/>
    <s v="Premium"/>
    <x v="1"/>
    <x v="1"/>
    <x v="1"/>
    <x v="0"/>
    <n v="0"/>
    <n v="2"/>
    <n v="0"/>
    <m/>
    <n v="48.9"/>
  </r>
  <r>
    <s v="USR-100306"/>
    <d v="2025-05-19T00:00:00"/>
    <x v="0"/>
    <s v="West"/>
    <s v="Mobile"/>
    <s v="Organic"/>
    <s v="Premium"/>
    <x v="0"/>
    <x v="0"/>
    <x v="0"/>
    <x v="0"/>
    <n v="0"/>
    <n v="0"/>
    <n v="0"/>
    <m/>
    <n v="79.7"/>
  </r>
  <r>
    <s v="USR-100307"/>
    <d v="2025-02-02T00:00:00"/>
    <x v="0"/>
    <s v="North"/>
    <s v="Mobile"/>
    <s v="Social"/>
    <s v="Free"/>
    <x v="1"/>
    <x v="0"/>
    <x v="0"/>
    <x v="0"/>
    <n v="0"/>
    <n v="0"/>
    <n v="0"/>
    <m/>
    <n v="44.9"/>
  </r>
  <r>
    <s v="USR-100308"/>
    <d v="2025-01-30T00:00:00"/>
    <x v="0"/>
    <s v="West"/>
    <s v="Tablet"/>
    <s v="Paid Search"/>
    <s v="Free"/>
    <x v="1"/>
    <x v="1"/>
    <x v="1"/>
    <x v="1"/>
    <n v="409.39"/>
    <n v="0"/>
    <n v="0"/>
    <n v="10"/>
    <n v="38.799999999999997"/>
  </r>
  <r>
    <s v="USR-100309"/>
    <d v="2025-05-01T00:00:00"/>
    <x v="0"/>
    <s v="South"/>
    <s v="Desktop"/>
    <s v="Email"/>
    <s v="Free"/>
    <x v="0"/>
    <x v="0"/>
    <x v="0"/>
    <x v="0"/>
    <n v="0"/>
    <n v="0"/>
    <n v="0"/>
    <m/>
    <n v="70"/>
  </r>
  <r>
    <s v="USR-100310"/>
    <d v="2025-05-16T00:00:00"/>
    <x v="0"/>
    <s v="South"/>
    <s v="Desktop"/>
    <s v="Referral"/>
    <s v="Basic"/>
    <x v="1"/>
    <x v="0"/>
    <x v="0"/>
    <x v="0"/>
    <n v="0"/>
    <n v="0"/>
    <n v="0"/>
    <m/>
    <n v="77.7"/>
  </r>
  <r>
    <s v="USR-100311"/>
    <d v="2025-03-08T00:00:00"/>
    <x v="0"/>
    <s v="West"/>
    <s v="Mobile"/>
    <s v="Organic"/>
    <s v="Free"/>
    <x v="0"/>
    <x v="0"/>
    <x v="0"/>
    <x v="0"/>
    <n v="0"/>
    <n v="0"/>
    <n v="0"/>
    <m/>
    <n v="71.2"/>
  </r>
  <r>
    <s v="USR-100312"/>
    <d v="2025-04-04T00:00:00"/>
    <x v="0"/>
    <s v="North"/>
    <s v="Mobile"/>
    <s v="Organic"/>
    <s v="Basic"/>
    <x v="1"/>
    <x v="0"/>
    <x v="0"/>
    <x v="0"/>
    <n v="0"/>
    <n v="0"/>
    <n v="0"/>
    <m/>
    <n v="43.8"/>
  </r>
  <r>
    <s v="USR-100313"/>
    <d v="2025-05-30T00:00:00"/>
    <x v="0"/>
    <s v="South"/>
    <s v="Tablet"/>
    <s v="Organic"/>
    <s v="Free"/>
    <x v="1"/>
    <x v="0"/>
    <x v="0"/>
    <x v="0"/>
    <n v="0"/>
    <n v="0"/>
    <n v="0"/>
    <m/>
    <n v="50.9"/>
  </r>
  <r>
    <s v="USR-100314"/>
    <d v="2025-01-05T00:00:00"/>
    <x v="0"/>
    <s v="West"/>
    <s v="Mobile"/>
    <s v="Organic"/>
    <s v="Premium"/>
    <x v="0"/>
    <x v="0"/>
    <x v="0"/>
    <x v="0"/>
    <n v="0"/>
    <n v="0"/>
    <n v="0"/>
    <m/>
    <n v="58.5"/>
  </r>
  <r>
    <s v="USR-100315"/>
    <d v="2025-01-20T00:00:00"/>
    <x v="0"/>
    <s v="East"/>
    <s v="Mobile"/>
    <s v="Organic"/>
    <s v="Free"/>
    <x v="1"/>
    <x v="1"/>
    <x v="1"/>
    <x v="0"/>
    <n v="0"/>
    <n v="0"/>
    <n v="0"/>
    <m/>
    <n v="53.6"/>
  </r>
  <r>
    <s v="USR-100316"/>
    <d v="2025-05-01T00:00:00"/>
    <x v="0"/>
    <s v="East"/>
    <s v="Mobile"/>
    <s v="Email"/>
    <s v="Free"/>
    <x v="0"/>
    <x v="0"/>
    <x v="0"/>
    <x v="0"/>
    <n v="0"/>
    <n v="0"/>
    <n v="0"/>
    <m/>
    <n v="54.9"/>
  </r>
  <r>
    <s v="USR-100317"/>
    <d v="2025-03-05T00:00:00"/>
    <x v="0"/>
    <s v="North"/>
    <s v="Desktop"/>
    <s v="Organic"/>
    <s v="Premium"/>
    <x v="0"/>
    <x v="0"/>
    <x v="0"/>
    <x v="0"/>
    <n v="0"/>
    <n v="0"/>
    <n v="0"/>
    <m/>
    <n v="57.3"/>
  </r>
  <r>
    <s v="USR-100318"/>
    <d v="2025-04-01T00:00:00"/>
    <x v="0"/>
    <s v="East"/>
    <s v="Desktop"/>
    <s v="Referral"/>
    <s v="Free"/>
    <x v="1"/>
    <x v="0"/>
    <x v="0"/>
    <x v="0"/>
    <n v="0"/>
    <n v="0"/>
    <n v="0"/>
    <m/>
    <n v="52.1"/>
  </r>
  <r>
    <s v="USR-100319"/>
    <d v="2025-05-03T00:00:00"/>
    <x v="0"/>
    <s v="North"/>
    <s v="Mobile"/>
    <s v="Organic"/>
    <s v="Free"/>
    <x v="1"/>
    <x v="0"/>
    <x v="0"/>
    <x v="0"/>
    <n v="0"/>
    <n v="0"/>
    <n v="0"/>
    <m/>
    <n v="80"/>
  </r>
  <r>
    <s v="USR-100320"/>
    <d v="2025-03-06T00:00:00"/>
    <x v="0"/>
    <s v="South"/>
    <s v="Desktop"/>
    <s v="Paid Search"/>
    <s v="Premium"/>
    <x v="1"/>
    <x v="0"/>
    <x v="0"/>
    <x v="0"/>
    <n v="0"/>
    <n v="0"/>
    <n v="0"/>
    <m/>
    <n v="39.299999999999997"/>
  </r>
  <r>
    <s v="USR-100321"/>
    <d v="2025-04-01T00:00:00"/>
    <x v="0"/>
    <s v="North"/>
    <s v="Desktop"/>
    <s v="Referral"/>
    <s v="Premium"/>
    <x v="0"/>
    <x v="0"/>
    <x v="0"/>
    <x v="0"/>
    <n v="0"/>
    <n v="0"/>
    <n v="0"/>
    <m/>
    <n v="45.7"/>
  </r>
  <r>
    <s v="USR-100322"/>
    <d v="2025-02-09T00:00:00"/>
    <x v="0"/>
    <s v="North"/>
    <s v="Desktop"/>
    <s v="Social"/>
    <s v="Basic"/>
    <x v="1"/>
    <x v="0"/>
    <x v="0"/>
    <x v="0"/>
    <n v="0"/>
    <n v="2"/>
    <n v="0"/>
    <m/>
    <n v="61.2"/>
  </r>
  <r>
    <s v="USR-100323"/>
    <d v="2025-04-12T00:00:00"/>
    <x v="0"/>
    <s v="West"/>
    <s v="Mobile"/>
    <s v="Organic"/>
    <s v="Basic"/>
    <x v="1"/>
    <x v="1"/>
    <x v="0"/>
    <x v="0"/>
    <n v="0"/>
    <n v="0"/>
    <n v="0"/>
    <m/>
    <n v="66.2"/>
  </r>
  <r>
    <s v="USR-100324"/>
    <d v="2025-03-18T00:00:00"/>
    <x v="0"/>
    <s v="East"/>
    <s v="Mobile"/>
    <s v="Social"/>
    <s v="Free"/>
    <x v="1"/>
    <x v="1"/>
    <x v="1"/>
    <x v="0"/>
    <n v="0"/>
    <n v="0"/>
    <n v="0"/>
    <m/>
    <n v="61.3"/>
  </r>
  <r>
    <s v="USR-100325"/>
    <d v="2025-04-03T00:00:00"/>
    <x v="0"/>
    <s v="East"/>
    <s v="Mobile"/>
    <s v="Paid Search"/>
    <s v="Free"/>
    <x v="1"/>
    <x v="0"/>
    <x v="0"/>
    <x v="0"/>
    <n v="0"/>
    <n v="0"/>
    <n v="0"/>
    <m/>
    <n v="72.2"/>
  </r>
  <r>
    <s v="USR-100326"/>
    <d v="2025-04-02T00:00:00"/>
    <x v="0"/>
    <s v="West"/>
    <s v="Mobile"/>
    <s v="Email"/>
    <s v="Premium"/>
    <x v="1"/>
    <x v="1"/>
    <x v="1"/>
    <x v="0"/>
    <n v="0"/>
    <n v="0"/>
    <n v="0"/>
    <m/>
    <n v="84"/>
  </r>
  <r>
    <s v="USR-100327"/>
    <d v="2025-05-10T00:00:00"/>
    <x v="0"/>
    <s v="West"/>
    <s v="Desktop"/>
    <s v="Email"/>
    <s v="Basic"/>
    <x v="0"/>
    <x v="0"/>
    <x v="0"/>
    <x v="0"/>
    <n v="0"/>
    <n v="0"/>
    <n v="0"/>
    <m/>
    <n v="59.8"/>
  </r>
  <r>
    <s v="USR-100328"/>
    <d v="2025-04-29T00:00:00"/>
    <x v="0"/>
    <s v="West"/>
    <s v="Desktop"/>
    <s v="Paid Search"/>
    <s v="Free"/>
    <x v="1"/>
    <x v="0"/>
    <x v="0"/>
    <x v="0"/>
    <n v="0"/>
    <n v="0"/>
    <n v="0"/>
    <m/>
    <n v="64.900000000000006"/>
  </r>
  <r>
    <s v="USR-100329"/>
    <d v="2025-02-27T00:00:00"/>
    <x v="0"/>
    <s v="South"/>
    <s v="Mobile"/>
    <s v="Paid Search"/>
    <s v="Free"/>
    <x v="1"/>
    <x v="0"/>
    <x v="0"/>
    <x v="0"/>
    <n v="0"/>
    <n v="0"/>
    <n v="0"/>
    <m/>
    <n v="66.8"/>
  </r>
  <r>
    <s v="USR-100330"/>
    <d v="2025-04-10T00:00:00"/>
    <x v="0"/>
    <s v="North"/>
    <s v="Desktop"/>
    <s v="Organic"/>
    <s v="Premium"/>
    <x v="0"/>
    <x v="0"/>
    <x v="0"/>
    <x v="0"/>
    <n v="0"/>
    <n v="0"/>
    <n v="0"/>
    <m/>
    <n v="70.900000000000006"/>
  </r>
  <r>
    <s v="USR-100331"/>
    <d v="2025-02-13T00:00:00"/>
    <x v="0"/>
    <s v="East"/>
    <s v="Mobile"/>
    <s v="Organic"/>
    <s v="Free"/>
    <x v="1"/>
    <x v="1"/>
    <x v="1"/>
    <x v="1"/>
    <n v="426.82"/>
    <n v="1"/>
    <n v="0"/>
    <n v="14"/>
    <n v="68.8"/>
  </r>
  <r>
    <s v="USR-100332"/>
    <d v="2025-05-03T00:00:00"/>
    <x v="0"/>
    <s v="North"/>
    <s v="Mobile"/>
    <s v="Organic"/>
    <s v="Basic"/>
    <x v="1"/>
    <x v="0"/>
    <x v="0"/>
    <x v="0"/>
    <n v="0"/>
    <n v="0"/>
    <n v="0"/>
    <m/>
    <n v="72.400000000000006"/>
  </r>
  <r>
    <s v="USR-100333"/>
    <d v="2025-03-10T00:00:00"/>
    <x v="0"/>
    <s v="East"/>
    <s v="Mobile"/>
    <s v="Organic"/>
    <s v="Basic"/>
    <x v="0"/>
    <x v="0"/>
    <x v="0"/>
    <x v="0"/>
    <n v="0"/>
    <n v="0"/>
    <n v="0"/>
    <m/>
    <n v="63.3"/>
  </r>
  <r>
    <s v="USR-100334"/>
    <d v="2025-01-10T00:00:00"/>
    <x v="0"/>
    <s v="West"/>
    <s v="Tablet"/>
    <s v="Social"/>
    <s v="Free"/>
    <x v="1"/>
    <x v="0"/>
    <x v="0"/>
    <x v="0"/>
    <n v="0"/>
    <n v="0"/>
    <n v="0"/>
    <m/>
    <n v="30.8"/>
  </r>
  <r>
    <s v="USR-100335"/>
    <d v="2025-01-16T00:00:00"/>
    <x v="0"/>
    <s v="South"/>
    <s v="Mobile"/>
    <s v="Email"/>
    <s v="Basic"/>
    <x v="1"/>
    <x v="1"/>
    <x v="1"/>
    <x v="1"/>
    <n v="874.55"/>
    <n v="0"/>
    <n v="0"/>
    <n v="9"/>
    <n v="44.2"/>
  </r>
  <r>
    <s v="USR-100336"/>
    <d v="2025-02-11T00:00:00"/>
    <x v="0"/>
    <s v="South"/>
    <s v="Desktop"/>
    <s v="Organic"/>
    <s v="Premium"/>
    <x v="1"/>
    <x v="1"/>
    <x v="1"/>
    <x v="1"/>
    <n v="2206.88"/>
    <n v="0"/>
    <n v="0"/>
    <n v="10"/>
    <n v="56.2"/>
  </r>
  <r>
    <s v="USR-100337"/>
    <d v="2025-04-13T00:00:00"/>
    <x v="0"/>
    <s v="West"/>
    <s v="Mobile"/>
    <s v="Organic"/>
    <s v="Free"/>
    <x v="0"/>
    <x v="0"/>
    <x v="0"/>
    <x v="0"/>
    <n v="0"/>
    <n v="0"/>
    <n v="0"/>
    <m/>
    <n v="40.4"/>
  </r>
  <r>
    <s v="USR-100338"/>
    <d v="2025-02-08T00:00:00"/>
    <x v="0"/>
    <s v="East"/>
    <s v="Mobile"/>
    <s v="Paid Search"/>
    <s v="Free"/>
    <x v="1"/>
    <x v="1"/>
    <x v="1"/>
    <x v="0"/>
    <n v="0"/>
    <n v="0"/>
    <n v="0"/>
    <m/>
    <n v="68.099999999999994"/>
  </r>
  <r>
    <s v="USR-100339"/>
    <d v="2025-03-31T00:00:00"/>
    <x v="0"/>
    <s v="West"/>
    <s v="Desktop"/>
    <s v="Referral"/>
    <s v="Free"/>
    <x v="1"/>
    <x v="0"/>
    <x v="0"/>
    <x v="0"/>
    <n v="0"/>
    <n v="0"/>
    <n v="0"/>
    <m/>
    <n v="86.3"/>
  </r>
  <r>
    <s v="USR-100340"/>
    <d v="2025-01-31T00:00:00"/>
    <x v="0"/>
    <s v="West"/>
    <s v="Desktop"/>
    <s v="Referral"/>
    <s v="Free"/>
    <x v="1"/>
    <x v="1"/>
    <x v="0"/>
    <x v="0"/>
    <n v="0"/>
    <n v="0"/>
    <n v="0"/>
    <m/>
    <n v="42.9"/>
  </r>
  <r>
    <s v="USR-100341"/>
    <d v="2025-05-08T00:00:00"/>
    <x v="0"/>
    <s v="West"/>
    <s v="Tablet"/>
    <s v="Organic"/>
    <s v="Free"/>
    <x v="0"/>
    <x v="0"/>
    <x v="0"/>
    <x v="0"/>
    <n v="0"/>
    <n v="0"/>
    <n v="0"/>
    <m/>
    <n v="61.4"/>
  </r>
  <r>
    <s v="USR-100342"/>
    <d v="2025-03-15T00:00:00"/>
    <x v="0"/>
    <s v="North"/>
    <s v="Mobile"/>
    <s v="Paid Search"/>
    <s v="Free"/>
    <x v="1"/>
    <x v="0"/>
    <x v="0"/>
    <x v="0"/>
    <n v="0"/>
    <n v="1"/>
    <n v="0"/>
    <m/>
    <n v="73.3"/>
  </r>
  <r>
    <s v="USR-100343"/>
    <d v="2025-01-13T00:00:00"/>
    <x v="0"/>
    <s v="South"/>
    <s v="Mobile"/>
    <s v="Referral"/>
    <s v="Basic"/>
    <x v="1"/>
    <x v="0"/>
    <x v="0"/>
    <x v="0"/>
    <n v="0"/>
    <n v="0"/>
    <n v="0"/>
    <m/>
    <n v="59.4"/>
  </r>
  <r>
    <s v="USR-100344"/>
    <d v="2025-03-07T00:00:00"/>
    <x v="0"/>
    <s v="South"/>
    <s v="Tablet"/>
    <s v="Organic"/>
    <s v="Basic"/>
    <x v="1"/>
    <x v="0"/>
    <x v="0"/>
    <x v="0"/>
    <n v="0"/>
    <n v="0"/>
    <n v="0"/>
    <m/>
    <n v="35.200000000000003"/>
  </r>
  <r>
    <s v="USR-100345"/>
    <d v="2025-02-10T00:00:00"/>
    <x v="0"/>
    <s v="South"/>
    <s v="Mobile"/>
    <s v="Social"/>
    <s v="Premium"/>
    <x v="1"/>
    <x v="1"/>
    <x v="0"/>
    <x v="0"/>
    <n v="0"/>
    <n v="0"/>
    <n v="0"/>
    <m/>
    <n v="55.3"/>
  </r>
  <r>
    <s v="USR-100346"/>
    <d v="2025-03-12T00:00:00"/>
    <x v="0"/>
    <s v="East"/>
    <s v="Mobile"/>
    <s v="Paid Search"/>
    <s v="Free"/>
    <x v="0"/>
    <x v="0"/>
    <x v="0"/>
    <x v="0"/>
    <n v="0"/>
    <n v="0"/>
    <n v="0"/>
    <m/>
    <n v="37.5"/>
  </r>
  <r>
    <s v="USR-100347"/>
    <d v="2025-01-03T00:00:00"/>
    <x v="0"/>
    <s v="South"/>
    <s v="Desktop"/>
    <s v="Paid Search"/>
    <s v="Free"/>
    <x v="0"/>
    <x v="0"/>
    <x v="0"/>
    <x v="0"/>
    <n v="0"/>
    <n v="1"/>
    <n v="0"/>
    <m/>
    <n v="66.400000000000006"/>
  </r>
  <r>
    <s v="USR-100348"/>
    <d v="2025-04-28T00:00:00"/>
    <x v="0"/>
    <s v="North"/>
    <s v="Tablet"/>
    <s v="Social"/>
    <s v="Basic"/>
    <x v="1"/>
    <x v="0"/>
    <x v="0"/>
    <x v="0"/>
    <n v="0"/>
    <n v="0"/>
    <n v="0"/>
    <m/>
    <n v="61.9"/>
  </r>
  <r>
    <s v="USR-100349"/>
    <d v="2025-04-17T00:00:00"/>
    <x v="0"/>
    <s v="East"/>
    <s v="Mobile"/>
    <s v="Organic"/>
    <s v="Free"/>
    <x v="0"/>
    <x v="0"/>
    <x v="0"/>
    <x v="0"/>
    <n v="0"/>
    <n v="0"/>
    <n v="0"/>
    <m/>
    <n v="56"/>
  </r>
  <r>
    <s v="USR-100350"/>
    <d v="2025-05-23T00:00:00"/>
    <x v="0"/>
    <s v="South"/>
    <s v="Desktop"/>
    <s v="Social"/>
    <s v="Basic"/>
    <x v="1"/>
    <x v="0"/>
    <x v="0"/>
    <x v="0"/>
    <n v="0"/>
    <n v="0"/>
    <n v="0"/>
    <m/>
    <n v="55.5"/>
  </r>
  <r>
    <s v="USR-100351"/>
    <d v="2025-02-19T00:00:00"/>
    <x v="0"/>
    <s v="West"/>
    <s v="Tablet"/>
    <s v="Referral"/>
    <s v="Basic"/>
    <x v="1"/>
    <x v="0"/>
    <x v="0"/>
    <x v="0"/>
    <n v="0"/>
    <n v="0"/>
    <n v="0"/>
    <m/>
    <n v="37.200000000000003"/>
  </r>
  <r>
    <s v="USR-100352"/>
    <d v="2025-01-18T00:00:00"/>
    <x v="0"/>
    <s v="South"/>
    <s v="Desktop"/>
    <s v="Organic"/>
    <s v="Free"/>
    <x v="1"/>
    <x v="1"/>
    <x v="0"/>
    <x v="0"/>
    <n v="0"/>
    <n v="1"/>
    <n v="0"/>
    <m/>
    <n v="70.5"/>
  </r>
  <r>
    <s v="USR-100353"/>
    <d v="2025-04-17T00:00:00"/>
    <x v="0"/>
    <s v="North"/>
    <s v="Mobile"/>
    <s v="Organic"/>
    <s v="Free"/>
    <x v="0"/>
    <x v="0"/>
    <x v="0"/>
    <x v="0"/>
    <n v="0"/>
    <n v="0"/>
    <n v="0"/>
    <m/>
    <n v="61.2"/>
  </r>
  <r>
    <s v="USR-100354"/>
    <d v="2025-04-12T00:00:00"/>
    <x v="0"/>
    <s v="East"/>
    <s v="Tablet"/>
    <s v="Social"/>
    <s v="Free"/>
    <x v="1"/>
    <x v="1"/>
    <x v="1"/>
    <x v="0"/>
    <n v="0"/>
    <n v="0"/>
    <n v="0"/>
    <m/>
    <n v="64.599999999999994"/>
  </r>
  <r>
    <s v="USR-100355"/>
    <d v="2025-05-16T00:00:00"/>
    <x v="0"/>
    <s v="East"/>
    <s v="Mobile"/>
    <s v="Email"/>
    <s v="Free"/>
    <x v="1"/>
    <x v="1"/>
    <x v="0"/>
    <x v="0"/>
    <n v="0"/>
    <n v="0"/>
    <n v="0"/>
    <m/>
    <n v="91.7"/>
  </r>
  <r>
    <s v="USR-100356"/>
    <d v="2025-03-24T00:00:00"/>
    <x v="0"/>
    <s v="West"/>
    <s v="Mobile"/>
    <s v="Social"/>
    <s v="Free"/>
    <x v="0"/>
    <x v="0"/>
    <x v="0"/>
    <x v="0"/>
    <n v="0"/>
    <n v="0"/>
    <n v="0"/>
    <m/>
    <n v="46"/>
  </r>
  <r>
    <s v="USR-100357"/>
    <d v="2025-02-16T00:00:00"/>
    <x v="0"/>
    <s v="West"/>
    <s v="Mobile"/>
    <s v="Organic"/>
    <s v="Basic"/>
    <x v="0"/>
    <x v="0"/>
    <x v="0"/>
    <x v="0"/>
    <n v="0"/>
    <n v="0"/>
    <n v="0"/>
    <m/>
    <n v="50.8"/>
  </r>
  <r>
    <s v="USR-100358"/>
    <d v="2025-03-19T00:00:00"/>
    <x v="0"/>
    <s v="North"/>
    <s v="Tablet"/>
    <s v="Organic"/>
    <s v="Free"/>
    <x v="1"/>
    <x v="1"/>
    <x v="1"/>
    <x v="0"/>
    <n v="0"/>
    <n v="0"/>
    <n v="0"/>
    <m/>
    <n v="52.8"/>
  </r>
  <r>
    <s v="USR-100359"/>
    <d v="2025-04-21T00:00:00"/>
    <x v="0"/>
    <s v="South"/>
    <s v="Mobile"/>
    <s v="Organic"/>
    <s v="Basic"/>
    <x v="1"/>
    <x v="1"/>
    <x v="1"/>
    <x v="0"/>
    <n v="0"/>
    <n v="0"/>
    <n v="0"/>
    <m/>
    <n v="63"/>
  </r>
  <r>
    <s v="USR-100360"/>
    <d v="2025-01-11T00:00:00"/>
    <x v="0"/>
    <s v="West"/>
    <s v="Mobile"/>
    <s v="Organic"/>
    <s v="Free"/>
    <x v="0"/>
    <x v="0"/>
    <x v="0"/>
    <x v="0"/>
    <n v="0"/>
    <n v="0"/>
    <n v="0"/>
    <m/>
    <n v="28.4"/>
  </r>
  <r>
    <s v="USR-100361"/>
    <d v="2025-04-24T00:00:00"/>
    <x v="0"/>
    <s v="West"/>
    <s v="Desktop"/>
    <s v="Organic"/>
    <s v="Free"/>
    <x v="1"/>
    <x v="1"/>
    <x v="0"/>
    <x v="0"/>
    <n v="0"/>
    <n v="0"/>
    <n v="0"/>
    <m/>
    <n v="65.599999999999994"/>
  </r>
  <r>
    <s v="USR-100362"/>
    <d v="2025-03-13T00:00:00"/>
    <x v="0"/>
    <s v="North"/>
    <s v="Mobile"/>
    <s v="Social"/>
    <s v="Premium"/>
    <x v="1"/>
    <x v="1"/>
    <x v="1"/>
    <x v="0"/>
    <n v="0"/>
    <n v="0"/>
    <n v="0"/>
    <m/>
    <n v="54.7"/>
  </r>
  <r>
    <s v="USR-100363"/>
    <d v="2025-01-30T00:00:00"/>
    <x v="0"/>
    <s v="North"/>
    <s v="Mobile"/>
    <s v="Social"/>
    <s v="Basic"/>
    <x v="0"/>
    <x v="0"/>
    <x v="0"/>
    <x v="0"/>
    <n v="0"/>
    <n v="0"/>
    <n v="0"/>
    <m/>
    <n v="36.1"/>
  </r>
  <r>
    <s v="USR-100364"/>
    <d v="2025-05-08T00:00:00"/>
    <x v="0"/>
    <s v="South"/>
    <s v="Mobile"/>
    <s v="Social"/>
    <s v="Basic"/>
    <x v="1"/>
    <x v="1"/>
    <x v="1"/>
    <x v="0"/>
    <n v="0"/>
    <n v="0"/>
    <n v="0"/>
    <m/>
    <n v="70.400000000000006"/>
  </r>
  <r>
    <s v="USR-100365"/>
    <d v="2025-01-08T00:00:00"/>
    <x v="0"/>
    <s v="East"/>
    <s v="Desktop"/>
    <s v="Social"/>
    <s v="Free"/>
    <x v="1"/>
    <x v="0"/>
    <x v="0"/>
    <x v="0"/>
    <n v="0"/>
    <n v="0"/>
    <n v="0"/>
    <m/>
    <n v="56.4"/>
  </r>
  <r>
    <s v="USR-100366"/>
    <d v="2025-05-03T00:00:00"/>
    <x v="0"/>
    <s v="South"/>
    <s v="Mobile"/>
    <s v="Organic"/>
    <s v="Free"/>
    <x v="1"/>
    <x v="0"/>
    <x v="0"/>
    <x v="0"/>
    <n v="0"/>
    <n v="0"/>
    <n v="0"/>
    <m/>
    <n v="79.2"/>
  </r>
  <r>
    <s v="USR-100367"/>
    <d v="2025-02-12T00:00:00"/>
    <x v="0"/>
    <s v="East"/>
    <s v="Mobile"/>
    <s v="Paid Search"/>
    <s v="Free"/>
    <x v="1"/>
    <x v="1"/>
    <x v="1"/>
    <x v="0"/>
    <n v="0"/>
    <n v="0"/>
    <n v="0"/>
    <m/>
    <n v="60.1"/>
  </r>
  <r>
    <s v="USR-100368"/>
    <d v="2025-02-25T00:00:00"/>
    <x v="0"/>
    <s v="South"/>
    <s v="Tablet"/>
    <s v="Organic"/>
    <s v="Free"/>
    <x v="0"/>
    <x v="0"/>
    <x v="0"/>
    <x v="0"/>
    <n v="0"/>
    <n v="0"/>
    <n v="0"/>
    <m/>
    <n v="58"/>
  </r>
  <r>
    <s v="USR-100369"/>
    <d v="2025-04-14T00:00:00"/>
    <x v="0"/>
    <s v="South"/>
    <s v="Mobile"/>
    <s v="Referral"/>
    <s v="Free"/>
    <x v="1"/>
    <x v="1"/>
    <x v="1"/>
    <x v="0"/>
    <n v="0"/>
    <n v="0"/>
    <n v="0"/>
    <m/>
    <n v="69"/>
  </r>
  <r>
    <s v="USR-100370"/>
    <d v="2025-01-08T00:00:00"/>
    <x v="0"/>
    <s v="North"/>
    <s v="Mobile"/>
    <s v="Referral"/>
    <s v="Premium"/>
    <x v="1"/>
    <x v="1"/>
    <x v="1"/>
    <x v="0"/>
    <n v="0"/>
    <n v="1"/>
    <n v="0"/>
    <m/>
    <n v="80.8"/>
  </r>
  <r>
    <s v="USR-100371"/>
    <d v="2025-03-14T00:00:00"/>
    <x v="0"/>
    <s v="East"/>
    <s v="Mobile"/>
    <s v="Email"/>
    <s v="Free"/>
    <x v="0"/>
    <x v="0"/>
    <x v="0"/>
    <x v="0"/>
    <n v="0"/>
    <n v="0"/>
    <n v="0"/>
    <m/>
    <n v="32.799999999999997"/>
  </r>
  <r>
    <s v="USR-100372"/>
    <d v="2025-04-29T00:00:00"/>
    <x v="0"/>
    <s v="North"/>
    <s v="Desktop"/>
    <s v="Paid Search"/>
    <s v="Premium"/>
    <x v="1"/>
    <x v="0"/>
    <x v="0"/>
    <x v="0"/>
    <n v="0"/>
    <n v="0"/>
    <n v="0"/>
    <m/>
    <n v="56"/>
  </r>
  <r>
    <s v="USR-100373"/>
    <d v="2025-05-01T00:00:00"/>
    <x v="0"/>
    <s v="East"/>
    <s v="Desktop"/>
    <s v="Social"/>
    <s v="Free"/>
    <x v="1"/>
    <x v="0"/>
    <x v="0"/>
    <x v="0"/>
    <n v="0"/>
    <n v="0"/>
    <n v="0"/>
    <m/>
    <n v="76.400000000000006"/>
  </r>
  <r>
    <s v="USR-100374"/>
    <d v="2025-03-19T00:00:00"/>
    <x v="0"/>
    <s v="North"/>
    <s v="Mobile"/>
    <s v="Referral"/>
    <s v="Free"/>
    <x v="1"/>
    <x v="0"/>
    <x v="0"/>
    <x v="0"/>
    <n v="0"/>
    <n v="0"/>
    <n v="0"/>
    <m/>
    <n v="28.5"/>
  </r>
  <r>
    <s v="USR-100375"/>
    <d v="2025-05-01T00:00:00"/>
    <x v="0"/>
    <s v="South"/>
    <s v="Desktop"/>
    <s v="Social"/>
    <s v="Basic"/>
    <x v="1"/>
    <x v="1"/>
    <x v="1"/>
    <x v="0"/>
    <n v="0"/>
    <n v="0"/>
    <n v="0"/>
    <m/>
    <n v="48.3"/>
  </r>
  <r>
    <s v="USR-100376"/>
    <d v="2025-03-14T00:00:00"/>
    <x v="0"/>
    <s v="West"/>
    <s v="Mobile"/>
    <s v="Organic"/>
    <s v="Free"/>
    <x v="1"/>
    <x v="1"/>
    <x v="0"/>
    <x v="0"/>
    <n v="0"/>
    <n v="0"/>
    <n v="0"/>
    <m/>
    <n v="43.4"/>
  </r>
  <r>
    <s v="USR-100377"/>
    <d v="2025-03-23T00:00:00"/>
    <x v="0"/>
    <s v="North"/>
    <s v="Mobile"/>
    <s v="Paid Search"/>
    <s v="Free"/>
    <x v="0"/>
    <x v="0"/>
    <x v="0"/>
    <x v="0"/>
    <n v="0"/>
    <n v="0"/>
    <n v="0"/>
    <m/>
    <n v="43"/>
  </r>
  <r>
    <s v="USR-100378"/>
    <d v="2025-02-08T00:00:00"/>
    <x v="0"/>
    <s v="East"/>
    <s v="Mobile"/>
    <s v="Referral"/>
    <s v="Basic"/>
    <x v="1"/>
    <x v="1"/>
    <x v="1"/>
    <x v="0"/>
    <n v="0"/>
    <n v="0"/>
    <n v="0"/>
    <m/>
    <n v="91.8"/>
  </r>
  <r>
    <s v="USR-100379"/>
    <d v="2025-04-15T00:00:00"/>
    <x v="0"/>
    <s v="West"/>
    <s v="Tablet"/>
    <s v="Paid Search"/>
    <s v="Basic"/>
    <x v="1"/>
    <x v="0"/>
    <x v="0"/>
    <x v="0"/>
    <n v="0"/>
    <n v="1"/>
    <n v="0"/>
    <m/>
    <n v="69.3"/>
  </r>
  <r>
    <s v="USR-100380"/>
    <d v="2025-01-03T00:00:00"/>
    <x v="0"/>
    <s v="South"/>
    <s v="Desktop"/>
    <s v="Paid Search"/>
    <s v="Basic"/>
    <x v="1"/>
    <x v="0"/>
    <x v="0"/>
    <x v="0"/>
    <n v="0"/>
    <n v="0"/>
    <n v="0"/>
    <m/>
    <n v="58.9"/>
  </r>
  <r>
    <s v="USR-100381"/>
    <d v="2025-03-23T00:00:00"/>
    <x v="0"/>
    <s v="West"/>
    <s v="Mobile"/>
    <s v="Social"/>
    <s v="Free"/>
    <x v="1"/>
    <x v="1"/>
    <x v="1"/>
    <x v="0"/>
    <n v="0"/>
    <n v="0"/>
    <n v="0"/>
    <m/>
    <n v="76"/>
  </r>
  <r>
    <s v="USR-100382"/>
    <d v="2025-05-27T00:00:00"/>
    <x v="0"/>
    <s v="South"/>
    <s v="Mobile"/>
    <s v="Referral"/>
    <s v="Premium"/>
    <x v="1"/>
    <x v="0"/>
    <x v="0"/>
    <x v="0"/>
    <n v="0"/>
    <n v="0"/>
    <n v="0"/>
    <m/>
    <n v="46"/>
  </r>
  <r>
    <s v="USR-100383"/>
    <d v="2025-04-30T00:00:00"/>
    <x v="0"/>
    <s v="East"/>
    <s v="Mobile"/>
    <s v="Organic"/>
    <s v="Free"/>
    <x v="1"/>
    <x v="0"/>
    <x v="0"/>
    <x v="0"/>
    <n v="0"/>
    <n v="0"/>
    <n v="0"/>
    <m/>
    <n v="54.1"/>
  </r>
  <r>
    <s v="USR-100384"/>
    <d v="2025-03-07T00:00:00"/>
    <x v="0"/>
    <s v="West"/>
    <s v="Mobile"/>
    <s v="Social"/>
    <s v="Basic"/>
    <x v="1"/>
    <x v="0"/>
    <x v="0"/>
    <x v="0"/>
    <n v="0"/>
    <n v="0"/>
    <n v="0"/>
    <m/>
    <n v="82.4"/>
  </r>
  <r>
    <s v="USR-100385"/>
    <d v="2025-05-10T00:00:00"/>
    <x v="0"/>
    <s v="South"/>
    <s v="Mobile"/>
    <s v="Organic"/>
    <s v="Basic"/>
    <x v="1"/>
    <x v="1"/>
    <x v="1"/>
    <x v="0"/>
    <n v="0"/>
    <n v="0"/>
    <n v="0"/>
    <m/>
    <n v="71.900000000000006"/>
  </r>
  <r>
    <s v="USR-100386"/>
    <d v="2025-05-22T00:00:00"/>
    <x v="0"/>
    <s v="East"/>
    <s v="Mobile"/>
    <s v="Organic"/>
    <s v="Free"/>
    <x v="0"/>
    <x v="0"/>
    <x v="0"/>
    <x v="0"/>
    <n v="0"/>
    <n v="2"/>
    <n v="0"/>
    <m/>
    <n v="38"/>
  </r>
  <r>
    <s v="USR-100387"/>
    <d v="2025-02-09T00:00:00"/>
    <x v="0"/>
    <s v="East"/>
    <s v="Mobile"/>
    <s v="Paid Search"/>
    <s v="Free"/>
    <x v="1"/>
    <x v="1"/>
    <x v="0"/>
    <x v="0"/>
    <n v="0"/>
    <n v="0"/>
    <n v="0"/>
    <m/>
    <n v="43.7"/>
  </r>
  <r>
    <s v="USR-100388"/>
    <d v="2025-05-30T00:00:00"/>
    <x v="0"/>
    <s v="West"/>
    <s v="Desktop"/>
    <s v="Organic"/>
    <s v="Premium"/>
    <x v="1"/>
    <x v="0"/>
    <x v="0"/>
    <x v="0"/>
    <n v="0"/>
    <n v="1"/>
    <n v="0"/>
    <m/>
    <n v="32.200000000000003"/>
  </r>
  <r>
    <s v="USR-100389"/>
    <d v="2025-05-01T00:00:00"/>
    <x v="0"/>
    <s v="South"/>
    <s v="Mobile"/>
    <s v="Organic"/>
    <s v="Premium"/>
    <x v="1"/>
    <x v="0"/>
    <x v="0"/>
    <x v="0"/>
    <n v="0"/>
    <n v="0"/>
    <n v="0"/>
    <m/>
    <n v="61"/>
  </r>
  <r>
    <s v="USR-100390"/>
    <d v="2025-01-03T00:00:00"/>
    <x v="0"/>
    <s v="South"/>
    <s v="Mobile"/>
    <s v="Paid Search"/>
    <s v="Free"/>
    <x v="1"/>
    <x v="0"/>
    <x v="0"/>
    <x v="0"/>
    <n v="0"/>
    <n v="0"/>
    <n v="0"/>
    <m/>
    <n v="49"/>
  </r>
  <r>
    <s v="USR-100391"/>
    <d v="2025-02-13T00:00:00"/>
    <x v="0"/>
    <s v="East"/>
    <s v="Mobile"/>
    <s v="Organic"/>
    <s v="Free"/>
    <x v="0"/>
    <x v="0"/>
    <x v="0"/>
    <x v="0"/>
    <n v="0"/>
    <n v="0"/>
    <n v="0"/>
    <m/>
    <n v="48.1"/>
  </r>
  <r>
    <s v="USR-100392"/>
    <d v="2025-01-14T00:00:00"/>
    <x v="0"/>
    <s v="South"/>
    <s v="Desktop"/>
    <s v="Organic"/>
    <s v="Free"/>
    <x v="0"/>
    <x v="0"/>
    <x v="0"/>
    <x v="0"/>
    <n v="0"/>
    <n v="2"/>
    <n v="0"/>
    <m/>
    <n v="46.3"/>
  </r>
  <r>
    <s v="USR-100393"/>
    <d v="2025-02-24T00:00:00"/>
    <x v="0"/>
    <s v="North"/>
    <s v="Mobile"/>
    <s v="Referral"/>
    <s v="Free"/>
    <x v="0"/>
    <x v="0"/>
    <x v="0"/>
    <x v="0"/>
    <n v="0"/>
    <n v="0"/>
    <n v="0"/>
    <m/>
    <n v="64"/>
  </r>
  <r>
    <s v="USR-100394"/>
    <d v="2025-05-16T00:00:00"/>
    <x v="0"/>
    <s v="West"/>
    <s v="Desktop"/>
    <s v="Organic"/>
    <s v="Basic"/>
    <x v="1"/>
    <x v="1"/>
    <x v="0"/>
    <x v="0"/>
    <n v="0"/>
    <n v="0"/>
    <n v="0"/>
    <m/>
    <n v="56.2"/>
  </r>
  <r>
    <s v="USR-100395"/>
    <d v="2025-04-29T00:00:00"/>
    <x v="0"/>
    <s v="North"/>
    <s v="Mobile"/>
    <s v="Paid Search"/>
    <s v="Free"/>
    <x v="1"/>
    <x v="1"/>
    <x v="1"/>
    <x v="0"/>
    <n v="0"/>
    <n v="0"/>
    <n v="0"/>
    <m/>
    <n v="77.5"/>
  </r>
  <r>
    <s v="USR-100396"/>
    <d v="2025-04-30T00:00:00"/>
    <x v="0"/>
    <s v="South"/>
    <s v="Desktop"/>
    <s v="Email"/>
    <s v="Basic"/>
    <x v="1"/>
    <x v="0"/>
    <x v="0"/>
    <x v="0"/>
    <n v="0"/>
    <n v="0"/>
    <n v="0"/>
    <m/>
    <n v="59.9"/>
  </r>
  <r>
    <s v="USR-100397"/>
    <d v="2025-01-09T00:00:00"/>
    <x v="0"/>
    <s v="South"/>
    <s v="Desktop"/>
    <s v="Organic"/>
    <s v="Free"/>
    <x v="1"/>
    <x v="1"/>
    <x v="0"/>
    <x v="0"/>
    <n v="0"/>
    <n v="0"/>
    <n v="0"/>
    <m/>
    <n v="63"/>
  </r>
  <r>
    <s v="USR-100398"/>
    <d v="2025-04-25T00:00:00"/>
    <x v="0"/>
    <s v="South"/>
    <s v="Mobile"/>
    <s v="Organic"/>
    <s v="Free"/>
    <x v="1"/>
    <x v="1"/>
    <x v="0"/>
    <x v="0"/>
    <n v="0"/>
    <n v="0"/>
    <n v="0"/>
    <m/>
    <n v="76.5"/>
  </r>
  <r>
    <s v="USR-100399"/>
    <d v="2025-03-12T00:00:00"/>
    <x v="0"/>
    <s v="North"/>
    <s v="Desktop"/>
    <s v="Paid Search"/>
    <s v="Free"/>
    <x v="1"/>
    <x v="0"/>
    <x v="0"/>
    <x v="0"/>
    <n v="0"/>
    <n v="0"/>
    <n v="0"/>
    <m/>
    <n v="39.700000000000003"/>
  </r>
  <r>
    <s v="USR-100400"/>
    <d v="2025-03-20T00:00:00"/>
    <x v="0"/>
    <s v="North"/>
    <s v="Mobile"/>
    <s v="Organic"/>
    <s v="Free"/>
    <x v="1"/>
    <x v="1"/>
    <x v="0"/>
    <x v="0"/>
    <n v="0"/>
    <n v="0"/>
    <n v="0"/>
    <m/>
    <n v="80.2"/>
  </r>
  <r>
    <s v="USR-100401"/>
    <d v="2025-02-18T00:00:00"/>
    <x v="0"/>
    <s v="West"/>
    <s v="Mobile"/>
    <s v="Paid Search"/>
    <s v="Free"/>
    <x v="1"/>
    <x v="0"/>
    <x v="0"/>
    <x v="0"/>
    <n v="0"/>
    <n v="0"/>
    <n v="0"/>
    <m/>
    <n v="72.2"/>
  </r>
  <r>
    <s v="USR-100402"/>
    <d v="2025-01-22T00:00:00"/>
    <x v="0"/>
    <s v="North"/>
    <s v="Mobile"/>
    <s v="Social"/>
    <s v="Basic"/>
    <x v="0"/>
    <x v="0"/>
    <x v="0"/>
    <x v="0"/>
    <n v="0"/>
    <n v="0"/>
    <n v="0"/>
    <m/>
    <n v="56"/>
  </r>
  <r>
    <s v="USR-100403"/>
    <d v="2025-02-08T00:00:00"/>
    <x v="0"/>
    <s v="West"/>
    <s v="Mobile"/>
    <s v="Email"/>
    <s v="Basic"/>
    <x v="1"/>
    <x v="1"/>
    <x v="1"/>
    <x v="0"/>
    <n v="0"/>
    <n v="0"/>
    <n v="0"/>
    <m/>
    <n v="69.099999999999994"/>
  </r>
  <r>
    <s v="USR-100404"/>
    <d v="2025-01-20T00:00:00"/>
    <x v="0"/>
    <s v="North"/>
    <s v="Mobile"/>
    <s v="Email"/>
    <s v="Premium"/>
    <x v="0"/>
    <x v="0"/>
    <x v="0"/>
    <x v="0"/>
    <n v="0"/>
    <n v="1"/>
    <n v="0"/>
    <m/>
    <n v="70.599999999999994"/>
  </r>
  <r>
    <s v="USR-100405"/>
    <d v="2025-04-22T00:00:00"/>
    <x v="0"/>
    <s v="West"/>
    <s v="Desktop"/>
    <s v="Referral"/>
    <s v="Free"/>
    <x v="1"/>
    <x v="0"/>
    <x v="0"/>
    <x v="0"/>
    <n v="0"/>
    <n v="0"/>
    <n v="0"/>
    <m/>
    <n v="57.9"/>
  </r>
  <r>
    <s v="USR-100406"/>
    <d v="2025-01-22T00:00:00"/>
    <x v="0"/>
    <s v="East"/>
    <s v="Mobile"/>
    <s v="Organic"/>
    <s v="Basic"/>
    <x v="1"/>
    <x v="1"/>
    <x v="0"/>
    <x v="0"/>
    <n v="0"/>
    <n v="0"/>
    <n v="0"/>
    <m/>
    <n v="41.4"/>
  </r>
  <r>
    <s v="USR-100407"/>
    <d v="2025-05-11T00:00:00"/>
    <x v="0"/>
    <s v="West"/>
    <s v="Mobile"/>
    <s v="Organic"/>
    <s v="Basic"/>
    <x v="1"/>
    <x v="0"/>
    <x v="0"/>
    <x v="0"/>
    <n v="0"/>
    <n v="0"/>
    <n v="0"/>
    <m/>
    <n v="60.9"/>
  </r>
  <r>
    <s v="USR-100408"/>
    <d v="2025-02-06T00:00:00"/>
    <x v="0"/>
    <s v="South"/>
    <s v="Mobile"/>
    <s v="Organic"/>
    <s v="Basic"/>
    <x v="0"/>
    <x v="0"/>
    <x v="0"/>
    <x v="0"/>
    <n v="0"/>
    <n v="1"/>
    <n v="0"/>
    <m/>
    <n v="63.8"/>
  </r>
  <r>
    <s v="USR-100409"/>
    <d v="2025-02-21T00:00:00"/>
    <x v="0"/>
    <s v="North"/>
    <s v="Desktop"/>
    <s v="Organic"/>
    <s v="Premium"/>
    <x v="1"/>
    <x v="0"/>
    <x v="0"/>
    <x v="0"/>
    <n v="0"/>
    <n v="0"/>
    <n v="0"/>
    <m/>
    <n v="79.2"/>
  </r>
  <r>
    <s v="USR-100410"/>
    <d v="2025-01-13T00:00:00"/>
    <x v="0"/>
    <s v="West"/>
    <s v="Mobile"/>
    <s v="Email"/>
    <s v="Premium"/>
    <x v="1"/>
    <x v="1"/>
    <x v="1"/>
    <x v="0"/>
    <n v="0"/>
    <n v="0"/>
    <n v="0"/>
    <m/>
    <n v="53.3"/>
  </r>
  <r>
    <s v="USR-100411"/>
    <d v="2025-03-07T00:00:00"/>
    <x v="0"/>
    <s v="North"/>
    <s v="Mobile"/>
    <s v="Referral"/>
    <s v="Premium"/>
    <x v="1"/>
    <x v="1"/>
    <x v="1"/>
    <x v="1"/>
    <n v="2144.8200000000002"/>
    <n v="0"/>
    <n v="0"/>
    <n v="6"/>
    <n v="52.3"/>
  </r>
  <r>
    <s v="USR-100412"/>
    <d v="2025-02-26T00:00:00"/>
    <x v="0"/>
    <s v="West"/>
    <s v="Desktop"/>
    <s v="Organic"/>
    <s v="Basic"/>
    <x v="1"/>
    <x v="1"/>
    <x v="0"/>
    <x v="0"/>
    <n v="0"/>
    <n v="0"/>
    <n v="0"/>
    <m/>
    <n v="62.4"/>
  </r>
  <r>
    <s v="USR-100413"/>
    <d v="2025-05-05T00:00:00"/>
    <x v="0"/>
    <s v="North"/>
    <s v="Mobile"/>
    <s v="Referral"/>
    <s v="Premium"/>
    <x v="1"/>
    <x v="0"/>
    <x v="0"/>
    <x v="0"/>
    <n v="0"/>
    <n v="0"/>
    <n v="0"/>
    <m/>
    <n v="45.5"/>
  </r>
  <r>
    <s v="USR-100414"/>
    <d v="2025-01-08T00:00:00"/>
    <x v="0"/>
    <s v="East"/>
    <s v="Desktop"/>
    <s v="Organic"/>
    <s v="Basic"/>
    <x v="0"/>
    <x v="0"/>
    <x v="0"/>
    <x v="0"/>
    <n v="0"/>
    <n v="1"/>
    <n v="0"/>
    <m/>
    <n v="72.599999999999994"/>
  </r>
  <r>
    <s v="USR-100415"/>
    <d v="2025-03-19T00:00:00"/>
    <x v="0"/>
    <s v="South"/>
    <s v="Mobile"/>
    <s v="Email"/>
    <s v="Premium"/>
    <x v="1"/>
    <x v="1"/>
    <x v="1"/>
    <x v="0"/>
    <n v="0"/>
    <n v="0"/>
    <n v="0"/>
    <m/>
    <n v="50.1"/>
  </r>
  <r>
    <s v="USR-100416"/>
    <d v="2025-01-30T00:00:00"/>
    <x v="0"/>
    <s v="East"/>
    <s v="Desktop"/>
    <s v="Paid Search"/>
    <s v="Free"/>
    <x v="1"/>
    <x v="1"/>
    <x v="1"/>
    <x v="0"/>
    <n v="0"/>
    <n v="2"/>
    <n v="0"/>
    <m/>
    <n v="58.1"/>
  </r>
  <r>
    <s v="USR-100417"/>
    <d v="2025-04-28T00:00:00"/>
    <x v="0"/>
    <s v="East"/>
    <s v="Mobile"/>
    <s v="Organic"/>
    <s v="Basic"/>
    <x v="1"/>
    <x v="0"/>
    <x v="0"/>
    <x v="0"/>
    <n v="0"/>
    <n v="0"/>
    <n v="0"/>
    <m/>
    <n v="42.9"/>
  </r>
  <r>
    <s v="USR-100418"/>
    <d v="2025-03-07T00:00:00"/>
    <x v="0"/>
    <s v="North"/>
    <s v="Mobile"/>
    <s v="Referral"/>
    <s v="Basic"/>
    <x v="0"/>
    <x v="0"/>
    <x v="0"/>
    <x v="0"/>
    <n v="0"/>
    <n v="0"/>
    <n v="0"/>
    <m/>
    <n v="69.7"/>
  </r>
  <r>
    <s v="USR-100419"/>
    <d v="2025-04-07T00:00:00"/>
    <x v="0"/>
    <s v="North"/>
    <s v="Desktop"/>
    <s v="Organic"/>
    <s v="Free"/>
    <x v="0"/>
    <x v="0"/>
    <x v="0"/>
    <x v="0"/>
    <n v="0"/>
    <n v="0"/>
    <n v="0"/>
    <m/>
    <n v="63.3"/>
  </r>
  <r>
    <s v="USR-100420"/>
    <d v="2025-05-08T00:00:00"/>
    <x v="0"/>
    <s v="North"/>
    <s v="Desktop"/>
    <s v="Organic"/>
    <s v="Premium"/>
    <x v="1"/>
    <x v="0"/>
    <x v="0"/>
    <x v="0"/>
    <n v="0"/>
    <n v="0"/>
    <n v="0"/>
    <m/>
    <n v="71.2"/>
  </r>
  <r>
    <s v="USR-100421"/>
    <d v="2025-04-15T00:00:00"/>
    <x v="0"/>
    <s v="South"/>
    <s v="Mobile"/>
    <s v="Email"/>
    <s v="Free"/>
    <x v="1"/>
    <x v="0"/>
    <x v="0"/>
    <x v="0"/>
    <n v="0"/>
    <n v="0"/>
    <n v="0"/>
    <m/>
    <n v="39.1"/>
  </r>
  <r>
    <s v="USR-100422"/>
    <d v="2025-04-20T00:00:00"/>
    <x v="0"/>
    <s v="East"/>
    <s v="Desktop"/>
    <s v="Social"/>
    <s v="Free"/>
    <x v="1"/>
    <x v="0"/>
    <x v="0"/>
    <x v="0"/>
    <n v="0"/>
    <n v="0"/>
    <n v="0"/>
    <m/>
    <n v="42.6"/>
  </r>
  <r>
    <s v="USR-100423"/>
    <d v="2025-05-30T00:00:00"/>
    <x v="0"/>
    <s v="South"/>
    <s v="Tablet"/>
    <s v="Organic"/>
    <s v="Free"/>
    <x v="0"/>
    <x v="0"/>
    <x v="0"/>
    <x v="0"/>
    <n v="0"/>
    <n v="0"/>
    <n v="0"/>
    <m/>
    <n v="74.400000000000006"/>
  </r>
  <r>
    <s v="USR-100424"/>
    <d v="2025-02-13T00:00:00"/>
    <x v="0"/>
    <s v="West"/>
    <s v="Mobile"/>
    <s v="Referral"/>
    <s v="Free"/>
    <x v="0"/>
    <x v="0"/>
    <x v="0"/>
    <x v="0"/>
    <n v="0"/>
    <n v="0"/>
    <n v="0"/>
    <m/>
    <n v="55.6"/>
  </r>
  <r>
    <s v="USR-100425"/>
    <d v="2025-04-28T00:00:00"/>
    <x v="0"/>
    <s v="West"/>
    <s v="Mobile"/>
    <s v="Social"/>
    <s v="Free"/>
    <x v="1"/>
    <x v="0"/>
    <x v="0"/>
    <x v="0"/>
    <n v="0"/>
    <n v="0"/>
    <n v="0"/>
    <m/>
    <n v="35.799999999999997"/>
  </r>
  <r>
    <s v="USR-100426"/>
    <d v="2025-02-12T00:00:00"/>
    <x v="0"/>
    <s v="North"/>
    <s v="Mobile"/>
    <s v="Paid Search"/>
    <s v="Basic"/>
    <x v="1"/>
    <x v="0"/>
    <x v="0"/>
    <x v="0"/>
    <n v="0"/>
    <n v="1"/>
    <n v="0"/>
    <m/>
    <n v="28.2"/>
  </r>
  <r>
    <s v="USR-100427"/>
    <d v="2025-02-12T00:00:00"/>
    <x v="0"/>
    <s v="East"/>
    <s v="Mobile"/>
    <s v="Organic"/>
    <s v="Free"/>
    <x v="0"/>
    <x v="0"/>
    <x v="0"/>
    <x v="0"/>
    <n v="0"/>
    <n v="2"/>
    <n v="0"/>
    <m/>
    <n v="44.4"/>
  </r>
  <r>
    <s v="USR-100428"/>
    <d v="2025-03-27T00:00:00"/>
    <x v="0"/>
    <s v="North"/>
    <s v="Mobile"/>
    <s v="Email"/>
    <s v="Premium"/>
    <x v="1"/>
    <x v="0"/>
    <x v="0"/>
    <x v="0"/>
    <n v="0"/>
    <n v="0"/>
    <n v="0"/>
    <m/>
    <n v="49.9"/>
  </r>
  <r>
    <s v="USR-100429"/>
    <d v="2025-04-12T00:00:00"/>
    <x v="0"/>
    <s v="South"/>
    <s v="Desktop"/>
    <s v="Organic"/>
    <s v="Free"/>
    <x v="0"/>
    <x v="0"/>
    <x v="0"/>
    <x v="0"/>
    <n v="0"/>
    <n v="0"/>
    <n v="0"/>
    <m/>
    <n v="40.4"/>
  </r>
  <r>
    <s v="USR-100430"/>
    <d v="2025-01-30T00:00:00"/>
    <x v="0"/>
    <s v="West"/>
    <s v="Mobile"/>
    <s v="Social"/>
    <s v="Free"/>
    <x v="0"/>
    <x v="0"/>
    <x v="0"/>
    <x v="0"/>
    <n v="0"/>
    <n v="0"/>
    <n v="0"/>
    <m/>
    <n v="60.4"/>
  </r>
  <r>
    <s v="USR-100431"/>
    <d v="2025-05-28T00:00:00"/>
    <x v="0"/>
    <s v="West"/>
    <s v="Mobile"/>
    <s v="Social"/>
    <s v="Premium"/>
    <x v="0"/>
    <x v="0"/>
    <x v="0"/>
    <x v="0"/>
    <n v="0"/>
    <n v="1"/>
    <n v="0"/>
    <m/>
    <n v="52.4"/>
  </r>
  <r>
    <s v="USR-100432"/>
    <d v="2025-05-01T00:00:00"/>
    <x v="0"/>
    <s v="South"/>
    <s v="Mobile"/>
    <s v="Organic"/>
    <s v="Basic"/>
    <x v="1"/>
    <x v="1"/>
    <x v="0"/>
    <x v="0"/>
    <n v="0"/>
    <n v="0"/>
    <n v="0"/>
    <m/>
    <n v="48.8"/>
  </r>
  <r>
    <s v="USR-100433"/>
    <d v="2025-02-03T00:00:00"/>
    <x v="0"/>
    <s v="North"/>
    <s v="Tablet"/>
    <s v="Email"/>
    <s v="Basic"/>
    <x v="1"/>
    <x v="0"/>
    <x v="0"/>
    <x v="0"/>
    <n v="0"/>
    <n v="0"/>
    <n v="0"/>
    <m/>
    <n v="60.9"/>
  </r>
  <r>
    <s v="USR-100434"/>
    <d v="2025-01-10T00:00:00"/>
    <x v="0"/>
    <s v="South"/>
    <s v="Desktop"/>
    <s v="Social"/>
    <s v="Basic"/>
    <x v="0"/>
    <x v="0"/>
    <x v="0"/>
    <x v="0"/>
    <n v="0"/>
    <n v="0"/>
    <n v="0"/>
    <m/>
    <n v="68.2"/>
  </r>
  <r>
    <s v="USR-100435"/>
    <d v="2025-05-02T00:00:00"/>
    <x v="0"/>
    <s v="North"/>
    <s v="Desktop"/>
    <s v="Organic"/>
    <s v="Basic"/>
    <x v="1"/>
    <x v="0"/>
    <x v="0"/>
    <x v="0"/>
    <n v="0"/>
    <n v="0"/>
    <n v="0"/>
    <m/>
    <n v="65.599999999999994"/>
  </r>
  <r>
    <s v="USR-100436"/>
    <d v="2025-05-26T00:00:00"/>
    <x v="0"/>
    <s v="North"/>
    <s v="Desktop"/>
    <s v="Organic"/>
    <s v="Basic"/>
    <x v="1"/>
    <x v="0"/>
    <x v="0"/>
    <x v="0"/>
    <n v="0"/>
    <n v="0"/>
    <n v="0"/>
    <m/>
    <n v="65.400000000000006"/>
  </r>
  <r>
    <s v="USR-100437"/>
    <d v="2025-01-12T00:00:00"/>
    <x v="0"/>
    <s v="West"/>
    <s v="Mobile"/>
    <s v="Organic"/>
    <s v="Basic"/>
    <x v="1"/>
    <x v="0"/>
    <x v="0"/>
    <x v="0"/>
    <n v="0"/>
    <n v="0"/>
    <n v="0"/>
    <m/>
    <n v="78.900000000000006"/>
  </r>
  <r>
    <s v="USR-100438"/>
    <d v="2025-05-27T00:00:00"/>
    <x v="0"/>
    <s v="East"/>
    <s v="Mobile"/>
    <s v="Paid Search"/>
    <s v="Basic"/>
    <x v="1"/>
    <x v="1"/>
    <x v="1"/>
    <x v="0"/>
    <n v="0"/>
    <n v="0"/>
    <n v="0"/>
    <m/>
    <n v="78.3"/>
  </r>
  <r>
    <s v="USR-100439"/>
    <d v="2025-05-22T00:00:00"/>
    <x v="0"/>
    <s v="West"/>
    <s v="Desktop"/>
    <s v="Email"/>
    <s v="Basic"/>
    <x v="0"/>
    <x v="0"/>
    <x v="0"/>
    <x v="0"/>
    <n v="0"/>
    <n v="0"/>
    <n v="0"/>
    <m/>
    <n v="49.2"/>
  </r>
  <r>
    <s v="USR-100440"/>
    <d v="2025-04-01T00:00:00"/>
    <x v="0"/>
    <s v="East"/>
    <s v="Mobile"/>
    <s v="Social"/>
    <s v="Premium"/>
    <x v="1"/>
    <x v="1"/>
    <x v="1"/>
    <x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x v="1"/>
    <x v="1"/>
    <x v="1"/>
    <x v="0"/>
    <n v="0"/>
    <n v="0"/>
    <n v="0"/>
    <m/>
    <n v="46.3"/>
  </r>
  <r>
    <s v="USR-100442"/>
    <d v="2025-05-24T00:00:00"/>
    <x v="0"/>
    <s v="East"/>
    <s v="Mobile"/>
    <s v="Paid Search"/>
    <s v="Basic"/>
    <x v="1"/>
    <x v="0"/>
    <x v="0"/>
    <x v="0"/>
    <n v="0"/>
    <n v="0"/>
    <n v="0"/>
    <m/>
    <n v="55.7"/>
  </r>
  <r>
    <s v="USR-100443"/>
    <d v="2025-04-25T00:00:00"/>
    <x v="0"/>
    <s v="South"/>
    <s v="Mobile"/>
    <s v="Social"/>
    <s v="Free"/>
    <x v="1"/>
    <x v="0"/>
    <x v="0"/>
    <x v="0"/>
    <n v="0"/>
    <n v="0"/>
    <n v="0"/>
    <m/>
    <n v="44.5"/>
  </r>
  <r>
    <s v="USR-100444"/>
    <d v="2025-04-12T00:00:00"/>
    <x v="0"/>
    <s v="West"/>
    <s v="Desktop"/>
    <s v="Referral"/>
    <s v="Free"/>
    <x v="1"/>
    <x v="1"/>
    <x v="1"/>
    <x v="0"/>
    <n v="0"/>
    <n v="1"/>
    <n v="0"/>
    <m/>
    <n v="47.9"/>
  </r>
  <r>
    <s v="USR-100445"/>
    <d v="2025-04-23T00:00:00"/>
    <x v="0"/>
    <s v="South"/>
    <s v="Mobile"/>
    <s v="Organic"/>
    <s v="Premium"/>
    <x v="1"/>
    <x v="0"/>
    <x v="0"/>
    <x v="0"/>
    <n v="0"/>
    <n v="0"/>
    <n v="0"/>
    <m/>
    <n v="43.9"/>
  </r>
  <r>
    <s v="USR-100446"/>
    <d v="2025-03-30T00:00:00"/>
    <x v="0"/>
    <s v="North"/>
    <s v="Desktop"/>
    <s v="Referral"/>
    <s v="Free"/>
    <x v="1"/>
    <x v="1"/>
    <x v="1"/>
    <x v="0"/>
    <n v="0"/>
    <n v="1"/>
    <n v="0"/>
    <m/>
    <n v="67.7"/>
  </r>
  <r>
    <s v="USR-100447"/>
    <d v="2025-01-18T00:00:00"/>
    <x v="0"/>
    <s v="East"/>
    <s v="Mobile"/>
    <s v="Referral"/>
    <s v="Basic"/>
    <x v="0"/>
    <x v="0"/>
    <x v="0"/>
    <x v="0"/>
    <n v="0"/>
    <n v="0"/>
    <n v="0"/>
    <m/>
    <n v="43.7"/>
  </r>
  <r>
    <s v="USR-100448"/>
    <d v="2025-04-09T00:00:00"/>
    <x v="0"/>
    <s v="East"/>
    <s v="Mobile"/>
    <s v="Organic"/>
    <s v="Free"/>
    <x v="1"/>
    <x v="0"/>
    <x v="0"/>
    <x v="0"/>
    <n v="0"/>
    <n v="0"/>
    <n v="0"/>
    <m/>
    <n v="68.8"/>
  </r>
  <r>
    <s v="USR-100449"/>
    <d v="2025-01-11T00:00:00"/>
    <x v="0"/>
    <s v="West"/>
    <s v="Mobile"/>
    <s v="Organic"/>
    <s v="Free"/>
    <x v="1"/>
    <x v="1"/>
    <x v="1"/>
    <x v="0"/>
    <n v="0"/>
    <n v="0"/>
    <n v="0"/>
    <m/>
    <n v="59.2"/>
  </r>
  <r>
    <s v="USR-100450"/>
    <d v="2025-03-05T00:00:00"/>
    <x v="0"/>
    <s v="East"/>
    <s v="Mobile"/>
    <s v="Paid Search"/>
    <s v="Free"/>
    <x v="1"/>
    <x v="0"/>
    <x v="0"/>
    <x v="0"/>
    <n v="0"/>
    <n v="0"/>
    <n v="0"/>
    <m/>
    <n v="48.6"/>
  </r>
  <r>
    <s v="USR-100451"/>
    <d v="2025-02-17T00:00:00"/>
    <x v="0"/>
    <s v="North"/>
    <s v="Tablet"/>
    <s v="Social"/>
    <s v="Free"/>
    <x v="1"/>
    <x v="1"/>
    <x v="1"/>
    <x v="0"/>
    <n v="0"/>
    <n v="0"/>
    <n v="0"/>
    <m/>
    <n v="56.9"/>
  </r>
  <r>
    <s v="USR-100452"/>
    <d v="2025-05-07T00:00:00"/>
    <x v="0"/>
    <s v="North"/>
    <s v="Desktop"/>
    <s v="Paid Search"/>
    <s v="Free"/>
    <x v="0"/>
    <x v="0"/>
    <x v="0"/>
    <x v="0"/>
    <n v="0"/>
    <n v="0"/>
    <n v="0"/>
    <m/>
    <n v="55.8"/>
  </r>
  <r>
    <s v="USR-100453"/>
    <d v="2025-04-10T00:00:00"/>
    <x v="0"/>
    <s v="East"/>
    <s v="Mobile"/>
    <s v="Paid Search"/>
    <s v="Premium"/>
    <x v="0"/>
    <x v="0"/>
    <x v="0"/>
    <x v="0"/>
    <n v="0"/>
    <n v="0"/>
    <n v="0"/>
    <m/>
    <n v="63.3"/>
  </r>
  <r>
    <s v="USR-100454"/>
    <d v="2025-04-21T00:00:00"/>
    <x v="0"/>
    <s v="North"/>
    <s v="Mobile"/>
    <s v="Social"/>
    <s v="Free"/>
    <x v="1"/>
    <x v="0"/>
    <x v="0"/>
    <x v="0"/>
    <n v="0"/>
    <n v="0"/>
    <n v="0"/>
    <m/>
    <n v="52.2"/>
  </r>
  <r>
    <s v="USR-100455"/>
    <d v="2025-02-25T00:00:00"/>
    <x v="0"/>
    <s v="South"/>
    <s v="Tablet"/>
    <m/>
    <s v="Free"/>
    <x v="0"/>
    <x v="0"/>
    <x v="0"/>
    <x v="0"/>
    <n v="0"/>
    <n v="0"/>
    <n v="0"/>
    <m/>
    <n v="51.5"/>
  </r>
  <r>
    <s v="USR-100456"/>
    <d v="2025-05-14T00:00:00"/>
    <x v="0"/>
    <s v="East"/>
    <s v="Desktop"/>
    <s v="Organic"/>
    <s v="Free"/>
    <x v="0"/>
    <x v="0"/>
    <x v="0"/>
    <x v="0"/>
    <n v="0"/>
    <n v="0"/>
    <n v="0"/>
    <m/>
    <n v="50.3"/>
  </r>
  <r>
    <s v="USR-100457"/>
    <d v="2025-03-10T00:00:00"/>
    <x v="0"/>
    <s v="North"/>
    <s v="Mobile"/>
    <s v="Email"/>
    <s v="Basic"/>
    <x v="1"/>
    <x v="0"/>
    <x v="0"/>
    <x v="0"/>
    <n v="0"/>
    <n v="1"/>
    <n v="0"/>
    <m/>
    <n v="35.4"/>
  </r>
  <r>
    <s v="USR-100458"/>
    <d v="2025-01-31T00:00:00"/>
    <x v="0"/>
    <s v="West"/>
    <s v="Desktop"/>
    <s v="Organic"/>
    <s v="Premium"/>
    <x v="1"/>
    <x v="0"/>
    <x v="0"/>
    <x v="0"/>
    <n v="0"/>
    <n v="1"/>
    <n v="0"/>
    <m/>
    <n v="54.1"/>
  </r>
  <r>
    <s v="USR-100459"/>
    <d v="2025-01-17T00:00:00"/>
    <x v="0"/>
    <s v="South"/>
    <s v="Mobile"/>
    <s v="Organic"/>
    <s v="Premium"/>
    <x v="1"/>
    <x v="0"/>
    <x v="0"/>
    <x v="0"/>
    <n v="0"/>
    <n v="0"/>
    <n v="0"/>
    <m/>
    <n v="56.2"/>
  </r>
  <r>
    <s v="USR-100460"/>
    <d v="2025-03-12T00:00:00"/>
    <x v="0"/>
    <s v="South"/>
    <s v="Mobile"/>
    <s v="Paid Search"/>
    <s v="Free"/>
    <x v="0"/>
    <x v="0"/>
    <x v="0"/>
    <x v="0"/>
    <n v="0"/>
    <n v="3"/>
    <n v="0"/>
    <m/>
    <n v="43.7"/>
  </r>
  <r>
    <s v="USR-100461"/>
    <d v="2025-02-28T00:00:00"/>
    <x v="0"/>
    <s v="West"/>
    <s v="Desktop"/>
    <s v="Organic"/>
    <s v="Premium"/>
    <x v="1"/>
    <x v="1"/>
    <x v="0"/>
    <x v="0"/>
    <n v="0"/>
    <n v="0"/>
    <n v="0"/>
    <m/>
    <n v="51.3"/>
  </r>
  <r>
    <s v="USR-100462"/>
    <d v="2025-05-19T00:00:00"/>
    <x v="0"/>
    <s v="North"/>
    <m/>
    <s v="Organic"/>
    <s v="Basic"/>
    <x v="1"/>
    <x v="0"/>
    <x v="0"/>
    <x v="0"/>
    <n v="0"/>
    <n v="0"/>
    <n v="0"/>
    <m/>
    <n v="50.5"/>
  </r>
  <r>
    <s v="USR-100463"/>
    <d v="2025-02-23T00:00:00"/>
    <x v="0"/>
    <s v="North"/>
    <s v="Mobile"/>
    <s v="Referral"/>
    <s v="Basic"/>
    <x v="1"/>
    <x v="0"/>
    <x v="0"/>
    <x v="0"/>
    <n v="0"/>
    <n v="0"/>
    <n v="0"/>
    <m/>
    <n v="57.3"/>
  </r>
  <r>
    <s v="USR-100464"/>
    <d v="2025-02-20T00:00:00"/>
    <x v="0"/>
    <s v="West"/>
    <s v="Desktop"/>
    <s v="Organic"/>
    <s v="Free"/>
    <x v="1"/>
    <x v="1"/>
    <x v="1"/>
    <x v="0"/>
    <n v="0"/>
    <n v="0"/>
    <n v="0"/>
    <m/>
    <n v="58.4"/>
  </r>
  <r>
    <s v="USR-100465"/>
    <d v="2025-04-12T00:00:00"/>
    <x v="0"/>
    <s v="North"/>
    <s v="Mobile"/>
    <m/>
    <s v="Free"/>
    <x v="0"/>
    <x v="0"/>
    <x v="0"/>
    <x v="0"/>
    <n v="0"/>
    <n v="0"/>
    <n v="0"/>
    <m/>
    <n v="56.5"/>
  </r>
  <r>
    <s v="USR-100466"/>
    <d v="2025-01-08T00:00:00"/>
    <x v="0"/>
    <s v="West"/>
    <s v="Mobile"/>
    <s v="Email"/>
    <s v="Free"/>
    <x v="0"/>
    <x v="0"/>
    <x v="0"/>
    <x v="0"/>
    <n v="0"/>
    <n v="0"/>
    <n v="0"/>
    <m/>
    <n v="69.599999999999994"/>
  </r>
  <r>
    <s v="USR-100467"/>
    <d v="2025-02-13T00:00:00"/>
    <x v="0"/>
    <s v="West"/>
    <s v="Mobile"/>
    <s v="Organic"/>
    <s v="Basic"/>
    <x v="0"/>
    <x v="0"/>
    <x v="0"/>
    <x v="0"/>
    <n v="0"/>
    <n v="0"/>
    <n v="0"/>
    <m/>
    <n v="6.2"/>
  </r>
  <r>
    <s v="USR-100468"/>
    <d v="2025-05-21T00:00:00"/>
    <x v="0"/>
    <s v="East"/>
    <s v="Desktop"/>
    <s v="Email"/>
    <s v="Free"/>
    <x v="1"/>
    <x v="1"/>
    <x v="1"/>
    <x v="0"/>
    <n v="0"/>
    <n v="0"/>
    <n v="0"/>
    <m/>
    <n v="54.3"/>
  </r>
  <r>
    <s v="USR-100469"/>
    <d v="2025-05-30T00:00:00"/>
    <x v="0"/>
    <s v="North"/>
    <s v="Mobile"/>
    <s v="Organic"/>
    <s v="Basic"/>
    <x v="0"/>
    <x v="0"/>
    <x v="0"/>
    <x v="0"/>
    <n v="0"/>
    <n v="0"/>
    <n v="0"/>
    <m/>
    <n v="59.8"/>
  </r>
  <r>
    <s v="USR-100470"/>
    <d v="2025-05-20T00:00:00"/>
    <x v="0"/>
    <s v="West"/>
    <s v="Mobile"/>
    <s v="Paid Search"/>
    <s v="Free"/>
    <x v="0"/>
    <x v="0"/>
    <x v="0"/>
    <x v="0"/>
    <n v="0"/>
    <n v="0"/>
    <n v="0"/>
    <m/>
    <n v="58.9"/>
  </r>
  <r>
    <s v="USR-100471"/>
    <d v="2025-01-09T00:00:00"/>
    <x v="0"/>
    <s v="East"/>
    <s v="Desktop"/>
    <s v="Organic"/>
    <s v="Free"/>
    <x v="0"/>
    <x v="0"/>
    <x v="0"/>
    <x v="0"/>
    <n v="0"/>
    <n v="1"/>
    <n v="0"/>
    <m/>
    <n v="52.9"/>
  </r>
  <r>
    <s v="USR-100472"/>
    <d v="2025-03-07T00:00:00"/>
    <x v="0"/>
    <s v="West"/>
    <s v="Mobile"/>
    <s v="Organic"/>
    <s v="Free"/>
    <x v="0"/>
    <x v="0"/>
    <x v="0"/>
    <x v="0"/>
    <n v="0"/>
    <n v="0"/>
    <n v="0"/>
    <m/>
    <n v="67.8"/>
  </r>
  <r>
    <s v="USR-100473"/>
    <d v="2025-04-23T00:00:00"/>
    <x v="0"/>
    <s v="South"/>
    <s v="Mobile"/>
    <s v="Social"/>
    <s v="Free"/>
    <x v="0"/>
    <x v="0"/>
    <x v="0"/>
    <x v="0"/>
    <n v="0"/>
    <n v="0"/>
    <n v="0"/>
    <m/>
    <n v="48.7"/>
  </r>
  <r>
    <s v="USR-100474"/>
    <d v="2025-03-08T00:00:00"/>
    <x v="0"/>
    <s v="East"/>
    <s v="Mobile"/>
    <s v="Organic"/>
    <s v="Basic"/>
    <x v="0"/>
    <x v="0"/>
    <x v="0"/>
    <x v="0"/>
    <n v="0"/>
    <n v="0"/>
    <n v="0"/>
    <m/>
    <n v="59"/>
  </r>
  <r>
    <s v="USR-100475"/>
    <d v="2025-02-14T00:00:00"/>
    <x v="0"/>
    <s v="South"/>
    <s v="Mobile"/>
    <s v="Referral"/>
    <s v="Free"/>
    <x v="0"/>
    <x v="0"/>
    <x v="0"/>
    <x v="0"/>
    <n v="0"/>
    <n v="0"/>
    <n v="0"/>
    <m/>
    <n v="63.2"/>
  </r>
  <r>
    <s v="USR-100476"/>
    <d v="2025-05-17T00:00:00"/>
    <x v="0"/>
    <s v="West"/>
    <s v="Mobile"/>
    <s v="Referral"/>
    <s v="Basic"/>
    <x v="1"/>
    <x v="0"/>
    <x v="0"/>
    <x v="0"/>
    <n v="0"/>
    <n v="0"/>
    <n v="0"/>
    <m/>
    <n v="68.7"/>
  </r>
  <r>
    <s v="USR-100477"/>
    <d v="2025-04-25T00:00:00"/>
    <x v="0"/>
    <s v="South"/>
    <s v="Mobile"/>
    <s v="Referral"/>
    <s v="Free"/>
    <x v="0"/>
    <x v="0"/>
    <x v="0"/>
    <x v="0"/>
    <n v="0"/>
    <n v="0"/>
    <n v="0"/>
    <m/>
    <n v="52.1"/>
  </r>
  <r>
    <s v="USR-100478"/>
    <d v="2025-03-04T00:00:00"/>
    <x v="0"/>
    <s v="South"/>
    <s v="Desktop"/>
    <s v="Social"/>
    <s v="Basic"/>
    <x v="0"/>
    <x v="0"/>
    <x v="0"/>
    <x v="0"/>
    <n v="0"/>
    <n v="0"/>
    <n v="0"/>
    <m/>
    <n v="56.5"/>
  </r>
  <r>
    <s v="USR-100479"/>
    <d v="2025-03-18T00:00:00"/>
    <x v="0"/>
    <s v="South"/>
    <s v="Mobile"/>
    <s v="Organic"/>
    <s v="Free"/>
    <x v="1"/>
    <x v="0"/>
    <x v="0"/>
    <x v="0"/>
    <n v="0"/>
    <n v="0"/>
    <n v="0"/>
    <m/>
    <n v="64.400000000000006"/>
  </r>
  <r>
    <s v="USR-100480"/>
    <d v="2025-01-30T00:00:00"/>
    <x v="0"/>
    <s v="West"/>
    <s v="Mobile"/>
    <s v="Paid Search"/>
    <s v="Premium"/>
    <x v="1"/>
    <x v="0"/>
    <x v="0"/>
    <x v="0"/>
    <n v="0"/>
    <n v="0"/>
    <n v="0"/>
    <m/>
    <n v="65.900000000000006"/>
  </r>
  <r>
    <s v="USR-100481"/>
    <d v="2025-05-20T00:00:00"/>
    <x v="0"/>
    <s v="West"/>
    <s v="Tablet"/>
    <s v="Referral"/>
    <s v="Free"/>
    <x v="1"/>
    <x v="1"/>
    <x v="1"/>
    <x v="0"/>
    <n v="0"/>
    <n v="0"/>
    <n v="0"/>
    <m/>
    <n v="100"/>
  </r>
  <r>
    <s v="USR-100482"/>
    <d v="2025-02-13T00:00:00"/>
    <x v="0"/>
    <s v="North"/>
    <m/>
    <s v="Organic"/>
    <s v="Basic"/>
    <x v="1"/>
    <x v="1"/>
    <x v="1"/>
    <x v="0"/>
    <n v="0"/>
    <n v="0"/>
    <n v="0"/>
    <m/>
    <n v="50.4"/>
  </r>
  <r>
    <s v="USR-100483"/>
    <d v="2025-04-12T00:00:00"/>
    <x v="0"/>
    <s v="West"/>
    <s v="Desktop"/>
    <s v="Organic"/>
    <s v="Basic"/>
    <x v="0"/>
    <x v="0"/>
    <x v="0"/>
    <x v="0"/>
    <n v="0"/>
    <n v="0"/>
    <n v="0"/>
    <m/>
    <n v="41.5"/>
  </r>
  <r>
    <s v="USR-100484"/>
    <d v="2025-04-07T00:00:00"/>
    <x v="0"/>
    <s v="North"/>
    <s v="Mobile"/>
    <s v="Email"/>
    <s v="Free"/>
    <x v="0"/>
    <x v="0"/>
    <x v="0"/>
    <x v="0"/>
    <n v="0"/>
    <n v="0"/>
    <n v="0"/>
    <m/>
    <n v="86.2"/>
  </r>
  <r>
    <s v="USR-100485"/>
    <d v="2025-03-12T00:00:00"/>
    <x v="0"/>
    <s v="North"/>
    <s v="Desktop"/>
    <s v="Social"/>
    <s v="Free"/>
    <x v="1"/>
    <x v="1"/>
    <x v="1"/>
    <x v="0"/>
    <n v="0"/>
    <n v="2"/>
    <n v="0"/>
    <m/>
    <n v="50.8"/>
  </r>
  <r>
    <s v="USR-100486"/>
    <d v="2025-02-07T00:00:00"/>
    <x v="0"/>
    <s v="West"/>
    <s v="Mobile"/>
    <s v="Organic"/>
    <s v="Free"/>
    <x v="1"/>
    <x v="0"/>
    <x v="0"/>
    <x v="0"/>
    <n v="0"/>
    <n v="0"/>
    <n v="0"/>
    <m/>
    <n v="50.9"/>
  </r>
  <r>
    <s v="USR-100487"/>
    <d v="2025-05-05T00:00:00"/>
    <x v="0"/>
    <s v="North"/>
    <s v="Mobile"/>
    <s v="Organic"/>
    <s v="Premium"/>
    <x v="1"/>
    <x v="1"/>
    <x v="0"/>
    <x v="0"/>
    <n v="0"/>
    <n v="0"/>
    <n v="0"/>
    <m/>
    <n v="87.5"/>
  </r>
  <r>
    <s v="USR-100488"/>
    <d v="2025-03-18T00:00:00"/>
    <x v="0"/>
    <s v="South"/>
    <s v="Mobile"/>
    <s v="Referral"/>
    <s v="Free"/>
    <x v="0"/>
    <x v="0"/>
    <x v="0"/>
    <x v="0"/>
    <n v="0"/>
    <n v="0"/>
    <n v="0"/>
    <m/>
    <n v="43.6"/>
  </r>
  <r>
    <s v="USR-100489"/>
    <d v="2025-01-05T00:00:00"/>
    <x v="0"/>
    <s v="South"/>
    <s v="Mobile"/>
    <s v="Paid Search"/>
    <s v="Basic"/>
    <x v="1"/>
    <x v="0"/>
    <x v="0"/>
    <x v="0"/>
    <n v="0"/>
    <n v="0"/>
    <n v="0"/>
    <m/>
    <n v="55.5"/>
  </r>
  <r>
    <s v="USR-100490"/>
    <d v="2025-05-10T00:00:00"/>
    <x v="0"/>
    <s v="South"/>
    <s v="Desktop"/>
    <s v="Referral"/>
    <s v="Basic"/>
    <x v="0"/>
    <x v="0"/>
    <x v="0"/>
    <x v="0"/>
    <n v="0"/>
    <n v="0"/>
    <n v="0"/>
    <m/>
    <n v="78.599999999999994"/>
  </r>
  <r>
    <s v="USR-100491"/>
    <d v="2025-01-03T00:00:00"/>
    <x v="0"/>
    <s v="South"/>
    <s v="Mobile"/>
    <s v="Social"/>
    <s v="Basic"/>
    <x v="1"/>
    <x v="1"/>
    <x v="0"/>
    <x v="0"/>
    <n v="0"/>
    <n v="1"/>
    <n v="0"/>
    <m/>
    <n v="44.3"/>
  </r>
  <r>
    <s v="USR-100492"/>
    <d v="2025-05-08T00:00:00"/>
    <x v="0"/>
    <s v="South"/>
    <s v="Mobile"/>
    <s v="Paid Search"/>
    <s v="Free"/>
    <x v="1"/>
    <x v="1"/>
    <x v="0"/>
    <x v="0"/>
    <n v="0"/>
    <n v="0"/>
    <n v="0"/>
    <m/>
    <n v="45.2"/>
  </r>
  <r>
    <s v="USR-100493"/>
    <d v="2025-03-05T00:00:00"/>
    <x v="0"/>
    <s v="South"/>
    <s v="Desktop"/>
    <s v="Email"/>
    <s v="Basic"/>
    <x v="1"/>
    <x v="0"/>
    <x v="0"/>
    <x v="0"/>
    <n v="0"/>
    <n v="2"/>
    <n v="0"/>
    <m/>
    <n v="46.1"/>
  </r>
  <r>
    <s v="USR-100494"/>
    <d v="2025-02-17T00:00:00"/>
    <x v="0"/>
    <s v="North"/>
    <s v="Mobile"/>
    <s v="Organic"/>
    <s v="Premium"/>
    <x v="1"/>
    <x v="0"/>
    <x v="0"/>
    <x v="0"/>
    <n v="0"/>
    <n v="0"/>
    <n v="0"/>
    <m/>
    <n v="49.6"/>
  </r>
  <r>
    <s v="USR-100495"/>
    <d v="2025-01-09T00:00:00"/>
    <x v="0"/>
    <s v="South"/>
    <s v="Mobile"/>
    <s v="Referral"/>
    <s v="Basic"/>
    <x v="0"/>
    <x v="0"/>
    <x v="0"/>
    <x v="0"/>
    <n v="0"/>
    <n v="0"/>
    <n v="0"/>
    <m/>
    <n v="70.5"/>
  </r>
  <r>
    <s v="USR-100496"/>
    <d v="2025-05-05T00:00:00"/>
    <x v="0"/>
    <s v="South"/>
    <s v="Mobile"/>
    <s v="Email"/>
    <s v="Basic"/>
    <x v="0"/>
    <x v="0"/>
    <x v="0"/>
    <x v="0"/>
    <n v="0"/>
    <n v="1"/>
    <n v="0"/>
    <m/>
    <n v="60.8"/>
  </r>
  <r>
    <s v="USR-100497"/>
    <d v="2025-04-16T00:00:00"/>
    <x v="0"/>
    <s v="East"/>
    <s v="Mobile"/>
    <s v="Email"/>
    <s v="Basic"/>
    <x v="0"/>
    <x v="0"/>
    <x v="0"/>
    <x v="0"/>
    <n v="0"/>
    <n v="1"/>
    <n v="0"/>
    <m/>
    <n v="50.5"/>
  </r>
  <r>
    <s v="USR-100498"/>
    <d v="2025-03-02T00:00:00"/>
    <x v="0"/>
    <s v="South"/>
    <s v="Desktop"/>
    <s v="Organic"/>
    <s v="Free"/>
    <x v="1"/>
    <x v="0"/>
    <x v="0"/>
    <x v="0"/>
    <n v="0"/>
    <n v="0"/>
    <n v="0"/>
    <m/>
    <n v="54.9"/>
  </r>
  <r>
    <s v="USR-100499"/>
    <d v="2025-04-14T00:00:00"/>
    <x v="0"/>
    <s v="South"/>
    <s v="Mobile"/>
    <s v="Social"/>
    <s v="Premium"/>
    <x v="0"/>
    <x v="0"/>
    <x v="0"/>
    <x v="0"/>
    <n v="0"/>
    <n v="0"/>
    <n v="0"/>
    <m/>
    <n v="29.9"/>
  </r>
  <r>
    <s v="USR-100500"/>
    <d v="2025-02-15T00:00:00"/>
    <x v="0"/>
    <s v="East"/>
    <s v="Desktop"/>
    <s v="Paid Search"/>
    <s v="Basic"/>
    <x v="0"/>
    <x v="0"/>
    <x v="0"/>
    <x v="0"/>
    <n v="0"/>
    <n v="0"/>
    <n v="0"/>
    <m/>
    <n v="48.3"/>
  </r>
  <r>
    <s v="USR-100501"/>
    <d v="2025-02-13T00:00:00"/>
    <x v="0"/>
    <s v="West"/>
    <s v="Mobile"/>
    <s v="Social"/>
    <s v="Free"/>
    <x v="1"/>
    <x v="1"/>
    <x v="1"/>
    <x v="1"/>
    <n v="513.61"/>
    <n v="0"/>
    <n v="0"/>
    <n v="7"/>
    <n v="41.3"/>
  </r>
  <r>
    <s v="USR-100502"/>
    <d v="2025-03-06T00:00:00"/>
    <x v="0"/>
    <s v="North"/>
    <s v="Mobile"/>
    <s v="Email"/>
    <s v="Free"/>
    <x v="0"/>
    <x v="0"/>
    <x v="0"/>
    <x v="0"/>
    <n v="0"/>
    <n v="0"/>
    <n v="0"/>
    <m/>
    <n v="61.4"/>
  </r>
  <r>
    <s v="USR-100503"/>
    <d v="2025-02-18T00:00:00"/>
    <x v="0"/>
    <s v="South"/>
    <s v="Desktop"/>
    <s v="Social"/>
    <s v="Free"/>
    <x v="0"/>
    <x v="0"/>
    <x v="0"/>
    <x v="0"/>
    <n v="0"/>
    <n v="0"/>
    <n v="0"/>
    <m/>
    <n v="57.8"/>
  </r>
  <r>
    <s v="USR-100504"/>
    <d v="2025-04-07T00:00:00"/>
    <x v="0"/>
    <s v="North"/>
    <s v="Desktop"/>
    <s v="Organic"/>
    <s v="Free"/>
    <x v="0"/>
    <x v="0"/>
    <x v="0"/>
    <x v="0"/>
    <n v="0"/>
    <n v="0"/>
    <n v="0"/>
    <m/>
    <n v="78.2"/>
  </r>
  <r>
    <s v="USR-100505"/>
    <d v="2025-04-06T00:00:00"/>
    <x v="0"/>
    <s v="North"/>
    <s v="Mobile"/>
    <s v="Referral"/>
    <s v="Free"/>
    <x v="0"/>
    <x v="0"/>
    <x v="0"/>
    <x v="0"/>
    <n v="0"/>
    <n v="0"/>
    <n v="0"/>
    <m/>
    <n v="63.8"/>
  </r>
  <r>
    <s v="USR-100506"/>
    <d v="2025-01-30T00:00:00"/>
    <x v="0"/>
    <s v="North"/>
    <s v="Desktop"/>
    <s v="Social"/>
    <s v="Free"/>
    <x v="1"/>
    <x v="0"/>
    <x v="0"/>
    <x v="0"/>
    <n v="0"/>
    <n v="0"/>
    <n v="0"/>
    <m/>
    <n v="56.8"/>
  </r>
  <r>
    <s v="USR-100507"/>
    <d v="2025-05-13T00:00:00"/>
    <x v="0"/>
    <s v="South"/>
    <s v="Desktop"/>
    <s v="Organic"/>
    <s v="Basic"/>
    <x v="1"/>
    <x v="1"/>
    <x v="0"/>
    <x v="0"/>
    <n v="0"/>
    <n v="0"/>
    <n v="0"/>
    <m/>
    <n v="59.6"/>
  </r>
  <r>
    <s v="USR-100508"/>
    <d v="2025-01-20T00:00:00"/>
    <x v="0"/>
    <s v="West"/>
    <s v="Mobile"/>
    <s v="Paid Search"/>
    <s v="Premium"/>
    <x v="1"/>
    <x v="1"/>
    <x v="0"/>
    <x v="0"/>
    <n v="0"/>
    <n v="0"/>
    <n v="0"/>
    <m/>
    <n v="50"/>
  </r>
  <r>
    <s v="USR-100509"/>
    <d v="2025-01-30T00:00:00"/>
    <x v="0"/>
    <s v="North"/>
    <s v="Tablet"/>
    <s v="Organic"/>
    <s v="Free"/>
    <x v="1"/>
    <x v="0"/>
    <x v="0"/>
    <x v="0"/>
    <n v="0"/>
    <n v="0"/>
    <n v="0"/>
    <m/>
    <n v="35.700000000000003"/>
  </r>
  <r>
    <s v="USR-100510"/>
    <d v="2025-01-13T00:00:00"/>
    <x v="0"/>
    <s v="South"/>
    <s v="Mobile"/>
    <s v="Organic"/>
    <s v="Free"/>
    <x v="0"/>
    <x v="0"/>
    <x v="0"/>
    <x v="0"/>
    <n v="0"/>
    <n v="2"/>
    <n v="0"/>
    <m/>
    <n v="47.2"/>
  </r>
  <r>
    <s v="USR-100511"/>
    <d v="2025-02-11T00:00:00"/>
    <x v="0"/>
    <s v="North"/>
    <s v="Mobile"/>
    <s v="Social"/>
    <s v="Free"/>
    <x v="1"/>
    <x v="1"/>
    <x v="0"/>
    <x v="0"/>
    <n v="0"/>
    <n v="0"/>
    <n v="0"/>
    <m/>
    <n v="56.9"/>
  </r>
  <r>
    <s v="USR-100512"/>
    <d v="2025-04-15T00:00:00"/>
    <x v="0"/>
    <s v="South"/>
    <s v="Mobile"/>
    <s v="Organic"/>
    <s v="Free"/>
    <x v="0"/>
    <x v="0"/>
    <x v="0"/>
    <x v="0"/>
    <n v="0"/>
    <n v="1"/>
    <n v="0"/>
    <m/>
    <n v="57.2"/>
  </r>
  <r>
    <s v="USR-100513"/>
    <d v="2025-02-13T00:00:00"/>
    <x v="0"/>
    <s v="South"/>
    <s v="Mobile"/>
    <m/>
    <s v="Free"/>
    <x v="1"/>
    <x v="1"/>
    <x v="0"/>
    <x v="0"/>
    <n v="0"/>
    <n v="0"/>
    <n v="0"/>
    <m/>
    <n v="31.4"/>
  </r>
  <r>
    <s v="USR-100514"/>
    <d v="2025-05-09T00:00:00"/>
    <x v="0"/>
    <s v="South"/>
    <s v="Desktop"/>
    <s v="Organic"/>
    <s v="Free"/>
    <x v="0"/>
    <x v="0"/>
    <x v="0"/>
    <x v="0"/>
    <n v="0"/>
    <n v="0"/>
    <n v="0"/>
    <m/>
    <n v="71.2"/>
  </r>
  <r>
    <s v="USR-100515"/>
    <d v="2025-03-10T00:00:00"/>
    <x v="0"/>
    <s v="North"/>
    <s v="Mobile"/>
    <s v="Paid Search"/>
    <s v="Free"/>
    <x v="1"/>
    <x v="1"/>
    <x v="1"/>
    <x v="0"/>
    <n v="0"/>
    <n v="1"/>
    <n v="0"/>
    <m/>
    <n v="38.299999999999997"/>
  </r>
  <r>
    <s v="USR-100516"/>
    <d v="2025-04-01T00:00:00"/>
    <x v="0"/>
    <s v="North"/>
    <s v="Mobile"/>
    <s v="Organic"/>
    <s v="Free"/>
    <x v="1"/>
    <x v="1"/>
    <x v="0"/>
    <x v="0"/>
    <n v="0"/>
    <n v="0"/>
    <n v="0"/>
    <m/>
    <n v="63.1"/>
  </r>
  <r>
    <s v="USR-100517"/>
    <d v="2025-05-15T00:00:00"/>
    <x v="0"/>
    <s v="East"/>
    <s v="Mobile"/>
    <s v="Referral"/>
    <s v="Basic"/>
    <x v="1"/>
    <x v="0"/>
    <x v="0"/>
    <x v="0"/>
    <n v="0"/>
    <n v="0"/>
    <n v="0"/>
    <m/>
    <n v="59.7"/>
  </r>
  <r>
    <s v="USR-100518"/>
    <d v="2025-05-04T00:00:00"/>
    <x v="0"/>
    <s v="South"/>
    <s v="Desktop"/>
    <s v="Social"/>
    <s v="Premium"/>
    <x v="1"/>
    <x v="1"/>
    <x v="1"/>
    <x v="0"/>
    <n v="0"/>
    <n v="0"/>
    <n v="0"/>
    <m/>
    <n v="59.5"/>
  </r>
  <r>
    <s v="USR-100519"/>
    <d v="2025-05-20T00:00:00"/>
    <x v="0"/>
    <s v="East"/>
    <s v="Mobile"/>
    <s v="Paid Search"/>
    <s v="Free"/>
    <x v="0"/>
    <x v="0"/>
    <x v="0"/>
    <x v="0"/>
    <n v="0"/>
    <n v="0"/>
    <n v="0"/>
    <m/>
    <n v="78.8"/>
  </r>
  <r>
    <s v="USR-100520"/>
    <d v="2025-05-16T00:00:00"/>
    <x v="0"/>
    <s v="West"/>
    <s v="Desktop"/>
    <s v="Referral"/>
    <s v="Free"/>
    <x v="0"/>
    <x v="0"/>
    <x v="0"/>
    <x v="0"/>
    <n v="0"/>
    <n v="0"/>
    <n v="0"/>
    <m/>
    <n v="54"/>
  </r>
  <r>
    <s v="USR-100521"/>
    <d v="2025-03-17T00:00:00"/>
    <x v="0"/>
    <s v="West"/>
    <s v="Mobile"/>
    <s v="Organic"/>
    <s v="Free"/>
    <x v="1"/>
    <x v="0"/>
    <x v="0"/>
    <x v="0"/>
    <n v="0"/>
    <n v="0"/>
    <n v="0"/>
    <m/>
    <n v="66.3"/>
  </r>
  <r>
    <s v="USR-100522"/>
    <d v="2025-01-27T00:00:00"/>
    <x v="0"/>
    <s v="East"/>
    <s v="Tablet"/>
    <s v="Paid Search"/>
    <s v="Free"/>
    <x v="1"/>
    <x v="1"/>
    <x v="0"/>
    <x v="0"/>
    <n v="0"/>
    <n v="0"/>
    <n v="0"/>
    <m/>
    <n v="54.7"/>
  </r>
  <r>
    <s v="USR-100523"/>
    <d v="2025-04-13T00:00:00"/>
    <x v="0"/>
    <s v="South"/>
    <s v="Mobile"/>
    <s v="Organic"/>
    <s v="Basic"/>
    <x v="1"/>
    <x v="0"/>
    <x v="0"/>
    <x v="0"/>
    <n v="0"/>
    <n v="0"/>
    <n v="0"/>
    <m/>
    <n v="76.7"/>
  </r>
  <r>
    <s v="USR-100524"/>
    <d v="2025-05-03T00:00:00"/>
    <x v="0"/>
    <s v="South"/>
    <s v="Desktop"/>
    <s v="Email"/>
    <s v="Basic"/>
    <x v="1"/>
    <x v="0"/>
    <x v="0"/>
    <x v="0"/>
    <n v="0"/>
    <n v="2"/>
    <n v="0"/>
    <m/>
    <n v="47.4"/>
  </r>
  <r>
    <s v="USR-100525"/>
    <d v="2025-03-30T00:00:00"/>
    <x v="0"/>
    <s v="North"/>
    <s v="Mobile"/>
    <s v="Organic"/>
    <s v="Free"/>
    <x v="1"/>
    <x v="1"/>
    <x v="1"/>
    <x v="0"/>
    <n v="0"/>
    <n v="0"/>
    <n v="0"/>
    <m/>
    <n v="81.7"/>
  </r>
  <r>
    <s v="USR-100526"/>
    <d v="2025-01-01T00:00:00"/>
    <x v="0"/>
    <s v="West"/>
    <s v="Mobile"/>
    <s v="Paid Search"/>
    <s v="Basic"/>
    <x v="1"/>
    <x v="1"/>
    <x v="1"/>
    <x v="0"/>
    <n v="0"/>
    <n v="0"/>
    <n v="0"/>
    <m/>
    <n v="67.5"/>
  </r>
  <r>
    <s v="USR-100527"/>
    <d v="2025-02-06T00:00:00"/>
    <x v="0"/>
    <s v="West"/>
    <s v="Mobile"/>
    <s v="Paid Search"/>
    <s v="Basic"/>
    <x v="1"/>
    <x v="0"/>
    <x v="0"/>
    <x v="0"/>
    <n v="0"/>
    <n v="0"/>
    <n v="0"/>
    <m/>
    <n v="36.799999999999997"/>
  </r>
  <r>
    <s v="USR-100528"/>
    <d v="2025-02-25T00:00:00"/>
    <x v="0"/>
    <s v="North"/>
    <s v="Desktop"/>
    <s v="Organic"/>
    <s v="Free"/>
    <x v="0"/>
    <x v="0"/>
    <x v="0"/>
    <x v="0"/>
    <n v="0"/>
    <n v="0"/>
    <n v="0"/>
    <m/>
    <n v="66.5"/>
  </r>
  <r>
    <s v="USR-100529"/>
    <d v="2025-05-14T00:00:00"/>
    <x v="0"/>
    <s v="East"/>
    <s v="Tablet"/>
    <s v="Social"/>
    <s v="Free"/>
    <x v="1"/>
    <x v="0"/>
    <x v="0"/>
    <x v="0"/>
    <n v="0"/>
    <n v="0"/>
    <n v="0"/>
    <m/>
    <n v="35.4"/>
  </r>
  <r>
    <s v="USR-100530"/>
    <d v="2025-05-20T00:00:00"/>
    <x v="0"/>
    <s v="South"/>
    <s v="Mobile"/>
    <s v="Organic"/>
    <s v="Basic"/>
    <x v="0"/>
    <x v="0"/>
    <x v="0"/>
    <x v="0"/>
    <n v="0"/>
    <n v="0"/>
    <n v="0"/>
    <m/>
    <n v="64.3"/>
  </r>
  <r>
    <s v="USR-100531"/>
    <d v="2025-02-11T00:00:00"/>
    <x v="0"/>
    <s v="South"/>
    <s v="Mobile"/>
    <s v="Organic"/>
    <s v="Free"/>
    <x v="0"/>
    <x v="0"/>
    <x v="0"/>
    <x v="0"/>
    <n v="0"/>
    <n v="0"/>
    <n v="0"/>
    <m/>
    <n v="49.1"/>
  </r>
  <r>
    <s v="USR-100532"/>
    <d v="2025-02-13T00:00:00"/>
    <x v="0"/>
    <s v="West"/>
    <s v="Mobile"/>
    <s v="Organic"/>
    <s v="Free"/>
    <x v="1"/>
    <x v="0"/>
    <x v="0"/>
    <x v="0"/>
    <n v="0"/>
    <n v="0"/>
    <n v="0"/>
    <m/>
    <n v="84.3"/>
  </r>
  <r>
    <s v="USR-100533"/>
    <d v="2025-04-07T00:00:00"/>
    <x v="0"/>
    <s v="South"/>
    <s v="Mobile"/>
    <s v="Paid Search"/>
    <s v="Premium"/>
    <x v="1"/>
    <x v="0"/>
    <x v="0"/>
    <x v="0"/>
    <n v="0"/>
    <n v="0"/>
    <n v="0"/>
    <m/>
    <n v="65.599999999999994"/>
  </r>
  <r>
    <s v="USR-100534"/>
    <d v="2025-03-08T00:00:00"/>
    <x v="0"/>
    <s v="East"/>
    <s v="Mobile"/>
    <s v="Email"/>
    <s v="Free"/>
    <x v="1"/>
    <x v="0"/>
    <x v="0"/>
    <x v="0"/>
    <n v="0"/>
    <n v="0"/>
    <n v="0"/>
    <m/>
    <n v="47.1"/>
  </r>
  <r>
    <s v="USR-100535"/>
    <d v="2025-02-16T00:00:00"/>
    <x v="0"/>
    <s v="North"/>
    <s v="Desktop"/>
    <s v="Paid Search"/>
    <s v="Free"/>
    <x v="1"/>
    <x v="1"/>
    <x v="1"/>
    <x v="0"/>
    <n v="0"/>
    <n v="0"/>
    <n v="0"/>
    <m/>
    <n v="70"/>
  </r>
  <r>
    <s v="USR-100536"/>
    <d v="2025-04-28T00:00:00"/>
    <x v="0"/>
    <s v="South"/>
    <s v="Mobile"/>
    <s v="Paid Search"/>
    <s v="Premium"/>
    <x v="1"/>
    <x v="0"/>
    <x v="0"/>
    <x v="0"/>
    <n v="0"/>
    <n v="0"/>
    <n v="0"/>
    <m/>
    <n v="54.6"/>
  </r>
  <r>
    <s v="USR-100537"/>
    <d v="2025-03-10T00:00:00"/>
    <x v="0"/>
    <s v="West"/>
    <s v="Tablet"/>
    <s v="Social"/>
    <s v="Basic"/>
    <x v="1"/>
    <x v="1"/>
    <x v="0"/>
    <x v="0"/>
    <n v="0"/>
    <n v="1"/>
    <n v="0"/>
    <m/>
    <n v="65.2"/>
  </r>
  <r>
    <s v="USR-100538"/>
    <d v="2025-01-25T00:00:00"/>
    <x v="0"/>
    <s v="East"/>
    <s v="Mobile"/>
    <s v="Social"/>
    <s v="Free"/>
    <x v="1"/>
    <x v="0"/>
    <x v="0"/>
    <x v="0"/>
    <n v="0"/>
    <n v="0"/>
    <n v="0"/>
    <m/>
    <n v="65"/>
  </r>
  <r>
    <s v="USR-100539"/>
    <d v="2025-01-11T00:00:00"/>
    <x v="0"/>
    <s v="West"/>
    <s v="Mobile"/>
    <s v="Paid Search"/>
    <s v="Premium"/>
    <x v="1"/>
    <x v="1"/>
    <x v="1"/>
    <x v="0"/>
    <n v="0"/>
    <n v="1"/>
    <n v="0"/>
    <m/>
    <n v="42.1"/>
  </r>
  <r>
    <s v="USR-100540"/>
    <d v="2025-03-31T00:00:00"/>
    <x v="0"/>
    <s v="West"/>
    <s v="Tablet"/>
    <s v="Paid Search"/>
    <s v="Free"/>
    <x v="1"/>
    <x v="0"/>
    <x v="0"/>
    <x v="0"/>
    <n v="0"/>
    <n v="0"/>
    <n v="0"/>
    <m/>
    <n v="43.4"/>
  </r>
  <r>
    <s v="USR-100541"/>
    <d v="2025-05-22T00:00:00"/>
    <x v="0"/>
    <s v="North"/>
    <s v="Mobile"/>
    <s v="Paid Search"/>
    <s v="Basic"/>
    <x v="1"/>
    <x v="1"/>
    <x v="0"/>
    <x v="0"/>
    <n v="0"/>
    <n v="0"/>
    <n v="0"/>
    <m/>
    <n v="39.9"/>
  </r>
  <r>
    <s v="USR-100542"/>
    <d v="2025-05-16T00:00:00"/>
    <x v="0"/>
    <s v="North"/>
    <s v="Mobile"/>
    <s v="Referral"/>
    <s v="Basic"/>
    <x v="0"/>
    <x v="0"/>
    <x v="0"/>
    <x v="0"/>
    <n v="0"/>
    <n v="0"/>
    <n v="0"/>
    <m/>
    <n v="74.099999999999994"/>
  </r>
  <r>
    <s v="USR-100543"/>
    <d v="2025-04-25T00:00:00"/>
    <x v="0"/>
    <s v="East"/>
    <s v="Desktop"/>
    <s v="Paid Search"/>
    <s v="Free"/>
    <x v="1"/>
    <x v="0"/>
    <x v="0"/>
    <x v="0"/>
    <n v="0"/>
    <n v="0"/>
    <n v="0"/>
    <m/>
    <n v="61.4"/>
  </r>
  <r>
    <s v="USR-100544"/>
    <d v="2025-04-17T00:00:00"/>
    <x v="0"/>
    <s v="East"/>
    <s v="Mobile"/>
    <s v="Social"/>
    <s v="Premium"/>
    <x v="1"/>
    <x v="1"/>
    <x v="1"/>
    <x v="0"/>
    <n v="0"/>
    <n v="0"/>
    <n v="0"/>
    <m/>
    <n v="76.8"/>
  </r>
  <r>
    <s v="USR-100545"/>
    <d v="2025-01-01T00:00:00"/>
    <x v="0"/>
    <s v="South"/>
    <s v="Desktop"/>
    <s v="Social"/>
    <s v="Basic"/>
    <x v="0"/>
    <x v="0"/>
    <x v="0"/>
    <x v="0"/>
    <n v="0"/>
    <n v="0"/>
    <n v="0"/>
    <m/>
    <m/>
  </r>
  <r>
    <s v="USR-100546"/>
    <d v="2025-03-18T00:00:00"/>
    <x v="0"/>
    <s v="East"/>
    <s v="Mobile"/>
    <s v="Paid Search"/>
    <s v="Basic"/>
    <x v="1"/>
    <x v="1"/>
    <x v="1"/>
    <x v="0"/>
    <n v="0"/>
    <n v="0"/>
    <n v="0"/>
    <m/>
    <n v="45.3"/>
  </r>
  <r>
    <s v="USR-100547"/>
    <d v="2025-05-20T00:00:00"/>
    <x v="0"/>
    <s v="North"/>
    <s v="Tablet"/>
    <s v="Paid Search"/>
    <s v="Free"/>
    <x v="1"/>
    <x v="0"/>
    <x v="0"/>
    <x v="0"/>
    <n v="0"/>
    <n v="0"/>
    <n v="0"/>
    <m/>
    <n v="41.4"/>
  </r>
  <r>
    <s v="USR-100548"/>
    <d v="2025-03-16T00:00:00"/>
    <x v="0"/>
    <s v="North"/>
    <s v="Mobile"/>
    <s v="Organic"/>
    <s v="Basic"/>
    <x v="1"/>
    <x v="0"/>
    <x v="0"/>
    <x v="0"/>
    <n v="0"/>
    <n v="0"/>
    <n v="0"/>
    <m/>
    <n v="37.1"/>
  </r>
  <r>
    <s v="USR-100549"/>
    <d v="2025-05-30T00:00:00"/>
    <x v="0"/>
    <s v="East"/>
    <s v="Desktop"/>
    <s v="Social"/>
    <s v="Free"/>
    <x v="1"/>
    <x v="0"/>
    <x v="0"/>
    <x v="0"/>
    <n v="0"/>
    <n v="0"/>
    <n v="0"/>
    <m/>
    <n v="40.700000000000003"/>
  </r>
  <r>
    <s v="USR-100550"/>
    <d v="2025-02-20T00:00:00"/>
    <x v="0"/>
    <s v="North"/>
    <s v="Mobile"/>
    <s v="Social"/>
    <s v="Premium"/>
    <x v="0"/>
    <x v="0"/>
    <x v="0"/>
    <x v="0"/>
    <n v="0"/>
    <n v="2"/>
    <n v="0"/>
    <m/>
    <n v="55.9"/>
  </r>
  <r>
    <s v="USR-100551"/>
    <d v="2025-02-11T00:00:00"/>
    <x v="0"/>
    <s v="East"/>
    <m/>
    <s v="Social"/>
    <s v="Free"/>
    <x v="1"/>
    <x v="1"/>
    <x v="0"/>
    <x v="0"/>
    <n v="0"/>
    <n v="0"/>
    <n v="0"/>
    <m/>
    <n v="55.8"/>
  </r>
  <r>
    <s v="USR-100552"/>
    <d v="2025-01-02T00:00:00"/>
    <x v="0"/>
    <s v="South"/>
    <s v="Tablet"/>
    <s v="Referral"/>
    <s v="Basic"/>
    <x v="1"/>
    <x v="0"/>
    <x v="0"/>
    <x v="0"/>
    <n v="0"/>
    <n v="0"/>
    <n v="0"/>
    <m/>
    <n v="64.3"/>
  </r>
  <r>
    <s v="USR-100553"/>
    <d v="2025-05-03T00:00:00"/>
    <x v="0"/>
    <s v="North"/>
    <s v="Mobile"/>
    <s v="Organic"/>
    <s v="Free"/>
    <x v="0"/>
    <x v="0"/>
    <x v="0"/>
    <x v="0"/>
    <n v="0"/>
    <n v="0"/>
    <n v="0"/>
    <m/>
    <n v="65.400000000000006"/>
  </r>
  <r>
    <s v="USR-100554"/>
    <d v="2025-02-24T00:00:00"/>
    <x v="0"/>
    <s v="West"/>
    <s v="Mobile"/>
    <s v="Organic"/>
    <s v="Free"/>
    <x v="1"/>
    <x v="0"/>
    <x v="0"/>
    <x v="0"/>
    <n v="0"/>
    <n v="0"/>
    <n v="0"/>
    <m/>
    <n v="89.8"/>
  </r>
  <r>
    <s v="USR-100555"/>
    <d v="2025-02-11T00:00:00"/>
    <x v="0"/>
    <s v="South"/>
    <m/>
    <s v="Organic"/>
    <s v="Free"/>
    <x v="1"/>
    <x v="1"/>
    <x v="1"/>
    <x v="0"/>
    <n v="0"/>
    <n v="0"/>
    <n v="0"/>
    <m/>
    <n v="58.3"/>
  </r>
  <r>
    <s v="USR-100556"/>
    <d v="2025-05-06T00:00:00"/>
    <x v="0"/>
    <s v="South"/>
    <s v="Mobile"/>
    <s v="Social"/>
    <s v="Basic"/>
    <x v="1"/>
    <x v="0"/>
    <x v="0"/>
    <x v="0"/>
    <n v="0"/>
    <n v="0"/>
    <n v="0"/>
    <m/>
    <n v="64.400000000000006"/>
  </r>
  <r>
    <s v="USR-100557"/>
    <d v="2025-05-23T00:00:00"/>
    <x v="0"/>
    <s v="North"/>
    <s v="Mobile"/>
    <s v="Paid Search"/>
    <s v="Premium"/>
    <x v="0"/>
    <x v="0"/>
    <x v="0"/>
    <x v="0"/>
    <n v="0"/>
    <n v="0"/>
    <n v="0"/>
    <m/>
    <n v="46.2"/>
  </r>
  <r>
    <s v="USR-100558"/>
    <d v="2025-01-09T00:00:00"/>
    <x v="0"/>
    <s v="North"/>
    <s v="Desktop"/>
    <s v="Paid Search"/>
    <s v="Free"/>
    <x v="0"/>
    <x v="0"/>
    <x v="0"/>
    <x v="0"/>
    <n v="0"/>
    <n v="0"/>
    <n v="0"/>
    <m/>
    <n v="78"/>
  </r>
  <r>
    <s v="USR-100559"/>
    <d v="2025-04-01T00:00:00"/>
    <x v="0"/>
    <s v="North"/>
    <s v="Desktop"/>
    <s v="Organic"/>
    <s v="Premium"/>
    <x v="1"/>
    <x v="0"/>
    <x v="0"/>
    <x v="0"/>
    <n v="0"/>
    <n v="0"/>
    <n v="0"/>
    <m/>
    <n v="62.3"/>
  </r>
  <r>
    <s v="USR-100560"/>
    <d v="2025-03-08T00:00:00"/>
    <x v="0"/>
    <s v="North"/>
    <s v="Mobile"/>
    <s v="Organic"/>
    <s v="Free"/>
    <x v="1"/>
    <x v="0"/>
    <x v="0"/>
    <x v="0"/>
    <n v="0"/>
    <n v="0"/>
    <n v="0"/>
    <m/>
    <n v="78.8"/>
  </r>
  <r>
    <s v="USR-100561"/>
    <d v="2025-02-20T00:00:00"/>
    <x v="0"/>
    <s v="North"/>
    <s v="Mobile"/>
    <s v="Social"/>
    <s v="Basic"/>
    <x v="1"/>
    <x v="0"/>
    <x v="0"/>
    <x v="0"/>
    <n v="0"/>
    <n v="0"/>
    <n v="0"/>
    <m/>
    <n v="25"/>
  </r>
  <r>
    <s v="USR-100562"/>
    <d v="2025-03-30T00:00:00"/>
    <x v="0"/>
    <s v="East"/>
    <s v="Mobile"/>
    <s v="Social"/>
    <s v="Basic"/>
    <x v="0"/>
    <x v="0"/>
    <x v="0"/>
    <x v="0"/>
    <n v="0"/>
    <n v="0"/>
    <n v="0"/>
    <m/>
    <n v="53.4"/>
  </r>
  <r>
    <s v="USR-100563"/>
    <d v="2025-04-10T00:00:00"/>
    <x v="0"/>
    <s v="East"/>
    <s v="Desktop"/>
    <s v="Organic"/>
    <s v="Basic"/>
    <x v="0"/>
    <x v="0"/>
    <x v="0"/>
    <x v="0"/>
    <n v="0"/>
    <n v="0"/>
    <n v="0"/>
    <m/>
    <n v="40.700000000000003"/>
  </r>
  <r>
    <s v="USR-100564"/>
    <d v="2025-03-24T00:00:00"/>
    <x v="0"/>
    <s v="East"/>
    <s v="Mobile"/>
    <s v="Organic"/>
    <s v="Premium"/>
    <x v="1"/>
    <x v="1"/>
    <x v="0"/>
    <x v="0"/>
    <n v="0"/>
    <n v="0"/>
    <n v="0"/>
    <m/>
    <n v="36.700000000000003"/>
  </r>
  <r>
    <s v="USR-100565"/>
    <d v="2025-05-21T00:00:00"/>
    <x v="0"/>
    <s v="West"/>
    <s v="Mobile"/>
    <s v="Organic"/>
    <s v="Basic"/>
    <x v="1"/>
    <x v="0"/>
    <x v="0"/>
    <x v="0"/>
    <n v="0"/>
    <n v="1"/>
    <n v="0"/>
    <m/>
    <n v="67.5"/>
  </r>
  <r>
    <s v="USR-100566"/>
    <d v="2025-03-29T00:00:00"/>
    <x v="0"/>
    <s v="East"/>
    <s v="Mobile"/>
    <s v="Social"/>
    <s v="Premium"/>
    <x v="1"/>
    <x v="1"/>
    <x v="1"/>
    <x v="0"/>
    <n v="0"/>
    <n v="0"/>
    <n v="0"/>
    <m/>
    <n v="69.900000000000006"/>
  </r>
  <r>
    <s v="USR-100567"/>
    <d v="2025-02-23T00:00:00"/>
    <x v="0"/>
    <s v="North"/>
    <s v="Tablet"/>
    <s v="Referral"/>
    <s v="Basic"/>
    <x v="1"/>
    <x v="0"/>
    <x v="0"/>
    <x v="0"/>
    <n v="0"/>
    <n v="0"/>
    <n v="0"/>
    <m/>
    <n v="65.099999999999994"/>
  </r>
  <r>
    <s v="USR-100568"/>
    <d v="2025-02-16T00:00:00"/>
    <x v="0"/>
    <s v="West"/>
    <s v="Mobile"/>
    <s v="Paid Search"/>
    <s v="Premium"/>
    <x v="1"/>
    <x v="0"/>
    <x v="0"/>
    <x v="0"/>
    <n v="0"/>
    <n v="0"/>
    <n v="0"/>
    <m/>
    <n v="48.7"/>
  </r>
  <r>
    <s v="USR-100569"/>
    <d v="2025-02-21T00:00:00"/>
    <x v="0"/>
    <s v="West"/>
    <s v="Desktop"/>
    <s v="Organic"/>
    <s v="Basic"/>
    <x v="1"/>
    <x v="1"/>
    <x v="0"/>
    <x v="0"/>
    <n v="0"/>
    <n v="0"/>
    <n v="0"/>
    <m/>
    <n v="47.2"/>
  </r>
  <r>
    <s v="USR-100570"/>
    <d v="2025-01-07T00:00:00"/>
    <x v="0"/>
    <s v="North"/>
    <s v="Mobile"/>
    <s v="Referral"/>
    <s v="Free"/>
    <x v="1"/>
    <x v="0"/>
    <x v="0"/>
    <x v="0"/>
    <n v="0"/>
    <n v="2"/>
    <n v="0"/>
    <m/>
    <n v="20.3"/>
  </r>
  <r>
    <s v="USR-100571"/>
    <d v="2025-03-06T00:00:00"/>
    <x v="0"/>
    <s v="West"/>
    <s v="Mobile"/>
    <s v="Paid Search"/>
    <s v="Free"/>
    <x v="0"/>
    <x v="0"/>
    <x v="0"/>
    <x v="0"/>
    <n v="0"/>
    <n v="1"/>
    <n v="0"/>
    <m/>
    <n v="57.8"/>
  </r>
  <r>
    <s v="USR-100572"/>
    <d v="2025-03-30T00:00:00"/>
    <x v="0"/>
    <s v="East"/>
    <s v="Mobile"/>
    <s v="Email"/>
    <s v="Basic"/>
    <x v="1"/>
    <x v="0"/>
    <x v="0"/>
    <x v="0"/>
    <n v="0"/>
    <n v="0"/>
    <n v="0"/>
    <m/>
    <n v="78.7"/>
  </r>
  <r>
    <s v="USR-100573"/>
    <d v="2025-05-31T00:00:00"/>
    <x v="0"/>
    <s v="South"/>
    <s v="Desktop"/>
    <s v="Organic"/>
    <s v="Free"/>
    <x v="1"/>
    <x v="0"/>
    <x v="0"/>
    <x v="0"/>
    <n v="0"/>
    <n v="0"/>
    <n v="0"/>
    <m/>
    <n v="63.6"/>
  </r>
  <r>
    <s v="USR-100574"/>
    <d v="2025-02-20T00:00:00"/>
    <x v="0"/>
    <s v="South"/>
    <s v="Mobile"/>
    <s v="Email"/>
    <s v="Free"/>
    <x v="0"/>
    <x v="0"/>
    <x v="0"/>
    <x v="0"/>
    <n v="0"/>
    <n v="2"/>
    <n v="0"/>
    <m/>
    <n v="45.1"/>
  </r>
  <r>
    <s v="USR-100575"/>
    <d v="2025-01-13T00:00:00"/>
    <x v="0"/>
    <s v="West"/>
    <s v="Mobile"/>
    <s v="Social"/>
    <s v="Free"/>
    <x v="0"/>
    <x v="0"/>
    <x v="0"/>
    <x v="0"/>
    <n v="0"/>
    <n v="0"/>
    <n v="0"/>
    <m/>
    <n v="77.5"/>
  </r>
  <r>
    <s v="USR-100576"/>
    <d v="2025-05-13T00:00:00"/>
    <x v="0"/>
    <s v="East"/>
    <s v="Desktop"/>
    <s v="Paid Search"/>
    <s v="Basic"/>
    <x v="1"/>
    <x v="1"/>
    <x v="0"/>
    <x v="0"/>
    <n v="0"/>
    <n v="0"/>
    <n v="0"/>
    <m/>
    <n v="58"/>
  </r>
  <r>
    <s v="USR-100577"/>
    <d v="2025-04-21T00:00:00"/>
    <x v="0"/>
    <s v="South"/>
    <s v="Tablet"/>
    <s v="Organic"/>
    <s v="Free"/>
    <x v="1"/>
    <x v="0"/>
    <x v="0"/>
    <x v="0"/>
    <n v="0"/>
    <n v="0"/>
    <n v="0"/>
    <m/>
    <n v="68.099999999999994"/>
  </r>
  <r>
    <s v="USR-100578"/>
    <d v="2025-03-01T00:00:00"/>
    <x v="0"/>
    <s v="East"/>
    <s v="Tablet"/>
    <s v="Organic"/>
    <s v="Premium"/>
    <x v="1"/>
    <x v="0"/>
    <x v="0"/>
    <x v="0"/>
    <n v="0"/>
    <n v="0"/>
    <n v="0"/>
    <m/>
    <n v="35.4"/>
  </r>
  <r>
    <s v="USR-100579"/>
    <d v="2025-03-10T00:00:00"/>
    <x v="0"/>
    <s v="West"/>
    <s v="Tablet"/>
    <s v="Organic"/>
    <s v="Free"/>
    <x v="0"/>
    <x v="0"/>
    <x v="0"/>
    <x v="0"/>
    <n v="0"/>
    <n v="0"/>
    <n v="0"/>
    <m/>
    <n v="47"/>
  </r>
  <r>
    <s v="USR-100580"/>
    <d v="2025-03-08T00:00:00"/>
    <x v="0"/>
    <s v="East"/>
    <s v="Desktop"/>
    <s v="Paid Search"/>
    <s v="Free"/>
    <x v="0"/>
    <x v="0"/>
    <x v="0"/>
    <x v="0"/>
    <n v="0"/>
    <n v="0"/>
    <n v="0"/>
    <m/>
    <n v="75"/>
  </r>
  <r>
    <s v="USR-100581"/>
    <d v="2025-05-26T00:00:00"/>
    <x v="0"/>
    <s v="South"/>
    <s v="Desktop"/>
    <s v="Paid Search"/>
    <s v="Free"/>
    <x v="1"/>
    <x v="1"/>
    <x v="1"/>
    <x v="0"/>
    <n v="0"/>
    <n v="3"/>
    <n v="0"/>
    <m/>
    <n v="50.2"/>
  </r>
  <r>
    <s v="USR-100582"/>
    <d v="2025-05-20T00:00:00"/>
    <x v="0"/>
    <s v="East"/>
    <s v="Desktop"/>
    <s v="Paid Search"/>
    <s v="Free"/>
    <x v="1"/>
    <x v="0"/>
    <x v="0"/>
    <x v="0"/>
    <n v="0"/>
    <n v="0"/>
    <n v="0"/>
    <m/>
    <n v="40.1"/>
  </r>
  <r>
    <s v="USR-100583"/>
    <d v="2025-03-22T00:00:00"/>
    <x v="0"/>
    <s v="West"/>
    <s v="Desktop"/>
    <s v="Paid Search"/>
    <s v="Free"/>
    <x v="0"/>
    <x v="0"/>
    <x v="0"/>
    <x v="0"/>
    <n v="0"/>
    <n v="0"/>
    <n v="0"/>
    <m/>
    <n v="61.1"/>
  </r>
  <r>
    <s v="USR-100584"/>
    <d v="2025-02-15T00:00:00"/>
    <x v="0"/>
    <s v="South"/>
    <s v="Desktop"/>
    <s v="Paid Search"/>
    <s v="Free"/>
    <x v="0"/>
    <x v="0"/>
    <x v="0"/>
    <x v="0"/>
    <n v="0"/>
    <n v="0"/>
    <n v="0"/>
    <m/>
    <n v="42.4"/>
  </r>
  <r>
    <s v="USR-100585"/>
    <d v="2025-01-08T00:00:00"/>
    <x v="0"/>
    <s v="North"/>
    <s v="Mobile"/>
    <s v="Social"/>
    <s v="Free"/>
    <x v="0"/>
    <x v="0"/>
    <x v="0"/>
    <x v="0"/>
    <n v="0"/>
    <n v="1"/>
    <n v="0"/>
    <m/>
    <n v="46.6"/>
  </r>
  <r>
    <s v="USR-100586"/>
    <d v="2025-01-29T00:00:00"/>
    <x v="0"/>
    <s v="South"/>
    <s v="Mobile"/>
    <s v="Organic"/>
    <s v="Premium"/>
    <x v="1"/>
    <x v="1"/>
    <x v="0"/>
    <x v="0"/>
    <n v="0"/>
    <n v="0"/>
    <n v="0"/>
    <m/>
    <n v="72.099999999999994"/>
  </r>
  <r>
    <s v="USR-100587"/>
    <d v="2025-05-07T00:00:00"/>
    <x v="0"/>
    <s v="East"/>
    <s v="Tablet"/>
    <s v="Organic"/>
    <s v="Free"/>
    <x v="0"/>
    <x v="0"/>
    <x v="0"/>
    <x v="0"/>
    <n v="0"/>
    <n v="0"/>
    <n v="0"/>
    <m/>
    <n v="21.5"/>
  </r>
  <r>
    <s v="USR-100588"/>
    <d v="2025-03-01T00:00:00"/>
    <x v="0"/>
    <s v="North"/>
    <s v="Mobile"/>
    <s v="Social"/>
    <s v="Basic"/>
    <x v="1"/>
    <x v="0"/>
    <x v="0"/>
    <x v="0"/>
    <n v="0"/>
    <n v="1"/>
    <n v="0"/>
    <m/>
    <n v="65.400000000000006"/>
  </r>
  <r>
    <s v="USR-100589"/>
    <d v="2025-04-20T00:00:00"/>
    <x v="0"/>
    <s v="East"/>
    <s v="Mobile"/>
    <s v="Organic"/>
    <s v="Free"/>
    <x v="1"/>
    <x v="1"/>
    <x v="0"/>
    <x v="0"/>
    <n v="0"/>
    <n v="0"/>
    <n v="0"/>
    <m/>
    <n v="53.3"/>
  </r>
  <r>
    <s v="USR-100590"/>
    <d v="2025-01-16T00:00:00"/>
    <x v="0"/>
    <s v="East"/>
    <s v="Mobile"/>
    <s v="Organic"/>
    <s v="Premium"/>
    <x v="0"/>
    <x v="0"/>
    <x v="0"/>
    <x v="0"/>
    <n v="0"/>
    <n v="2"/>
    <n v="0"/>
    <m/>
    <n v="52.3"/>
  </r>
  <r>
    <s v="USR-100591"/>
    <d v="2025-04-04T00:00:00"/>
    <x v="0"/>
    <s v="East"/>
    <s v="Mobile"/>
    <s v="Paid Search"/>
    <s v="Free"/>
    <x v="1"/>
    <x v="0"/>
    <x v="0"/>
    <x v="0"/>
    <n v="0"/>
    <n v="0"/>
    <n v="0"/>
    <m/>
    <n v="62.5"/>
  </r>
  <r>
    <s v="USR-100592"/>
    <d v="2025-01-29T00:00:00"/>
    <x v="0"/>
    <s v="North"/>
    <s v="Tablet"/>
    <s v="Social"/>
    <s v="Free"/>
    <x v="1"/>
    <x v="0"/>
    <x v="0"/>
    <x v="0"/>
    <n v="0"/>
    <n v="0"/>
    <n v="0"/>
    <m/>
    <n v="69.8"/>
  </r>
  <r>
    <s v="USR-100593"/>
    <d v="2025-04-19T00:00:00"/>
    <x v="0"/>
    <s v="East"/>
    <s v="Mobile"/>
    <s v="Email"/>
    <s v="Free"/>
    <x v="1"/>
    <x v="0"/>
    <x v="0"/>
    <x v="0"/>
    <n v="0"/>
    <n v="0"/>
    <n v="0"/>
    <m/>
    <n v="68.2"/>
  </r>
  <r>
    <s v="USR-100594"/>
    <d v="2025-03-10T00:00:00"/>
    <x v="0"/>
    <s v="South"/>
    <s v="Mobile"/>
    <s v="Social"/>
    <s v="Basic"/>
    <x v="1"/>
    <x v="1"/>
    <x v="1"/>
    <x v="1"/>
    <n v="751.73"/>
    <n v="0"/>
    <n v="0"/>
    <n v="6"/>
    <n v="35.200000000000003"/>
  </r>
  <r>
    <s v="USR-100595"/>
    <d v="2025-05-10T00:00:00"/>
    <x v="0"/>
    <s v="South"/>
    <s v="Mobile"/>
    <s v="Social"/>
    <s v="Basic"/>
    <x v="0"/>
    <x v="0"/>
    <x v="0"/>
    <x v="0"/>
    <n v="0"/>
    <n v="0"/>
    <n v="0"/>
    <m/>
    <n v="59.3"/>
  </r>
  <r>
    <s v="USR-100596"/>
    <d v="2025-02-02T00:00:00"/>
    <x v="0"/>
    <s v="North"/>
    <s v="Mobile"/>
    <s v="Social"/>
    <s v="Free"/>
    <x v="0"/>
    <x v="0"/>
    <x v="0"/>
    <x v="0"/>
    <n v="0"/>
    <n v="0"/>
    <n v="0"/>
    <m/>
    <n v="68.099999999999994"/>
  </r>
  <r>
    <s v="USR-100597"/>
    <d v="2025-05-06T00:00:00"/>
    <x v="0"/>
    <s v="North"/>
    <s v="Desktop"/>
    <s v="Organic"/>
    <s v="Free"/>
    <x v="1"/>
    <x v="1"/>
    <x v="0"/>
    <x v="0"/>
    <n v="0"/>
    <n v="0"/>
    <n v="0"/>
    <m/>
    <n v="74.8"/>
  </r>
  <r>
    <s v="USR-100598"/>
    <d v="2025-01-19T00:00:00"/>
    <x v="0"/>
    <s v="West"/>
    <s v="Desktop"/>
    <s v="Organic"/>
    <s v="Free"/>
    <x v="1"/>
    <x v="1"/>
    <x v="1"/>
    <x v="0"/>
    <n v="0"/>
    <n v="0"/>
    <n v="0"/>
    <m/>
    <n v="61.7"/>
  </r>
  <r>
    <s v="USR-100599"/>
    <d v="2025-01-02T00:00:00"/>
    <x v="0"/>
    <s v="North"/>
    <s v="Mobile"/>
    <s v="Organic"/>
    <s v="Free"/>
    <x v="1"/>
    <x v="0"/>
    <x v="0"/>
    <x v="0"/>
    <n v="0"/>
    <n v="0"/>
    <n v="0"/>
    <m/>
    <n v="24.3"/>
  </r>
  <r>
    <s v="USR-100600"/>
    <d v="2025-05-03T00:00:00"/>
    <x v="0"/>
    <s v="South"/>
    <s v="Desktop"/>
    <s v="Paid Search"/>
    <s v="Free"/>
    <x v="0"/>
    <x v="0"/>
    <x v="0"/>
    <x v="0"/>
    <n v="0"/>
    <n v="1"/>
    <n v="0"/>
    <m/>
    <n v="61.9"/>
  </r>
  <r>
    <s v="USR-100601"/>
    <d v="2025-05-27T00:00:00"/>
    <x v="0"/>
    <s v="East"/>
    <s v="Desktop"/>
    <s v="Referral"/>
    <s v="Premium"/>
    <x v="0"/>
    <x v="0"/>
    <x v="0"/>
    <x v="0"/>
    <n v="0"/>
    <n v="2"/>
    <n v="0"/>
    <m/>
    <n v="41.7"/>
  </r>
  <r>
    <s v="USR-100602"/>
    <d v="2025-02-09T00:00:00"/>
    <x v="0"/>
    <s v="South"/>
    <s v="Desktop"/>
    <s v="Social"/>
    <s v="Free"/>
    <x v="1"/>
    <x v="0"/>
    <x v="0"/>
    <x v="0"/>
    <n v="0"/>
    <n v="0"/>
    <n v="0"/>
    <m/>
    <n v="87.6"/>
  </r>
  <r>
    <s v="USR-100603"/>
    <d v="2025-05-18T00:00:00"/>
    <x v="0"/>
    <s v="East"/>
    <s v="Mobile"/>
    <s v="Paid Search"/>
    <s v="Free"/>
    <x v="1"/>
    <x v="0"/>
    <x v="0"/>
    <x v="0"/>
    <n v="0"/>
    <n v="0"/>
    <n v="0"/>
    <m/>
    <n v="30.8"/>
  </r>
  <r>
    <s v="USR-100604"/>
    <d v="2025-05-17T00:00:00"/>
    <x v="0"/>
    <s v="North"/>
    <s v="Mobile"/>
    <s v="Email"/>
    <s v="Free"/>
    <x v="0"/>
    <x v="0"/>
    <x v="0"/>
    <x v="0"/>
    <n v="0"/>
    <n v="0"/>
    <n v="0"/>
    <m/>
    <n v="54"/>
  </r>
  <r>
    <s v="USR-100605"/>
    <d v="2025-01-25T00:00:00"/>
    <x v="0"/>
    <s v="East"/>
    <s v="Desktop"/>
    <s v="Referral"/>
    <s v="Basic"/>
    <x v="1"/>
    <x v="0"/>
    <x v="0"/>
    <x v="0"/>
    <n v="0"/>
    <n v="1"/>
    <n v="0"/>
    <m/>
    <n v="54.5"/>
  </r>
  <r>
    <s v="USR-100606"/>
    <d v="2025-05-04T00:00:00"/>
    <x v="0"/>
    <s v="West"/>
    <s v="Mobile"/>
    <s v="Paid Search"/>
    <s v="Premium"/>
    <x v="1"/>
    <x v="1"/>
    <x v="0"/>
    <x v="0"/>
    <n v="0"/>
    <n v="0"/>
    <n v="0"/>
    <m/>
    <n v="61.3"/>
  </r>
  <r>
    <s v="USR-100607"/>
    <d v="2025-04-14T00:00:00"/>
    <x v="0"/>
    <s v="West"/>
    <s v="Mobile"/>
    <s v="Organic"/>
    <s v="Free"/>
    <x v="1"/>
    <x v="0"/>
    <x v="0"/>
    <x v="0"/>
    <n v="0"/>
    <n v="0"/>
    <n v="0"/>
    <m/>
    <n v="62.7"/>
  </r>
  <r>
    <s v="USR-100608"/>
    <d v="2025-04-18T00:00:00"/>
    <x v="0"/>
    <s v="South"/>
    <s v="Mobile"/>
    <s v="Paid Search"/>
    <s v="Free"/>
    <x v="1"/>
    <x v="1"/>
    <x v="0"/>
    <x v="0"/>
    <n v="0"/>
    <n v="0"/>
    <n v="0"/>
    <m/>
    <n v="43.1"/>
  </r>
  <r>
    <s v="USR-100609"/>
    <d v="2025-02-24T00:00:00"/>
    <x v="0"/>
    <s v="South"/>
    <s v="Desktop"/>
    <s v="Email"/>
    <s v="Basic"/>
    <x v="0"/>
    <x v="0"/>
    <x v="0"/>
    <x v="0"/>
    <n v="0"/>
    <n v="0"/>
    <n v="0"/>
    <m/>
    <n v="59.9"/>
  </r>
  <r>
    <s v="USR-100610"/>
    <d v="2025-04-19T00:00:00"/>
    <x v="0"/>
    <s v="North"/>
    <s v="Tablet"/>
    <s v="Paid Search"/>
    <s v="Free"/>
    <x v="1"/>
    <x v="1"/>
    <x v="1"/>
    <x v="0"/>
    <n v="0"/>
    <n v="0"/>
    <n v="0"/>
    <m/>
    <n v="55.7"/>
  </r>
  <r>
    <s v="USR-100611"/>
    <d v="2025-03-07T00:00:00"/>
    <x v="0"/>
    <s v="South"/>
    <s v="Desktop"/>
    <s v="Organic"/>
    <s v="Basic"/>
    <x v="1"/>
    <x v="0"/>
    <x v="0"/>
    <x v="0"/>
    <n v="0"/>
    <n v="0"/>
    <n v="0"/>
    <m/>
    <n v="37.1"/>
  </r>
  <r>
    <s v="USR-100612"/>
    <d v="2025-03-09T00:00:00"/>
    <x v="0"/>
    <s v="East"/>
    <s v="Mobile"/>
    <s v="Organic"/>
    <s v="Basic"/>
    <x v="0"/>
    <x v="0"/>
    <x v="0"/>
    <x v="0"/>
    <n v="0"/>
    <n v="1"/>
    <n v="0"/>
    <m/>
    <n v="46.7"/>
  </r>
  <r>
    <s v="USR-100613"/>
    <d v="2025-05-01T00:00:00"/>
    <x v="0"/>
    <s v="South"/>
    <s v="Desktop"/>
    <s v="Organic"/>
    <s v="Basic"/>
    <x v="1"/>
    <x v="0"/>
    <x v="0"/>
    <x v="0"/>
    <n v="0"/>
    <n v="0"/>
    <n v="0"/>
    <m/>
    <n v="54.1"/>
  </r>
  <r>
    <s v="USR-100614"/>
    <d v="2025-02-09T00:00:00"/>
    <x v="0"/>
    <s v="West"/>
    <s v="Desktop"/>
    <s v="Organic"/>
    <s v="Premium"/>
    <x v="1"/>
    <x v="1"/>
    <x v="1"/>
    <x v="0"/>
    <n v="0"/>
    <n v="0"/>
    <n v="0"/>
    <m/>
    <n v="56.1"/>
  </r>
  <r>
    <s v="USR-100615"/>
    <d v="2025-05-22T00:00:00"/>
    <x v="0"/>
    <s v="West"/>
    <s v="Mobile"/>
    <s v="Referral"/>
    <s v="Premium"/>
    <x v="0"/>
    <x v="0"/>
    <x v="0"/>
    <x v="0"/>
    <n v="0"/>
    <n v="0"/>
    <n v="0"/>
    <m/>
    <n v="23.6"/>
  </r>
  <r>
    <s v="USR-100616"/>
    <d v="2025-02-11T00:00:00"/>
    <x v="0"/>
    <s v="North"/>
    <s v="Mobile"/>
    <s v="Organic"/>
    <s v="Premium"/>
    <x v="0"/>
    <x v="0"/>
    <x v="0"/>
    <x v="0"/>
    <n v="0"/>
    <n v="0"/>
    <n v="0"/>
    <m/>
    <n v="54.7"/>
  </r>
  <r>
    <s v="USR-100617"/>
    <d v="2025-04-12T00:00:00"/>
    <x v="0"/>
    <s v="North"/>
    <s v="Mobile"/>
    <s v="Referral"/>
    <s v="Basic"/>
    <x v="0"/>
    <x v="0"/>
    <x v="0"/>
    <x v="0"/>
    <n v="0"/>
    <n v="2"/>
    <n v="0"/>
    <m/>
    <n v="50.4"/>
  </r>
  <r>
    <s v="USR-100618"/>
    <d v="2025-03-01T00:00:00"/>
    <x v="0"/>
    <s v="West"/>
    <s v="Mobile"/>
    <s v="Social"/>
    <s v="Free"/>
    <x v="1"/>
    <x v="0"/>
    <x v="0"/>
    <x v="0"/>
    <n v="0"/>
    <n v="0"/>
    <n v="0"/>
    <m/>
    <n v="54.5"/>
  </r>
  <r>
    <s v="USR-100619"/>
    <d v="2025-03-17T00:00:00"/>
    <x v="0"/>
    <s v="West"/>
    <s v="Desktop"/>
    <s v="Email"/>
    <s v="Basic"/>
    <x v="0"/>
    <x v="0"/>
    <x v="0"/>
    <x v="0"/>
    <n v="0"/>
    <n v="0"/>
    <n v="0"/>
    <m/>
    <n v="58"/>
  </r>
  <r>
    <s v="USR-100620"/>
    <d v="2025-01-11T00:00:00"/>
    <x v="0"/>
    <s v="North"/>
    <s v="Mobile"/>
    <s v="Paid Search"/>
    <s v="Free"/>
    <x v="0"/>
    <x v="0"/>
    <x v="0"/>
    <x v="0"/>
    <n v="0"/>
    <n v="0"/>
    <n v="0"/>
    <m/>
    <n v="42.9"/>
  </r>
  <r>
    <s v="USR-100621"/>
    <d v="2025-02-17T00:00:00"/>
    <x v="0"/>
    <s v="South"/>
    <s v="Mobile"/>
    <s v="Social"/>
    <s v="Premium"/>
    <x v="1"/>
    <x v="0"/>
    <x v="0"/>
    <x v="0"/>
    <n v="0"/>
    <n v="0"/>
    <n v="0"/>
    <m/>
    <n v="51.1"/>
  </r>
  <r>
    <s v="USR-100622"/>
    <d v="2025-03-25T00:00:00"/>
    <x v="0"/>
    <s v="East"/>
    <s v="Mobile"/>
    <s v="Paid Search"/>
    <s v="Basic"/>
    <x v="1"/>
    <x v="1"/>
    <x v="0"/>
    <x v="0"/>
    <n v="0"/>
    <n v="0"/>
    <n v="0"/>
    <m/>
    <n v="51.8"/>
  </r>
  <r>
    <s v="USR-100623"/>
    <d v="2025-05-01T00:00:00"/>
    <x v="0"/>
    <s v="South"/>
    <s v="Mobile"/>
    <s v="Paid Search"/>
    <s v="Free"/>
    <x v="0"/>
    <x v="0"/>
    <x v="0"/>
    <x v="0"/>
    <n v="0"/>
    <n v="0"/>
    <n v="0"/>
    <m/>
    <n v="67.7"/>
  </r>
  <r>
    <s v="USR-100624"/>
    <d v="2025-04-02T00:00:00"/>
    <x v="0"/>
    <s v="East"/>
    <s v="Mobile"/>
    <s v="Organic"/>
    <s v="Basic"/>
    <x v="0"/>
    <x v="0"/>
    <x v="0"/>
    <x v="0"/>
    <n v="0"/>
    <n v="0"/>
    <n v="0"/>
    <m/>
    <n v="75.8"/>
  </r>
  <r>
    <s v="USR-100625"/>
    <d v="2025-04-05T00:00:00"/>
    <x v="0"/>
    <s v="East"/>
    <s v="Mobile"/>
    <s v="Email"/>
    <s v="Free"/>
    <x v="1"/>
    <x v="1"/>
    <x v="0"/>
    <x v="0"/>
    <n v="0"/>
    <n v="0"/>
    <n v="0"/>
    <m/>
    <n v="72.8"/>
  </r>
  <r>
    <s v="USR-100626"/>
    <d v="2025-02-24T00:00:00"/>
    <x v="0"/>
    <s v="North"/>
    <s v="Desktop"/>
    <s v="Social"/>
    <s v="Free"/>
    <x v="1"/>
    <x v="1"/>
    <x v="0"/>
    <x v="0"/>
    <n v="0"/>
    <n v="0"/>
    <n v="0"/>
    <m/>
    <n v="54.4"/>
  </r>
  <r>
    <s v="USR-100627"/>
    <d v="2025-01-24T00:00:00"/>
    <x v="0"/>
    <s v="West"/>
    <s v="Mobile"/>
    <s v="Paid Search"/>
    <s v="Basic"/>
    <x v="1"/>
    <x v="0"/>
    <x v="0"/>
    <x v="0"/>
    <n v="0"/>
    <n v="0"/>
    <n v="0"/>
    <m/>
    <n v="51.8"/>
  </r>
  <r>
    <s v="USR-100628"/>
    <d v="2025-04-10T00:00:00"/>
    <x v="0"/>
    <s v="South"/>
    <s v="Mobile"/>
    <s v="Paid Search"/>
    <s v="Free"/>
    <x v="0"/>
    <x v="0"/>
    <x v="0"/>
    <x v="0"/>
    <n v="0"/>
    <n v="0"/>
    <n v="0"/>
    <m/>
    <n v="40.299999999999997"/>
  </r>
  <r>
    <s v="USR-100629"/>
    <d v="2025-02-19T00:00:00"/>
    <x v="0"/>
    <s v="South"/>
    <s v="Mobile"/>
    <s v="Referral"/>
    <s v="Free"/>
    <x v="1"/>
    <x v="1"/>
    <x v="1"/>
    <x v="0"/>
    <n v="0"/>
    <n v="0"/>
    <n v="0"/>
    <m/>
    <n v="61.7"/>
  </r>
  <r>
    <s v="USR-100630"/>
    <d v="2025-03-22T00:00:00"/>
    <x v="0"/>
    <s v="North"/>
    <s v="Mobile"/>
    <s v="Social"/>
    <s v="Free"/>
    <x v="0"/>
    <x v="0"/>
    <x v="0"/>
    <x v="0"/>
    <n v="0"/>
    <n v="0"/>
    <n v="0"/>
    <m/>
    <n v="45"/>
  </r>
  <r>
    <s v="USR-100631"/>
    <d v="2025-04-08T00:00:00"/>
    <x v="0"/>
    <s v="East"/>
    <s v="Desktop"/>
    <s v="Organic"/>
    <s v="Premium"/>
    <x v="1"/>
    <x v="1"/>
    <x v="1"/>
    <x v="0"/>
    <n v="0"/>
    <n v="0"/>
    <n v="0"/>
    <m/>
    <n v="60"/>
  </r>
  <r>
    <s v="USR-100632"/>
    <d v="2025-03-16T00:00:00"/>
    <x v="0"/>
    <s v="North"/>
    <s v="Mobile"/>
    <s v="Social"/>
    <s v="Free"/>
    <x v="1"/>
    <x v="0"/>
    <x v="0"/>
    <x v="0"/>
    <n v="0"/>
    <n v="0"/>
    <n v="0"/>
    <m/>
    <m/>
  </r>
  <r>
    <s v="USR-100633"/>
    <d v="2025-03-07T00:00:00"/>
    <x v="0"/>
    <s v="East"/>
    <s v="Mobile"/>
    <s v="Paid Search"/>
    <s v="Free"/>
    <x v="1"/>
    <x v="0"/>
    <x v="0"/>
    <x v="0"/>
    <n v="0"/>
    <n v="0"/>
    <n v="0"/>
    <m/>
    <n v="55.5"/>
  </r>
  <r>
    <s v="USR-100634"/>
    <d v="2025-03-16T00:00:00"/>
    <x v="0"/>
    <s v="South"/>
    <s v="Mobile"/>
    <s v="Referral"/>
    <s v="Basic"/>
    <x v="0"/>
    <x v="0"/>
    <x v="0"/>
    <x v="0"/>
    <n v="0"/>
    <n v="0"/>
    <n v="0"/>
    <m/>
    <n v="51.8"/>
  </r>
  <r>
    <s v="USR-100635"/>
    <d v="2025-05-26T00:00:00"/>
    <x v="0"/>
    <s v="East"/>
    <s v="Mobile"/>
    <m/>
    <s v="Premium"/>
    <x v="1"/>
    <x v="0"/>
    <x v="0"/>
    <x v="0"/>
    <n v="0"/>
    <n v="3"/>
    <n v="0"/>
    <m/>
    <n v="56"/>
  </r>
  <r>
    <s v="USR-100636"/>
    <d v="2025-01-14T00:00:00"/>
    <x v="0"/>
    <s v="West"/>
    <s v="Mobile"/>
    <s v="Organic"/>
    <s v="Free"/>
    <x v="0"/>
    <x v="0"/>
    <x v="0"/>
    <x v="0"/>
    <n v="0"/>
    <n v="0"/>
    <n v="0"/>
    <m/>
    <n v="52.5"/>
  </r>
  <r>
    <s v="USR-100637"/>
    <d v="2025-03-30T00:00:00"/>
    <x v="0"/>
    <s v="West"/>
    <s v="Mobile"/>
    <s v="Paid Search"/>
    <s v="Premium"/>
    <x v="1"/>
    <x v="0"/>
    <x v="0"/>
    <x v="0"/>
    <n v="0"/>
    <n v="0"/>
    <n v="0"/>
    <m/>
    <n v="42.5"/>
  </r>
  <r>
    <s v="USR-100638"/>
    <d v="2025-05-12T00:00:00"/>
    <x v="0"/>
    <s v="East"/>
    <s v="Desktop"/>
    <s v="Email"/>
    <s v="Free"/>
    <x v="1"/>
    <x v="1"/>
    <x v="1"/>
    <x v="0"/>
    <n v="0"/>
    <n v="0"/>
    <n v="0"/>
    <m/>
    <n v="65.3"/>
  </r>
  <r>
    <s v="USR-100639"/>
    <d v="2025-05-10T00:00:00"/>
    <x v="0"/>
    <s v="West"/>
    <s v="Mobile"/>
    <s v="Paid Search"/>
    <s v="Free"/>
    <x v="0"/>
    <x v="0"/>
    <x v="0"/>
    <x v="0"/>
    <n v="0"/>
    <n v="0"/>
    <n v="0"/>
    <m/>
    <n v="37.6"/>
  </r>
  <r>
    <s v="USR-100640"/>
    <d v="2025-04-09T00:00:00"/>
    <x v="0"/>
    <s v="East"/>
    <s v="Mobile"/>
    <s v="Social"/>
    <s v="Basic"/>
    <x v="0"/>
    <x v="0"/>
    <x v="0"/>
    <x v="0"/>
    <n v="0"/>
    <n v="0"/>
    <n v="0"/>
    <m/>
    <n v="57.8"/>
  </r>
  <r>
    <s v="USR-100641"/>
    <d v="2025-05-26T00:00:00"/>
    <x v="0"/>
    <s v="North"/>
    <s v="Mobile"/>
    <s v="Social"/>
    <s v="Free"/>
    <x v="1"/>
    <x v="0"/>
    <x v="0"/>
    <x v="0"/>
    <n v="0"/>
    <n v="0"/>
    <n v="0"/>
    <m/>
    <n v="52.7"/>
  </r>
  <r>
    <s v="USR-100642"/>
    <d v="2025-02-12T00:00:00"/>
    <x v="0"/>
    <s v="North"/>
    <s v="Mobile"/>
    <s v="Organic"/>
    <s v="Free"/>
    <x v="1"/>
    <x v="0"/>
    <x v="0"/>
    <x v="0"/>
    <n v="0"/>
    <n v="0"/>
    <n v="0"/>
    <m/>
    <n v="51.7"/>
  </r>
  <r>
    <s v="USR-100643"/>
    <d v="2025-04-01T00:00:00"/>
    <x v="0"/>
    <s v="North"/>
    <s v="Desktop"/>
    <s v="Email"/>
    <s v="Basic"/>
    <x v="0"/>
    <x v="0"/>
    <x v="0"/>
    <x v="0"/>
    <n v="0"/>
    <n v="0"/>
    <n v="0"/>
    <m/>
    <n v="57"/>
  </r>
  <r>
    <s v="USR-100644"/>
    <d v="2025-01-18T00:00:00"/>
    <x v="0"/>
    <s v="South"/>
    <s v="Desktop"/>
    <s v="Organic"/>
    <s v="Basic"/>
    <x v="0"/>
    <x v="0"/>
    <x v="0"/>
    <x v="0"/>
    <n v="0"/>
    <n v="0"/>
    <n v="0"/>
    <m/>
    <n v="39.5"/>
  </r>
  <r>
    <s v="USR-100645"/>
    <d v="2025-04-06T00:00:00"/>
    <x v="0"/>
    <s v="East"/>
    <s v="Tablet"/>
    <s v="Organic"/>
    <s v="Free"/>
    <x v="1"/>
    <x v="0"/>
    <x v="0"/>
    <x v="0"/>
    <n v="0"/>
    <n v="0"/>
    <n v="0"/>
    <m/>
    <n v="76.5"/>
  </r>
  <r>
    <s v="USR-100646"/>
    <d v="2025-04-17T00:00:00"/>
    <x v="0"/>
    <s v="East"/>
    <s v="Mobile"/>
    <s v="Organic"/>
    <s v="Free"/>
    <x v="1"/>
    <x v="0"/>
    <x v="0"/>
    <x v="0"/>
    <n v="0"/>
    <n v="0"/>
    <n v="0"/>
    <m/>
    <n v="32.4"/>
  </r>
  <r>
    <s v="USR-100647"/>
    <d v="2025-02-07T00:00:00"/>
    <x v="0"/>
    <s v="North"/>
    <s v="Desktop"/>
    <s v="Paid Search"/>
    <s v="Free"/>
    <x v="0"/>
    <x v="0"/>
    <x v="0"/>
    <x v="0"/>
    <n v="0"/>
    <n v="0"/>
    <n v="0"/>
    <m/>
    <n v="58.6"/>
  </r>
  <r>
    <s v="USR-100648"/>
    <d v="2025-03-04T00:00:00"/>
    <x v="0"/>
    <s v="East"/>
    <s v="Mobile"/>
    <s v="Organic"/>
    <s v="Basic"/>
    <x v="1"/>
    <x v="0"/>
    <x v="0"/>
    <x v="0"/>
    <n v="0"/>
    <n v="0"/>
    <n v="0"/>
    <m/>
    <n v="78.599999999999994"/>
  </r>
  <r>
    <s v="USR-100649"/>
    <d v="2025-02-17T00:00:00"/>
    <x v="0"/>
    <s v="North"/>
    <s v="Desktop"/>
    <s v="Organic"/>
    <s v="Premium"/>
    <x v="0"/>
    <x v="0"/>
    <x v="0"/>
    <x v="0"/>
    <n v="0"/>
    <n v="0"/>
    <n v="0"/>
    <m/>
    <n v="54.5"/>
  </r>
  <r>
    <s v="USR-100650"/>
    <d v="2025-05-06T00:00:00"/>
    <x v="0"/>
    <s v="South"/>
    <s v="Mobile"/>
    <s v="Referral"/>
    <s v="Free"/>
    <x v="1"/>
    <x v="0"/>
    <x v="0"/>
    <x v="0"/>
    <n v="0"/>
    <n v="0"/>
    <n v="0"/>
    <m/>
    <n v="57.6"/>
  </r>
  <r>
    <s v="USR-100651"/>
    <d v="2025-03-25T00:00:00"/>
    <x v="0"/>
    <s v="South"/>
    <s v="Mobile"/>
    <s v="Referral"/>
    <s v="Premium"/>
    <x v="0"/>
    <x v="0"/>
    <x v="0"/>
    <x v="0"/>
    <n v="0"/>
    <n v="0"/>
    <n v="0"/>
    <m/>
    <n v="52.8"/>
  </r>
  <r>
    <s v="USR-100652"/>
    <d v="2025-03-04T00:00:00"/>
    <x v="0"/>
    <s v="West"/>
    <s v="Mobile"/>
    <s v="Email"/>
    <s v="Premium"/>
    <x v="1"/>
    <x v="0"/>
    <x v="0"/>
    <x v="0"/>
    <n v="0"/>
    <n v="0"/>
    <n v="0"/>
    <m/>
    <n v="52.9"/>
  </r>
  <r>
    <s v="USR-100653"/>
    <d v="2025-05-09T00:00:00"/>
    <x v="0"/>
    <s v="West"/>
    <s v="Mobile"/>
    <s v="Organic"/>
    <s v="Free"/>
    <x v="1"/>
    <x v="0"/>
    <x v="0"/>
    <x v="0"/>
    <n v="0"/>
    <n v="1"/>
    <n v="0"/>
    <m/>
    <n v="55.9"/>
  </r>
  <r>
    <s v="USR-100654"/>
    <d v="2025-05-17T00:00:00"/>
    <x v="0"/>
    <s v="West"/>
    <s v="Mobile"/>
    <s v="Referral"/>
    <s v="Premium"/>
    <x v="1"/>
    <x v="0"/>
    <x v="0"/>
    <x v="0"/>
    <n v="0"/>
    <n v="0"/>
    <n v="0"/>
    <m/>
    <n v="74.2"/>
  </r>
  <r>
    <s v="USR-100655"/>
    <d v="2025-01-12T00:00:00"/>
    <x v="0"/>
    <s v="West"/>
    <s v="Mobile"/>
    <s v="Organic"/>
    <s v="Free"/>
    <x v="0"/>
    <x v="0"/>
    <x v="0"/>
    <x v="0"/>
    <n v="0"/>
    <n v="0"/>
    <n v="0"/>
    <m/>
    <n v="46.3"/>
  </r>
  <r>
    <s v="USR-100656"/>
    <d v="2025-03-12T00:00:00"/>
    <x v="0"/>
    <s v="West"/>
    <s v="Mobile"/>
    <s v="Organic"/>
    <s v="Premium"/>
    <x v="1"/>
    <x v="0"/>
    <x v="0"/>
    <x v="0"/>
    <n v="0"/>
    <n v="0"/>
    <n v="0"/>
    <m/>
    <n v="62"/>
  </r>
  <r>
    <s v="USR-100657"/>
    <d v="2025-04-02T00:00:00"/>
    <x v="0"/>
    <s v="South"/>
    <s v="Mobile"/>
    <s v="Organic"/>
    <s v="Basic"/>
    <x v="0"/>
    <x v="0"/>
    <x v="0"/>
    <x v="0"/>
    <n v="0"/>
    <n v="0"/>
    <n v="0"/>
    <m/>
    <n v="55.6"/>
  </r>
  <r>
    <s v="USR-100658"/>
    <d v="2025-01-13T00:00:00"/>
    <x v="0"/>
    <s v="South"/>
    <s v="Mobile"/>
    <s v="Organic"/>
    <s v="Basic"/>
    <x v="1"/>
    <x v="0"/>
    <x v="0"/>
    <x v="0"/>
    <n v="0"/>
    <n v="0"/>
    <n v="0"/>
    <m/>
    <n v="62.8"/>
  </r>
  <r>
    <s v="USR-100659"/>
    <d v="2025-03-07T00:00:00"/>
    <x v="0"/>
    <s v="East"/>
    <s v="Mobile"/>
    <s v="Referral"/>
    <s v="Free"/>
    <x v="0"/>
    <x v="0"/>
    <x v="0"/>
    <x v="0"/>
    <n v="0"/>
    <n v="0"/>
    <n v="0"/>
    <m/>
    <n v="73.099999999999994"/>
  </r>
  <r>
    <s v="USR-100660"/>
    <d v="2025-04-20T00:00:00"/>
    <x v="0"/>
    <s v="South"/>
    <s v="Desktop"/>
    <s v="Social"/>
    <s v="Free"/>
    <x v="1"/>
    <x v="1"/>
    <x v="1"/>
    <x v="1"/>
    <n v="347.52"/>
    <n v="0"/>
    <n v="0"/>
    <n v="2"/>
    <n v="57.2"/>
  </r>
  <r>
    <s v="USR-100661"/>
    <d v="2025-01-07T00:00:00"/>
    <x v="0"/>
    <s v="South"/>
    <s v="Mobile"/>
    <s v="Paid Search"/>
    <s v="Free"/>
    <x v="1"/>
    <x v="0"/>
    <x v="0"/>
    <x v="0"/>
    <n v="0"/>
    <n v="0"/>
    <n v="0"/>
    <m/>
    <n v="67.900000000000006"/>
  </r>
  <r>
    <s v="USR-100662"/>
    <d v="2025-04-23T00:00:00"/>
    <x v="0"/>
    <s v="South"/>
    <s v="Mobile"/>
    <s v="Referral"/>
    <s v="Free"/>
    <x v="0"/>
    <x v="0"/>
    <x v="0"/>
    <x v="0"/>
    <n v="0"/>
    <n v="0"/>
    <n v="0"/>
    <m/>
    <n v="50.1"/>
  </r>
  <r>
    <s v="USR-100663"/>
    <d v="2025-05-26T00:00:00"/>
    <x v="0"/>
    <s v="North"/>
    <s v="Mobile"/>
    <s v="Paid Search"/>
    <s v="Basic"/>
    <x v="0"/>
    <x v="0"/>
    <x v="0"/>
    <x v="0"/>
    <n v="0"/>
    <n v="0"/>
    <n v="0"/>
    <m/>
    <n v="67.8"/>
  </r>
  <r>
    <s v="USR-100664"/>
    <d v="2025-03-17T00:00:00"/>
    <x v="0"/>
    <s v="North"/>
    <s v="Desktop"/>
    <s v="Social"/>
    <s v="Basic"/>
    <x v="1"/>
    <x v="1"/>
    <x v="1"/>
    <x v="0"/>
    <n v="0"/>
    <n v="0"/>
    <n v="0"/>
    <m/>
    <n v="60.8"/>
  </r>
  <r>
    <s v="USR-100665"/>
    <d v="2025-05-17T00:00:00"/>
    <x v="0"/>
    <s v="North"/>
    <s v="Desktop"/>
    <s v="Paid Search"/>
    <s v="Basic"/>
    <x v="1"/>
    <x v="0"/>
    <x v="0"/>
    <x v="0"/>
    <n v="0"/>
    <n v="3"/>
    <n v="0"/>
    <m/>
    <n v="33.700000000000003"/>
  </r>
  <r>
    <s v="USR-100666"/>
    <d v="2025-02-21T00:00:00"/>
    <x v="0"/>
    <s v="North"/>
    <s v="Mobile"/>
    <s v="Paid Search"/>
    <s v="Basic"/>
    <x v="0"/>
    <x v="0"/>
    <x v="0"/>
    <x v="0"/>
    <n v="0"/>
    <n v="0"/>
    <n v="0"/>
    <m/>
    <n v="45.2"/>
  </r>
  <r>
    <s v="USR-100667"/>
    <d v="2025-02-25T00:00:00"/>
    <x v="0"/>
    <s v="East"/>
    <s v="Desktop"/>
    <s v="Paid Search"/>
    <s v="Premium"/>
    <x v="0"/>
    <x v="0"/>
    <x v="0"/>
    <x v="0"/>
    <n v="0"/>
    <n v="0"/>
    <n v="0"/>
    <m/>
    <n v="48.2"/>
  </r>
  <r>
    <s v="USR-100668"/>
    <d v="2025-01-30T00:00:00"/>
    <x v="0"/>
    <s v="South"/>
    <s v="Mobile"/>
    <s v="Social"/>
    <s v="Free"/>
    <x v="1"/>
    <x v="1"/>
    <x v="0"/>
    <x v="0"/>
    <n v="0"/>
    <n v="1"/>
    <n v="0"/>
    <m/>
    <n v="44.8"/>
  </r>
  <r>
    <s v="USR-100669"/>
    <d v="2025-02-17T00:00:00"/>
    <x v="0"/>
    <s v="North"/>
    <s v="Tablet"/>
    <s v="Social"/>
    <s v="Basic"/>
    <x v="0"/>
    <x v="0"/>
    <x v="0"/>
    <x v="0"/>
    <n v="0"/>
    <n v="0"/>
    <n v="0"/>
    <m/>
    <n v="52.1"/>
  </r>
  <r>
    <s v="USR-100670"/>
    <d v="2025-05-17T00:00:00"/>
    <x v="0"/>
    <s v="North"/>
    <s v="Desktop"/>
    <s v="Paid Search"/>
    <s v="Basic"/>
    <x v="1"/>
    <x v="0"/>
    <x v="0"/>
    <x v="0"/>
    <n v="0"/>
    <n v="0"/>
    <n v="0"/>
    <m/>
    <n v="30.7"/>
  </r>
  <r>
    <s v="USR-100671"/>
    <d v="2025-04-30T00:00:00"/>
    <x v="0"/>
    <s v="East"/>
    <s v="Desktop"/>
    <s v="Paid Search"/>
    <s v="Free"/>
    <x v="1"/>
    <x v="0"/>
    <x v="0"/>
    <x v="0"/>
    <n v="0"/>
    <n v="0"/>
    <n v="0"/>
    <m/>
    <n v="58.4"/>
  </r>
  <r>
    <s v="USR-100672"/>
    <d v="2025-03-22T00:00:00"/>
    <x v="0"/>
    <s v="West"/>
    <s v="Mobile"/>
    <s v="Referral"/>
    <s v="Free"/>
    <x v="1"/>
    <x v="1"/>
    <x v="0"/>
    <x v="0"/>
    <n v="0"/>
    <n v="0"/>
    <n v="0"/>
    <m/>
    <n v="52.6"/>
  </r>
  <r>
    <s v="USR-100673"/>
    <d v="2025-01-10T00:00:00"/>
    <x v="0"/>
    <s v="West"/>
    <m/>
    <s v="Paid Search"/>
    <s v="Free"/>
    <x v="1"/>
    <x v="0"/>
    <x v="0"/>
    <x v="0"/>
    <n v="0"/>
    <n v="1"/>
    <n v="0"/>
    <m/>
    <n v="19.100000000000001"/>
  </r>
  <r>
    <s v="USR-100674"/>
    <d v="2025-03-21T00:00:00"/>
    <x v="0"/>
    <s v="South"/>
    <m/>
    <s v="Paid Search"/>
    <s v="Free"/>
    <x v="1"/>
    <x v="0"/>
    <x v="0"/>
    <x v="0"/>
    <n v="0"/>
    <n v="0"/>
    <n v="0"/>
    <m/>
    <n v="36.799999999999997"/>
  </r>
  <r>
    <s v="USR-100675"/>
    <d v="2025-05-12T00:00:00"/>
    <x v="0"/>
    <s v="North"/>
    <s v="Desktop"/>
    <s v="Paid Search"/>
    <s v="Basic"/>
    <x v="0"/>
    <x v="0"/>
    <x v="0"/>
    <x v="0"/>
    <n v="0"/>
    <n v="0"/>
    <n v="0"/>
    <m/>
    <n v="68.5"/>
  </r>
  <r>
    <s v="USR-100676"/>
    <d v="2025-05-24T00:00:00"/>
    <x v="0"/>
    <s v="West"/>
    <s v="Mobile"/>
    <s v="Paid Search"/>
    <s v="Free"/>
    <x v="1"/>
    <x v="1"/>
    <x v="1"/>
    <x v="0"/>
    <n v="0"/>
    <n v="0"/>
    <n v="0"/>
    <m/>
    <n v="40.1"/>
  </r>
  <r>
    <s v="USR-100677"/>
    <d v="2025-05-03T00:00:00"/>
    <x v="0"/>
    <s v="West"/>
    <s v="Tablet"/>
    <s v="Organic"/>
    <s v="Free"/>
    <x v="1"/>
    <x v="0"/>
    <x v="0"/>
    <x v="0"/>
    <n v="0"/>
    <n v="0"/>
    <n v="0"/>
    <m/>
    <n v="47.5"/>
  </r>
  <r>
    <s v="USR-100678"/>
    <d v="2025-01-14T00:00:00"/>
    <x v="0"/>
    <s v="South"/>
    <s v="Mobile"/>
    <s v="Organic"/>
    <s v="Basic"/>
    <x v="1"/>
    <x v="0"/>
    <x v="0"/>
    <x v="0"/>
    <n v="0"/>
    <n v="0"/>
    <n v="0"/>
    <m/>
    <n v="77.099999999999994"/>
  </r>
  <r>
    <s v="USR-100679"/>
    <d v="2025-03-27T00:00:00"/>
    <x v="0"/>
    <s v="West"/>
    <s v="Mobile"/>
    <s v="Social"/>
    <s v="Basic"/>
    <x v="1"/>
    <x v="0"/>
    <x v="0"/>
    <x v="0"/>
    <n v="0"/>
    <n v="0"/>
    <n v="0"/>
    <m/>
    <n v="75.900000000000006"/>
  </r>
  <r>
    <s v="USR-100680"/>
    <d v="2025-02-28T00:00:00"/>
    <x v="0"/>
    <s v="North"/>
    <s v="Desktop"/>
    <s v="Referral"/>
    <s v="Premium"/>
    <x v="0"/>
    <x v="0"/>
    <x v="0"/>
    <x v="0"/>
    <n v="0"/>
    <n v="1"/>
    <n v="0"/>
    <m/>
    <n v="52"/>
  </r>
  <r>
    <s v="USR-100681"/>
    <d v="2025-05-12T00:00:00"/>
    <x v="0"/>
    <s v="West"/>
    <s v="Desktop"/>
    <s v="Referral"/>
    <s v="Premium"/>
    <x v="1"/>
    <x v="1"/>
    <x v="1"/>
    <x v="0"/>
    <n v="0"/>
    <n v="0"/>
    <n v="0"/>
    <m/>
    <n v="64.900000000000006"/>
  </r>
  <r>
    <s v="USR-100682"/>
    <d v="2025-03-14T00:00:00"/>
    <x v="0"/>
    <s v="North"/>
    <s v="Mobile"/>
    <s v="Organic"/>
    <s v="Free"/>
    <x v="1"/>
    <x v="0"/>
    <x v="0"/>
    <x v="0"/>
    <n v="0"/>
    <n v="0"/>
    <n v="0"/>
    <m/>
    <n v="48.2"/>
  </r>
  <r>
    <s v="USR-100683"/>
    <d v="2025-05-20T00:00:00"/>
    <x v="0"/>
    <s v="East"/>
    <s v="Mobile"/>
    <s v="Organic"/>
    <s v="Basic"/>
    <x v="0"/>
    <x v="0"/>
    <x v="0"/>
    <x v="0"/>
    <n v="0"/>
    <n v="0"/>
    <n v="0"/>
    <m/>
    <n v="42.1"/>
  </r>
  <r>
    <s v="USR-100684"/>
    <d v="2025-02-24T00:00:00"/>
    <x v="0"/>
    <s v="South"/>
    <s v="Desktop"/>
    <s v="Referral"/>
    <s v="Free"/>
    <x v="0"/>
    <x v="0"/>
    <x v="0"/>
    <x v="0"/>
    <n v="0"/>
    <n v="0"/>
    <n v="0"/>
    <m/>
    <n v="27.6"/>
  </r>
  <r>
    <s v="USR-100685"/>
    <d v="2025-02-13T00:00:00"/>
    <x v="0"/>
    <s v="West"/>
    <s v="Mobile"/>
    <s v="Organic"/>
    <s v="Premium"/>
    <x v="1"/>
    <x v="0"/>
    <x v="0"/>
    <x v="0"/>
    <n v="0"/>
    <n v="1"/>
    <n v="0"/>
    <m/>
    <n v="68.5"/>
  </r>
  <r>
    <s v="USR-100686"/>
    <d v="2025-02-06T00:00:00"/>
    <x v="0"/>
    <s v="South"/>
    <s v="Desktop"/>
    <s v="Organic"/>
    <s v="Free"/>
    <x v="1"/>
    <x v="1"/>
    <x v="1"/>
    <x v="0"/>
    <n v="0"/>
    <n v="0"/>
    <n v="0"/>
    <m/>
    <n v="59.2"/>
  </r>
  <r>
    <s v="USR-100687"/>
    <d v="2025-03-02T00:00:00"/>
    <x v="0"/>
    <s v="North"/>
    <s v="Mobile"/>
    <s v="Social"/>
    <s v="Basic"/>
    <x v="1"/>
    <x v="0"/>
    <x v="0"/>
    <x v="0"/>
    <n v="0"/>
    <n v="0"/>
    <n v="0"/>
    <m/>
    <n v="63.3"/>
  </r>
  <r>
    <s v="USR-100688"/>
    <d v="2025-04-28T00:00:00"/>
    <x v="0"/>
    <s v="East"/>
    <s v="Desktop"/>
    <s v="Paid Search"/>
    <s v="Free"/>
    <x v="0"/>
    <x v="0"/>
    <x v="0"/>
    <x v="0"/>
    <n v="0"/>
    <n v="0"/>
    <n v="0"/>
    <m/>
    <n v="55"/>
  </r>
  <r>
    <s v="USR-100689"/>
    <d v="2025-05-27T00:00:00"/>
    <x v="0"/>
    <s v="North"/>
    <s v="Desktop"/>
    <m/>
    <s v="Premium"/>
    <x v="1"/>
    <x v="0"/>
    <x v="0"/>
    <x v="0"/>
    <n v="0"/>
    <n v="0"/>
    <n v="0"/>
    <m/>
    <n v="64.8"/>
  </r>
  <r>
    <s v="USR-100690"/>
    <d v="2025-04-07T00:00:00"/>
    <x v="0"/>
    <s v="South"/>
    <s v="Desktop"/>
    <s v="Organic"/>
    <s v="Basic"/>
    <x v="0"/>
    <x v="0"/>
    <x v="0"/>
    <x v="0"/>
    <n v="0"/>
    <n v="2"/>
    <n v="0"/>
    <m/>
    <n v="41.8"/>
  </r>
  <r>
    <s v="USR-100691"/>
    <d v="2025-04-14T00:00:00"/>
    <x v="1"/>
    <s v="East"/>
    <s v="Desktop"/>
    <s v="Social"/>
    <s v="Basic"/>
    <x v="1"/>
    <x v="0"/>
    <x v="0"/>
    <x v="0"/>
    <n v="0"/>
    <n v="0"/>
    <n v="0"/>
    <m/>
    <n v="73.2"/>
  </r>
  <r>
    <s v="USR-100692"/>
    <d v="2025-05-09T00:00:00"/>
    <x v="1"/>
    <s v="East"/>
    <s v="Desktop"/>
    <s v="Organic"/>
    <s v="Basic"/>
    <x v="1"/>
    <x v="1"/>
    <x v="1"/>
    <x v="0"/>
    <n v="0"/>
    <n v="3"/>
    <n v="0"/>
    <m/>
    <n v="55.7"/>
  </r>
  <r>
    <s v="USR-100693"/>
    <d v="2025-03-21T00:00:00"/>
    <x v="1"/>
    <s v="North"/>
    <s v="Mobile"/>
    <s v="Organic"/>
    <s v="Free"/>
    <x v="1"/>
    <x v="1"/>
    <x v="1"/>
    <x v="0"/>
    <n v="0"/>
    <n v="0"/>
    <n v="0"/>
    <m/>
    <n v="82.8"/>
  </r>
  <r>
    <s v="USR-100694"/>
    <d v="2025-03-27T00:00:00"/>
    <x v="1"/>
    <s v="North"/>
    <s v="Desktop"/>
    <s v="Social"/>
    <s v="Free"/>
    <x v="1"/>
    <x v="0"/>
    <x v="0"/>
    <x v="0"/>
    <n v="0"/>
    <n v="0"/>
    <n v="0"/>
    <m/>
    <m/>
  </r>
  <r>
    <s v="USR-100695"/>
    <d v="2025-01-21T00:00:00"/>
    <x v="1"/>
    <s v="South"/>
    <s v="Mobile"/>
    <s v="Paid Search"/>
    <s v="Free"/>
    <x v="0"/>
    <x v="0"/>
    <x v="0"/>
    <x v="0"/>
    <n v="0"/>
    <n v="0"/>
    <n v="0"/>
    <m/>
    <n v="34.4"/>
  </r>
  <r>
    <s v="USR-100696"/>
    <d v="2025-03-19T00:00:00"/>
    <x v="1"/>
    <s v="East"/>
    <s v="Desktop"/>
    <s v="Email"/>
    <s v="Free"/>
    <x v="1"/>
    <x v="0"/>
    <x v="0"/>
    <x v="0"/>
    <n v="0"/>
    <n v="0"/>
    <n v="0"/>
    <m/>
    <n v="45.2"/>
  </r>
  <r>
    <s v="USR-100697"/>
    <d v="2025-05-27T00:00:00"/>
    <x v="1"/>
    <s v="North"/>
    <s v="Mobile"/>
    <s v="Organic"/>
    <s v="Basic"/>
    <x v="1"/>
    <x v="0"/>
    <x v="0"/>
    <x v="0"/>
    <n v="0"/>
    <n v="0"/>
    <n v="0"/>
    <m/>
    <n v="71.599999999999994"/>
  </r>
  <r>
    <s v="USR-100698"/>
    <d v="2025-01-01T00:00:00"/>
    <x v="1"/>
    <s v="North"/>
    <s v="Mobile"/>
    <s v="Social"/>
    <s v="Free"/>
    <x v="1"/>
    <x v="1"/>
    <x v="1"/>
    <x v="0"/>
    <n v="0"/>
    <n v="0"/>
    <n v="0"/>
    <m/>
    <n v="69.099999999999994"/>
  </r>
  <r>
    <s v="USR-100699"/>
    <d v="2025-03-29T00:00:00"/>
    <x v="1"/>
    <s v="West"/>
    <s v="Desktop"/>
    <s v="Paid Search"/>
    <s v="Premium"/>
    <x v="1"/>
    <x v="0"/>
    <x v="0"/>
    <x v="0"/>
    <n v="0"/>
    <n v="1"/>
    <n v="0"/>
    <m/>
    <n v="37.700000000000003"/>
  </r>
  <r>
    <s v="USR-100700"/>
    <d v="2025-03-17T00:00:00"/>
    <x v="1"/>
    <s v="West"/>
    <s v="Desktop"/>
    <s v="Organic"/>
    <s v="Basic"/>
    <x v="1"/>
    <x v="0"/>
    <x v="0"/>
    <x v="0"/>
    <n v="0"/>
    <n v="1"/>
    <n v="0"/>
    <m/>
    <n v="60.8"/>
  </r>
  <r>
    <s v="USR-100701"/>
    <d v="2025-05-05T00:00:00"/>
    <x v="1"/>
    <s v="North"/>
    <s v="Mobile"/>
    <s v="Organic"/>
    <s v="Free"/>
    <x v="1"/>
    <x v="1"/>
    <x v="1"/>
    <x v="1"/>
    <n v="444.13"/>
    <n v="0"/>
    <n v="0"/>
    <n v="10"/>
    <n v="80.7"/>
  </r>
  <r>
    <s v="USR-100702"/>
    <d v="2025-05-04T00:00:00"/>
    <x v="1"/>
    <s v="South"/>
    <s v="Mobile"/>
    <s v="Social"/>
    <s v="Free"/>
    <x v="1"/>
    <x v="0"/>
    <x v="0"/>
    <x v="0"/>
    <n v="0"/>
    <n v="0"/>
    <n v="0"/>
    <m/>
    <n v="69.2"/>
  </r>
  <r>
    <s v="USR-100703"/>
    <d v="2025-03-25T00:00:00"/>
    <x v="1"/>
    <s v="North"/>
    <s v="Mobile"/>
    <s v="Social"/>
    <s v="Premium"/>
    <x v="0"/>
    <x v="0"/>
    <x v="0"/>
    <x v="0"/>
    <n v="0"/>
    <n v="3"/>
    <n v="0"/>
    <m/>
    <n v="55"/>
  </r>
  <r>
    <s v="USR-100704"/>
    <d v="2025-04-17T00:00:00"/>
    <x v="1"/>
    <s v="West"/>
    <s v="Mobile"/>
    <s v="Email"/>
    <s v="Free"/>
    <x v="0"/>
    <x v="0"/>
    <x v="0"/>
    <x v="0"/>
    <n v="0"/>
    <n v="1"/>
    <n v="0"/>
    <m/>
    <n v="73.599999999999994"/>
  </r>
  <r>
    <s v="USR-100705"/>
    <d v="2025-05-23T00:00:00"/>
    <x v="1"/>
    <s v="South"/>
    <s v="Mobile"/>
    <s v="Referral"/>
    <s v="Basic"/>
    <x v="1"/>
    <x v="1"/>
    <x v="1"/>
    <x v="0"/>
    <n v="0"/>
    <n v="1"/>
    <n v="0"/>
    <m/>
    <n v="47.3"/>
  </r>
  <r>
    <s v="USR-100706"/>
    <d v="2025-01-13T00:00:00"/>
    <x v="1"/>
    <s v="North"/>
    <s v="Mobile"/>
    <s v="Organic"/>
    <s v="Basic"/>
    <x v="0"/>
    <x v="0"/>
    <x v="0"/>
    <x v="0"/>
    <n v="0"/>
    <n v="0"/>
    <n v="0"/>
    <m/>
    <n v="43.6"/>
  </r>
  <r>
    <s v="USR-100707"/>
    <d v="2025-01-29T00:00:00"/>
    <x v="1"/>
    <s v="North"/>
    <s v="Desktop"/>
    <s v="Organic"/>
    <s v="Basic"/>
    <x v="1"/>
    <x v="0"/>
    <x v="0"/>
    <x v="0"/>
    <n v="0"/>
    <n v="0"/>
    <n v="0"/>
    <m/>
    <m/>
  </r>
  <r>
    <s v="USR-100708"/>
    <d v="2025-05-11T00:00:00"/>
    <x v="1"/>
    <s v="South"/>
    <s v="Mobile"/>
    <s v="Email"/>
    <s v="Free"/>
    <x v="0"/>
    <x v="0"/>
    <x v="0"/>
    <x v="0"/>
    <n v="0"/>
    <n v="0"/>
    <n v="0"/>
    <m/>
    <n v="55.2"/>
  </r>
  <r>
    <s v="USR-100709"/>
    <d v="2025-04-22T00:00:00"/>
    <x v="1"/>
    <s v="South"/>
    <s v="Mobile"/>
    <s v="Organic"/>
    <s v="Basic"/>
    <x v="1"/>
    <x v="0"/>
    <x v="0"/>
    <x v="0"/>
    <n v="0"/>
    <n v="0"/>
    <n v="0"/>
    <m/>
    <n v="49.4"/>
  </r>
  <r>
    <s v="USR-100710"/>
    <d v="2025-03-03T00:00:00"/>
    <x v="1"/>
    <s v="South"/>
    <s v="Mobile"/>
    <s v="Social"/>
    <s v="Free"/>
    <x v="1"/>
    <x v="1"/>
    <x v="1"/>
    <x v="0"/>
    <n v="0"/>
    <n v="1"/>
    <n v="0"/>
    <m/>
    <n v="60.1"/>
  </r>
  <r>
    <s v="USR-100711"/>
    <d v="2025-03-18T00:00:00"/>
    <x v="1"/>
    <s v="North"/>
    <s v="Mobile"/>
    <s v="Referral"/>
    <s v="Free"/>
    <x v="1"/>
    <x v="0"/>
    <x v="0"/>
    <x v="0"/>
    <n v="0"/>
    <n v="0"/>
    <n v="0"/>
    <m/>
    <n v="55.9"/>
  </r>
  <r>
    <s v="USR-100712"/>
    <d v="2025-04-05T00:00:00"/>
    <x v="1"/>
    <s v="North"/>
    <s v="Mobile"/>
    <s v="Organic"/>
    <s v="Basic"/>
    <x v="1"/>
    <x v="0"/>
    <x v="0"/>
    <x v="0"/>
    <n v="0"/>
    <n v="0"/>
    <n v="0"/>
    <m/>
    <n v="51.5"/>
  </r>
  <r>
    <s v="USR-100713"/>
    <d v="2025-04-16T00:00:00"/>
    <x v="1"/>
    <s v="East"/>
    <s v="Mobile"/>
    <s v="Organic"/>
    <s v="Free"/>
    <x v="1"/>
    <x v="1"/>
    <x v="1"/>
    <x v="1"/>
    <n v="516.66999999999996"/>
    <n v="0"/>
    <n v="0"/>
    <n v="11"/>
    <n v="57.9"/>
  </r>
  <r>
    <s v="USR-100714"/>
    <d v="2025-04-20T00:00:00"/>
    <x v="1"/>
    <s v="South"/>
    <s v="Mobile"/>
    <s v="Referral"/>
    <s v="Free"/>
    <x v="1"/>
    <x v="1"/>
    <x v="1"/>
    <x v="1"/>
    <n v="277.18"/>
    <n v="2"/>
    <n v="0"/>
    <n v="8"/>
    <n v="59.2"/>
  </r>
  <r>
    <s v="USR-100715"/>
    <d v="2025-02-15T00:00:00"/>
    <x v="1"/>
    <s v="South"/>
    <s v="Mobile"/>
    <s v="Organic"/>
    <s v="Free"/>
    <x v="0"/>
    <x v="0"/>
    <x v="0"/>
    <x v="0"/>
    <n v="0"/>
    <n v="0"/>
    <n v="0"/>
    <m/>
    <n v="64.2"/>
  </r>
  <r>
    <s v="USR-100716"/>
    <d v="2025-01-21T00:00:00"/>
    <x v="1"/>
    <s v="South"/>
    <s v="Mobile"/>
    <s v="Organic"/>
    <s v="Free"/>
    <x v="1"/>
    <x v="0"/>
    <x v="0"/>
    <x v="0"/>
    <n v="0"/>
    <n v="0"/>
    <n v="0"/>
    <m/>
    <n v="68.8"/>
  </r>
  <r>
    <s v="USR-100717"/>
    <d v="2025-05-23T00:00:00"/>
    <x v="1"/>
    <s v="North"/>
    <s v="Mobile"/>
    <s v="Paid Search"/>
    <s v="Premium"/>
    <x v="1"/>
    <x v="1"/>
    <x v="1"/>
    <x v="0"/>
    <n v="0"/>
    <n v="0"/>
    <n v="0"/>
    <m/>
    <n v="77.900000000000006"/>
  </r>
  <r>
    <s v="USR-100718"/>
    <d v="2025-01-22T00:00:00"/>
    <x v="1"/>
    <s v="West"/>
    <s v="Mobile"/>
    <s v="Paid Search"/>
    <s v="Basic"/>
    <x v="0"/>
    <x v="0"/>
    <x v="0"/>
    <x v="0"/>
    <n v="0"/>
    <n v="0"/>
    <n v="0"/>
    <m/>
    <n v="92.1"/>
  </r>
  <r>
    <s v="USR-100719"/>
    <d v="2025-04-24T00:00:00"/>
    <x v="1"/>
    <s v="West"/>
    <s v="Mobile"/>
    <s v="Paid Search"/>
    <s v="Premium"/>
    <x v="0"/>
    <x v="0"/>
    <x v="0"/>
    <x v="0"/>
    <n v="0"/>
    <n v="0"/>
    <n v="0"/>
    <m/>
    <n v="63.6"/>
  </r>
  <r>
    <s v="USR-100720"/>
    <d v="2025-01-17T00:00:00"/>
    <x v="1"/>
    <s v="West"/>
    <s v="Desktop"/>
    <s v="Email"/>
    <s v="Free"/>
    <x v="0"/>
    <x v="0"/>
    <x v="0"/>
    <x v="0"/>
    <n v="0"/>
    <n v="2"/>
    <n v="0"/>
    <m/>
    <n v="61.6"/>
  </r>
  <r>
    <s v="USR-100721"/>
    <d v="2025-01-22T00:00:00"/>
    <x v="1"/>
    <s v="East"/>
    <s v="Mobile"/>
    <s v="Referral"/>
    <s v="Basic"/>
    <x v="1"/>
    <x v="1"/>
    <x v="0"/>
    <x v="0"/>
    <n v="0"/>
    <n v="0"/>
    <n v="0"/>
    <m/>
    <n v="82.3"/>
  </r>
  <r>
    <s v="USR-100722"/>
    <d v="2025-05-04T00:00:00"/>
    <x v="1"/>
    <s v="East"/>
    <s v="Desktop"/>
    <s v="Paid Search"/>
    <s v="Free"/>
    <x v="1"/>
    <x v="0"/>
    <x v="0"/>
    <x v="0"/>
    <n v="0"/>
    <n v="0"/>
    <n v="0"/>
    <m/>
    <n v="79.3"/>
  </r>
  <r>
    <s v="USR-100723"/>
    <d v="2025-03-13T00:00:00"/>
    <x v="1"/>
    <s v="South"/>
    <s v="Mobile"/>
    <m/>
    <s v="Free"/>
    <x v="0"/>
    <x v="0"/>
    <x v="0"/>
    <x v="0"/>
    <n v="0"/>
    <n v="0"/>
    <n v="0"/>
    <m/>
    <n v="57.7"/>
  </r>
  <r>
    <s v="USR-100724"/>
    <d v="2025-01-02T00:00:00"/>
    <x v="1"/>
    <s v="North"/>
    <s v="Mobile"/>
    <s v="Organic"/>
    <s v="Basic"/>
    <x v="1"/>
    <x v="0"/>
    <x v="0"/>
    <x v="0"/>
    <n v="0"/>
    <n v="0"/>
    <n v="0"/>
    <m/>
    <n v="63.1"/>
  </r>
  <r>
    <s v="USR-100725"/>
    <d v="2025-01-13T00:00:00"/>
    <x v="1"/>
    <s v="East"/>
    <s v="Mobile"/>
    <s v="Paid Search"/>
    <s v="Basic"/>
    <x v="0"/>
    <x v="0"/>
    <x v="0"/>
    <x v="0"/>
    <n v="0"/>
    <n v="0"/>
    <n v="0"/>
    <m/>
    <n v="72.3"/>
  </r>
  <r>
    <s v="USR-100726"/>
    <d v="2025-02-09T00:00:00"/>
    <x v="1"/>
    <s v="East"/>
    <s v="Mobile"/>
    <s v="Social"/>
    <s v="Free"/>
    <x v="1"/>
    <x v="1"/>
    <x v="1"/>
    <x v="0"/>
    <n v="0"/>
    <n v="0"/>
    <n v="0"/>
    <m/>
    <n v="78"/>
  </r>
  <r>
    <s v="USR-100727"/>
    <d v="2025-04-09T00:00:00"/>
    <x v="1"/>
    <s v="East"/>
    <s v="Desktop"/>
    <s v="Social"/>
    <s v="Free"/>
    <x v="1"/>
    <x v="1"/>
    <x v="0"/>
    <x v="0"/>
    <n v="0"/>
    <n v="2"/>
    <n v="0"/>
    <m/>
    <n v="59.1"/>
  </r>
  <r>
    <s v="USR-100728"/>
    <d v="2025-01-02T00:00:00"/>
    <x v="1"/>
    <s v="South"/>
    <s v="Mobile"/>
    <s v="Paid Search"/>
    <s v="Free"/>
    <x v="1"/>
    <x v="1"/>
    <x v="1"/>
    <x v="1"/>
    <n v="604.09"/>
    <n v="0"/>
    <n v="0"/>
    <n v="7"/>
    <n v="47.1"/>
  </r>
  <r>
    <s v="USR-100729"/>
    <d v="2025-02-04T00:00:00"/>
    <x v="1"/>
    <s v="South"/>
    <s v="Mobile"/>
    <m/>
    <s v="Premium"/>
    <x v="1"/>
    <x v="0"/>
    <x v="0"/>
    <x v="0"/>
    <n v="0"/>
    <n v="0"/>
    <n v="0"/>
    <m/>
    <n v="64.900000000000006"/>
  </r>
  <r>
    <s v="USR-100730"/>
    <d v="2025-02-19T00:00:00"/>
    <x v="1"/>
    <s v="South"/>
    <s v="Tablet"/>
    <s v="Paid Search"/>
    <s v="Free"/>
    <x v="0"/>
    <x v="0"/>
    <x v="0"/>
    <x v="0"/>
    <n v="0"/>
    <n v="0"/>
    <n v="0"/>
    <m/>
    <n v="67.3"/>
  </r>
  <r>
    <s v="USR-100731"/>
    <d v="2025-04-01T00:00:00"/>
    <x v="1"/>
    <s v="East"/>
    <s v="Mobile"/>
    <s v="Paid Search"/>
    <s v="Basic"/>
    <x v="1"/>
    <x v="0"/>
    <x v="0"/>
    <x v="0"/>
    <n v="0"/>
    <n v="2"/>
    <n v="0"/>
    <m/>
    <n v="52.9"/>
  </r>
  <r>
    <s v="USR-100732"/>
    <d v="2025-01-29T00:00:00"/>
    <x v="1"/>
    <s v="North"/>
    <s v="Mobile"/>
    <s v="Referral"/>
    <s v="Free"/>
    <x v="1"/>
    <x v="1"/>
    <x v="1"/>
    <x v="1"/>
    <n v="442.37"/>
    <n v="1"/>
    <n v="0"/>
    <n v="4"/>
    <n v="69.900000000000006"/>
  </r>
  <r>
    <s v="USR-100733"/>
    <d v="2025-05-18T00:00:00"/>
    <x v="1"/>
    <s v="North"/>
    <s v="Mobile"/>
    <s v="Referral"/>
    <s v="Basic"/>
    <x v="1"/>
    <x v="1"/>
    <x v="1"/>
    <x v="0"/>
    <n v="0"/>
    <n v="0"/>
    <n v="0"/>
    <m/>
    <n v="78.900000000000006"/>
  </r>
  <r>
    <s v="USR-100734"/>
    <d v="2025-04-15T00:00:00"/>
    <x v="1"/>
    <s v="East"/>
    <s v="Desktop"/>
    <s v="Social"/>
    <s v="Premium"/>
    <x v="1"/>
    <x v="1"/>
    <x v="0"/>
    <x v="0"/>
    <n v="0"/>
    <n v="0"/>
    <n v="0"/>
    <m/>
    <n v="83.3"/>
  </r>
  <r>
    <s v="USR-100735"/>
    <d v="2025-03-28T00:00:00"/>
    <x v="1"/>
    <s v="East"/>
    <s v="Desktop"/>
    <s v="Email"/>
    <s v="Free"/>
    <x v="1"/>
    <x v="0"/>
    <x v="0"/>
    <x v="0"/>
    <n v="0"/>
    <n v="1"/>
    <n v="0"/>
    <m/>
    <n v="24.5"/>
  </r>
  <r>
    <s v="USR-100736"/>
    <d v="2025-04-01T00:00:00"/>
    <x v="1"/>
    <s v="West"/>
    <s v="Mobile"/>
    <s v="Paid Search"/>
    <s v="Basic"/>
    <x v="1"/>
    <x v="1"/>
    <x v="0"/>
    <x v="0"/>
    <n v="0"/>
    <n v="1"/>
    <n v="0"/>
    <m/>
    <n v="56.9"/>
  </r>
  <r>
    <s v="USR-100737"/>
    <d v="2025-02-11T00:00:00"/>
    <x v="1"/>
    <s v="West"/>
    <s v="Mobile"/>
    <s v="Social"/>
    <s v="Basic"/>
    <x v="1"/>
    <x v="0"/>
    <x v="0"/>
    <x v="0"/>
    <n v="0"/>
    <n v="0"/>
    <n v="0"/>
    <m/>
    <n v="69.900000000000006"/>
  </r>
  <r>
    <s v="USR-100738"/>
    <d v="2025-03-04T00:00:00"/>
    <x v="1"/>
    <s v="South"/>
    <s v="Mobile"/>
    <s v="Organic"/>
    <s v="Free"/>
    <x v="1"/>
    <x v="1"/>
    <x v="1"/>
    <x v="0"/>
    <n v="0"/>
    <n v="0"/>
    <n v="0"/>
    <m/>
    <n v="81.5"/>
  </r>
  <r>
    <s v="USR-100739"/>
    <d v="2025-01-21T00:00:00"/>
    <x v="1"/>
    <s v="North"/>
    <s v="Tablet"/>
    <s v="Social"/>
    <s v="Basic"/>
    <x v="0"/>
    <x v="0"/>
    <x v="0"/>
    <x v="0"/>
    <n v="0"/>
    <n v="2"/>
    <n v="0"/>
    <m/>
    <n v="37.9"/>
  </r>
  <r>
    <s v="USR-100740"/>
    <d v="2025-02-14T00:00:00"/>
    <x v="1"/>
    <s v="North"/>
    <s v="Mobile"/>
    <s v="Referral"/>
    <s v="Free"/>
    <x v="0"/>
    <x v="0"/>
    <x v="0"/>
    <x v="0"/>
    <n v="0"/>
    <n v="1"/>
    <n v="0"/>
    <m/>
    <n v="61.7"/>
  </r>
  <r>
    <s v="USR-100741"/>
    <d v="2025-03-30T00:00:00"/>
    <x v="1"/>
    <s v="North"/>
    <s v="Desktop"/>
    <m/>
    <s v="Premium"/>
    <x v="1"/>
    <x v="0"/>
    <x v="0"/>
    <x v="0"/>
    <n v="0"/>
    <n v="2"/>
    <n v="0"/>
    <m/>
    <n v="53.2"/>
  </r>
  <r>
    <s v="USR-100742"/>
    <d v="2025-01-08T00:00:00"/>
    <x v="1"/>
    <s v="North"/>
    <s v="Mobile"/>
    <s v="Referral"/>
    <s v="Free"/>
    <x v="0"/>
    <x v="0"/>
    <x v="0"/>
    <x v="0"/>
    <n v="0"/>
    <n v="0"/>
    <n v="0"/>
    <m/>
    <n v="61.9"/>
  </r>
  <r>
    <s v="USR-100743"/>
    <d v="2025-02-07T00:00:00"/>
    <x v="1"/>
    <s v="North"/>
    <s v="Mobile"/>
    <s v="Social"/>
    <s v="Free"/>
    <x v="1"/>
    <x v="1"/>
    <x v="1"/>
    <x v="0"/>
    <n v="0"/>
    <n v="0"/>
    <n v="0"/>
    <m/>
    <n v="68.900000000000006"/>
  </r>
  <r>
    <s v="USR-100744"/>
    <d v="2025-02-01T00:00:00"/>
    <x v="1"/>
    <s v="North"/>
    <s v="Tablet"/>
    <s v="Paid Search"/>
    <s v="Basic"/>
    <x v="0"/>
    <x v="0"/>
    <x v="0"/>
    <x v="0"/>
    <n v="0"/>
    <n v="0"/>
    <n v="0"/>
    <m/>
    <n v="66.3"/>
  </r>
  <r>
    <s v="USR-100745"/>
    <d v="2025-01-04T00:00:00"/>
    <x v="1"/>
    <s v="East"/>
    <s v="Mobile"/>
    <s v="Email"/>
    <s v="Free"/>
    <x v="1"/>
    <x v="1"/>
    <x v="1"/>
    <x v="0"/>
    <n v="0"/>
    <n v="0"/>
    <n v="0"/>
    <m/>
    <n v="54.6"/>
  </r>
  <r>
    <s v="USR-100746"/>
    <d v="2025-05-16T00:00:00"/>
    <x v="1"/>
    <s v="South"/>
    <s v="Desktop"/>
    <s v="Referral"/>
    <s v="Free"/>
    <x v="0"/>
    <x v="0"/>
    <x v="0"/>
    <x v="0"/>
    <n v="0"/>
    <n v="0"/>
    <n v="0"/>
    <m/>
    <n v="53.8"/>
  </r>
  <r>
    <s v="USR-100747"/>
    <d v="2025-02-28T00:00:00"/>
    <x v="1"/>
    <s v="West"/>
    <s v="Mobile"/>
    <s v="Referral"/>
    <s v="Free"/>
    <x v="1"/>
    <x v="0"/>
    <x v="0"/>
    <x v="0"/>
    <n v="0"/>
    <n v="0"/>
    <n v="0"/>
    <m/>
    <n v="59.5"/>
  </r>
  <r>
    <s v="USR-100748"/>
    <d v="2025-04-12T00:00:00"/>
    <x v="1"/>
    <s v="North"/>
    <s v="Mobile"/>
    <s v="Referral"/>
    <s v="Free"/>
    <x v="1"/>
    <x v="0"/>
    <x v="0"/>
    <x v="0"/>
    <n v="0"/>
    <n v="0"/>
    <n v="0"/>
    <m/>
    <n v="52.6"/>
  </r>
  <r>
    <s v="USR-100749"/>
    <d v="2025-03-23T00:00:00"/>
    <x v="1"/>
    <s v="South"/>
    <s v="Desktop"/>
    <s v="Organic"/>
    <s v="Free"/>
    <x v="0"/>
    <x v="0"/>
    <x v="0"/>
    <x v="0"/>
    <n v="0"/>
    <n v="0"/>
    <n v="0"/>
    <m/>
    <n v="49"/>
  </r>
  <r>
    <s v="USR-100750"/>
    <d v="2025-05-29T00:00:00"/>
    <x v="1"/>
    <s v="North"/>
    <s v="Tablet"/>
    <s v="Organic"/>
    <s v="Free"/>
    <x v="1"/>
    <x v="0"/>
    <x v="0"/>
    <x v="0"/>
    <n v="0"/>
    <n v="0"/>
    <n v="0"/>
    <m/>
    <n v="59.3"/>
  </r>
  <r>
    <s v="USR-100751"/>
    <d v="2025-05-21T00:00:00"/>
    <x v="1"/>
    <s v="South"/>
    <s v="Desktop"/>
    <s v="Organic"/>
    <s v="Basic"/>
    <x v="0"/>
    <x v="0"/>
    <x v="0"/>
    <x v="0"/>
    <n v="0"/>
    <n v="0"/>
    <n v="0"/>
    <m/>
    <n v="67.2"/>
  </r>
  <r>
    <s v="USR-100752"/>
    <d v="2025-01-05T00:00:00"/>
    <x v="1"/>
    <s v="South"/>
    <s v="Mobile"/>
    <s v="Referral"/>
    <s v="Premium"/>
    <x v="0"/>
    <x v="0"/>
    <x v="0"/>
    <x v="0"/>
    <n v="0"/>
    <n v="0"/>
    <n v="0"/>
    <m/>
    <n v="73.5"/>
  </r>
  <r>
    <s v="USR-100753"/>
    <d v="2025-03-19T00:00:00"/>
    <x v="1"/>
    <s v="East"/>
    <s v="Tablet"/>
    <s v="Organic"/>
    <s v="Free"/>
    <x v="1"/>
    <x v="0"/>
    <x v="0"/>
    <x v="0"/>
    <n v="0"/>
    <n v="0"/>
    <n v="0"/>
    <m/>
    <n v="61.2"/>
  </r>
  <r>
    <s v="USR-100754"/>
    <d v="2025-04-24T00:00:00"/>
    <x v="1"/>
    <s v="East"/>
    <s v="Mobile"/>
    <s v="Organic"/>
    <s v="Free"/>
    <x v="1"/>
    <x v="0"/>
    <x v="0"/>
    <x v="0"/>
    <n v="0"/>
    <n v="1"/>
    <n v="0"/>
    <m/>
    <n v="56.4"/>
  </r>
  <r>
    <s v="USR-100755"/>
    <d v="2025-03-10T00:00:00"/>
    <x v="1"/>
    <s v="North"/>
    <s v="Tablet"/>
    <s v="Organic"/>
    <s v="Free"/>
    <x v="0"/>
    <x v="0"/>
    <x v="0"/>
    <x v="0"/>
    <n v="0"/>
    <n v="3"/>
    <n v="0"/>
    <m/>
    <n v="72.599999999999994"/>
  </r>
  <r>
    <s v="USR-100756"/>
    <d v="2025-02-22T00:00:00"/>
    <x v="1"/>
    <s v="South"/>
    <s v="Tablet"/>
    <s v="Referral"/>
    <s v="Basic"/>
    <x v="1"/>
    <x v="0"/>
    <x v="0"/>
    <x v="0"/>
    <n v="0"/>
    <n v="0"/>
    <n v="0"/>
    <m/>
    <n v="61.7"/>
  </r>
  <r>
    <s v="USR-100757"/>
    <d v="2025-05-17T00:00:00"/>
    <x v="1"/>
    <s v="East"/>
    <s v="Mobile"/>
    <s v="Social"/>
    <s v="Free"/>
    <x v="0"/>
    <x v="0"/>
    <x v="0"/>
    <x v="0"/>
    <n v="0"/>
    <n v="1"/>
    <n v="0"/>
    <m/>
    <n v="66.900000000000006"/>
  </r>
  <r>
    <s v="USR-100758"/>
    <d v="2025-05-09T00:00:00"/>
    <x v="1"/>
    <s v="East"/>
    <s v="Tablet"/>
    <s v="Referral"/>
    <s v="Premium"/>
    <x v="1"/>
    <x v="1"/>
    <x v="1"/>
    <x v="1"/>
    <n v="1506.24"/>
    <n v="1"/>
    <n v="0"/>
    <n v="7"/>
    <n v="64.900000000000006"/>
  </r>
  <r>
    <s v="USR-100759"/>
    <d v="2025-04-26T00:00:00"/>
    <x v="1"/>
    <s v="East"/>
    <s v="Tablet"/>
    <s v="Organic"/>
    <s v="Premium"/>
    <x v="1"/>
    <x v="0"/>
    <x v="0"/>
    <x v="0"/>
    <n v="0"/>
    <n v="0"/>
    <n v="0"/>
    <m/>
    <n v="57.5"/>
  </r>
  <r>
    <s v="USR-100760"/>
    <d v="2025-03-15T00:00:00"/>
    <x v="1"/>
    <s v="West"/>
    <s v="Desktop"/>
    <s v="Social"/>
    <s v="Free"/>
    <x v="1"/>
    <x v="1"/>
    <x v="1"/>
    <x v="0"/>
    <n v="0"/>
    <n v="0"/>
    <n v="0"/>
    <m/>
    <n v="76.3"/>
  </r>
  <r>
    <s v="USR-100761"/>
    <d v="2025-04-03T00:00:00"/>
    <x v="1"/>
    <s v="North"/>
    <s v="Mobile"/>
    <s v="Paid Search"/>
    <s v="Free"/>
    <x v="0"/>
    <x v="0"/>
    <x v="0"/>
    <x v="0"/>
    <n v="0"/>
    <n v="0"/>
    <n v="0"/>
    <m/>
    <n v="47.5"/>
  </r>
  <r>
    <s v="USR-100762"/>
    <d v="2025-03-26T00:00:00"/>
    <x v="1"/>
    <s v="South"/>
    <s v="Mobile"/>
    <s v="Paid Search"/>
    <s v="Free"/>
    <x v="0"/>
    <x v="0"/>
    <x v="0"/>
    <x v="0"/>
    <n v="0"/>
    <n v="0"/>
    <n v="0"/>
    <m/>
    <m/>
  </r>
  <r>
    <s v="USR-100763"/>
    <d v="2025-02-05T00:00:00"/>
    <x v="1"/>
    <s v="West"/>
    <s v="Desktop"/>
    <s v="Organic"/>
    <s v="Basic"/>
    <x v="1"/>
    <x v="1"/>
    <x v="0"/>
    <x v="0"/>
    <n v="0"/>
    <n v="2"/>
    <n v="0"/>
    <m/>
    <n v="71.599999999999994"/>
  </r>
  <r>
    <s v="USR-100764"/>
    <d v="2025-05-08T00:00:00"/>
    <x v="1"/>
    <s v="South"/>
    <s v="Mobile"/>
    <s v="Social"/>
    <s v="Basic"/>
    <x v="1"/>
    <x v="1"/>
    <x v="0"/>
    <x v="0"/>
    <n v="0"/>
    <n v="0"/>
    <n v="0"/>
    <m/>
    <n v="55.8"/>
  </r>
  <r>
    <s v="USR-100765"/>
    <d v="2025-03-25T00:00:00"/>
    <x v="1"/>
    <s v="South"/>
    <s v="Desktop"/>
    <s v="Organic"/>
    <s v="Basic"/>
    <x v="0"/>
    <x v="0"/>
    <x v="0"/>
    <x v="0"/>
    <n v="0"/>
    <n v="1"/>
    <n v="0"/>
    <m/>
    <n v="60.1"/>
  </r>
  <r>
    <s v="USR-100766"/>
    <d v="2025-01-14T00:00:00"/>
    <x v="1"/>
    <s v="West"/>
    <m/>
    <s v="Email"/>
    <s v="Basic"/>
    <x v="1"/>
    <x v="1"/>
    <x v="1"/>
    <x v="0"/>
    <n v="0"/>
    <n v="1"/>
    <n v="0"/>
    <m/>
    <n v="59.3"/>
  </r>
  <r>
    <s v="USR-100767"/>
    <d v="2025-03-26T00:00:00"/>
    <x v="1"/>
    <s v="North"/>
    <s v="Mobile"/>
    <s v="Organic"/>
    <s v="Free"/>
    <x v="1"/>
    <x v="1"/>
    <x v="0"/>
    <x v="0"/>
    <n v="0"/>
    <n v="2"/>
    <n v="0"/>
    <m/>
    <n v="49.3"/>
  </r>
  <r>
    <s v="USR-100768"/>
    <d v="2025-01-16T00:00:00"/>
    <x v="1"/>
    <s v="East"/>
    <s v="Mobile"/>
    <s v="Referral"/>
    <s v="Free"/>
    <x v="1"/>
    <x v="0"/>
    <x v="0"/>
    <x v="0"/>
    <n v="0"/>
    <n v="0"/>
    <n v="0"/>
    <m/>
    <n v="75"/>
  </r>
  <r>
    <s v="USR-100769"/>
    <d v="2025-01-04T00:00:00"/>
    <x v="1"/>
    <s v="East"/>
    <s v="Mobile"/>
    <s v="Social"/>
    <s v="Free"/>
    <x v="1"/>
    <x v="0"/>
    <x v="0"/>
    <x v="0"/>
    <n v="0"/>
    <n v="0"/>
    <n v="0"/>
    <m/>
    <n v="70.2"/>
  </r>
  <r>
    <s v="USR-100770"/>
    <d v="2025-02-09T00:00:00"/>
    <x v="1"/>
    <s v="South"/>
    <s v="Desktop"/>
    <s v="Organic"/>
    <s v="Premium"/>
    <x v="1"/>
    <x v="1"/>
    <x v="1"/>
    <x v="0"/>
    <n v="0"/>
    <n v="0"/>
    <n v="0"/>
    <m/>
    <n v="56.6"/>
  </r>
  <r>
    <s v="USR-100771"/>
    <d v="2025-03-05T00:00:00"/>
    <x v="1"/>
    <s v="East"/>
    <s v="Desktop"/>
    <s v="Organic"/>
    <s v="Free"/>
    <x v="1"/>
    <x v="0"/>
    <x v="0"/>
    <x v="0"/>
    <n v="0"/>
    <n v="0"/>
    <n v="0"/>
    <m/>
    <n v="65.400000000000006"/>
  </r>
  <r>
    <s v="USR-100772"/>
    <d v="2025-03-10T00:00:00"/>
    <x v="1"/>
    <s v="East"/>
    <s v="Mobile"/>
    <s v="Referral"/>
    <s v="Basic"/>
    <x v="1"/>
    <x v="0"/>
    <x v="0"/>
    <x v="0"/>
    <n v="0"/>
    <n v="0"/>
    <n v="0"/>
    <m/>
    <n v="47.6"/>
  </r>
  <r>
    <s v="USR-100773"/>
    <d v="2025-02-27T00:00:00"/>
    <x v="1"/>
    <s v="East"/>
    <s v="Desktop"/>
    <s v="Paid Search"/>
    <s v="Free"/>
    <x v="1"/>
    <x v="0"/>
    <x v="0"/>
    <x v="0"/>
    <n v="0"/>
    <n v="0"/>
    <n v="0"/>
    <m/>
    <n v="56.7"/>
  </r>
  <r>
    <s v="USR-100774"/>
    <d v="2025-03-10T00:00:00"/>
    <x v="1"/>
    <s v="North"/>
    <s v="Desktop"/>
    <s v="Referral"/>
    <s v="Basic"/>
    <x v="1"/>
    <x v="1"/>
    <x v="0"/>
    <x v="0"/>
    <n v="0"/>
    <n v="0"/>
    <n v="0"/>
    <m/>
    <n v="71.400000000000006"/>
  </r>
  <r>
    <s v="USR-100775"/>
    <d v="2025-04-23T00:00:00"/>
    <x v="1"/>
    <s v="West"/>
    <s v="Mobile"/>
    <s v="Social"/>
    <s v="Free"/>
    <x v="0"/>
    <x v="0"/>
    <x v="0"/>
    <x v="0"/>
    <n v="0"/>
    <n v="2"/>
    <n v="0"/>
    <m/>
    <n v="60.5"/>
  </r>
  <r>
    <s v="USR-100776"/>
    <d v="2025-04-12T00:00:00"/>
    <x v="1"/>
    <s v="North"/>
    <s v="Desktop"/>
    <s v="Paid Search"/>
    <s v="Free"/>
    <x v="1"/>
    <x v="0"/>
    <x v="0"/>
    <x v="0"/>
    <n v="0"/>
    <n v="0"/>
    <n v="0"/>
    <m/>
    <n v="46.7"/>
  </r>
  <r>
    <s v="USR-100777"/>
    <d v="2025-01-26T00:00:00"/>
    <x v="1"/>
    <s v="East"/>
    <s v="Desktop"/>
    <s v="Referral"/>
    <s v="Free"/>
    <x v="0"/>
    <x v="0"/>
    <x v="0"/>
    <x v="0"/>
    <n v="0"/>
    <n v="0"/>
    <n v="0"/>
    <m/>
    <n v="61"/>
  </r>
  <r>
    <s v="USR-100778"/>
    <d v="2025-05-24T00:00:00"/>
    <x v="1"/>
    <s v="West"/>
    <s v="Tablet"/>
    <s v="Paid Search"/>
    <s v="Free"/>
    <x v="0"/>
    <x v="0"/>
    <x v="0"/>
    <x v="0"/>
    <n v="0"/>
    <n v="0"/>
    <n v="0"/>
    <m/>
    <n v="60.9"/>
  </r>
  <r>
    <s v="USR-100779"/>
    <d v="2025-01-08T00:00:00"/>
    <x v="1"/>
    <s v="South"/>
    <s v="Mobile"/>
    <s v="Organic"/>
    <s v="Free"/>
    <x v="1"/>
    <x v="0"/>
    <x v="0"/>
    <x v="0"/>
    <n v="0"/>
    <n v="0"/>
    <n v="0"/>
    <m/>
    <n v="67.099999999999994"/>
  </r>
  <r>
    <s v="USR-100780"/>
    <d v="2025-04-15T00:00:00"/>
    <x v="1"/>
    <s v="North"/>
    <s v="Mobile"/>
    <s v="Referral"/>
    <s v="Free"/>
    <x v="1"/>
    <x v="1"/>
    <x v="0"/>
    <x v="0"/>
    <n v="0"/>
    <n v="0"/>
    <n v="0"/>
    <m/>
    <n v="59.6"/>
  </r>
  <r>
    <s v="USR-100781"/>
    <d v="2025-01-15T00:00:00"/>
    <x v="1"/>
    <s v="South"/>
    <s v="Desktop"/>
    <s v="Paid Search"/>
    <s v="Free"/>
    <x v="1"/>
    <x v="0"/>
    <x v="0"/>
    <x v="0"/>
    <n v="0"/>
    <n v="0"/>
    <n v="0"/>
    <m/>
    <n v="83.8"/>
  </r>
  <r>
    <s v="USR-100782"/>
    <d v="2025-02-28T00:00:00"/>
    <x v="1"/>
    <s v="North"/>
    <s v="Mobile"/>
    <s v="Organic"/>
    <s v="Basic"/>
    <x v="1"/>
    <x v="1"/>
    <x v="1"/>
    <x v="0"/>
    <n v="0"/>
    <n v="0"/>
    <n v="0"/>
    <m/>
    <n v="70.8"/>
  </r>
  <r>
    <s v="USR-100783"/>
    <d v="2025-01-01T00:00:00"/>
    <x v="1"/>
    <s v="North"/>
    <s v="Tablet"/>
    <s v="Organic"/>
    <s v="Basic"/>
    <x v="0"/>
    <x v="0"/>
    <x v="0"/>
    <x v="0"/>
    <n v="0"/>
    <n v="0"/>
    <n v="0"/>
    <m/>
    <n v="65.900000000000006"/>
  </r>
  <r>
    <s v="USR-100784"/>
    <d v="2025-04-17T00:00:00"/>
    <x v="1"/>
    <s v="West"/>
    <s v="Mobile"/>
    <s v="Referral"/>
    <s v="Free"/>
    <x v="1"/>
    <x v="0"/>
    <x v="0"/>
    <x v="0"/>
    <n v="0"/>
    <n v="0"/>
    <n v="0"/>
    <m/>
    <n v="58"/>
  </r>
  <r>
    <s v="USR-100785"/>
    <d v="2025-02-19T00:00:00"/>
    <x v="1"/>
    <s v="North"/>
    <s v="Mobile"/>
    <s v="Email"/>
    <s v="Basic"/>
    <x v="1"/>
    <x v="1"/>
    <x v="0"/>
    <x v="0"/>
    <n v="0"/>
    <n v="0"/>
    <n v="0"/>
    <m/>
    <n v="80.3"/>
  </r>
  <r>
    <s v="USR-100786"/>
    <d v="2025-03-14T00:00:00"/>
    <x v="1"/>
    <s v="North"/>
    <s v="Desktop"/>
    <s v="Organic"/>
    <s v="Free"/>
    <x v="1"/>
    <x v="0"/>
    <x v="0"/>
    <x v="0"/>
    <n v="0"/>
    <n v="0"/>
    <n v="0"/>
    <m/>
    <n v="55.7"/>
  </r>
  <r>
    <s v="USR-100787"/>
    <d v="2025-04-21T00:00:00"/>
    <x v="1"/>
    <s v="North"/>
    <s v="Mobile"/>
    <s v="Organic"/>
    <s v="Free"/>
    <x v="1"/>
    <x v="1"/>
    <x v="0"/>
    <x v="0"/>
    <n v="0"/>
    <n v="0"/>
    <n v="0"/>
    <m/>
    <n v="84.9"/>
  </r>
  <r>
    <s v="USR-100788"/>
    <d v="2025-02-14T00:00:00"/>
    <x v="1"/>
    <s v="North"/>
    <s v="Mobile"/>
    <s v="Organic"/>
    <s v="Free"/>
    <x v="1"/>
    <x v="0"/>
    <x v="0"/>
    <x v="0"/>
    <n v="0"/>
    <n v="0"/>
    <n v="0"/>
    <m/>
    <n v="63.3"/>
  </r>
  <r>
    <s v="USR-100789"/>
    <d v="2025-05-30T00:00:00"/>
    <x v="1"/>
    <s v="West"/>
    <s v="Mobile"/>
    <s v="Organic"/>
    <s v="Free"/>
    <x v="0"/>
    <x v="0"/>
    <x v="0"/>
    <x v="0"/>
    <n v="0"/>
    <n v="0"/>
    <n v="0"/>
    <m/>
    <n v="53.1"/>
  </r>
  <r>
    <s v="USR-100790"/>
    <d v="2025-01-20T00:00:00"/>
    <x v="1"/>
    <s v="West"/>
    <s v="Mobile"/>
    <s v="Organic"/>
    <s v="Free"/>
    <x v="0"/>
    <x v="0"/>
    <x v="0"/>
    <x v="0"/>
    <n v="0"/>
    <n v="0"/>
    <n v="0"/>
    <m/>
    <n v="66"/>
  </r>
  <r>
    <s v="USR-100791"/>
    <d v="2025-03-17T00:00:00"/>
    <x v="1"/>
    <s v="West"/>
    <s v="Mobile"/>
    <s v="Social"/>
    <s v="Premium"/>
    <x v="0"/>
    <x v="0"/>
    <x v="0"/>
    <x v="0"/>
    <n v="0"/>
    <n v="0"/>
    <n v="0"/>
    <m/>
    <n v="54.7"/>
  </r>
  <r>
    <s v="USR-100792"/>
    <d v="2025-03-04T00:00:00"/>
    <x v="1"/>
    <s v="West"/>
    <s v="Mobile"/>
    <s v="Social"/>
    <s v="Free"/>
    <x v="1"/>
    <x v="1"/>
    <x v="0"/>
    <x v="0"/>
    <n v="0"/>
    <n v="1"/>
    <n v="0"/>
    <m/>
    <n v="41.2"/>
  </r>
  <r>
    <s v="USR-100793"/>
    <d v="2025-02-22T00:00:00"/>
    <x v="1"/>
    <s v="South"/>
    <s v="Mobile"/>
    <s v="Organic"/>
    <s v="Premium"/>
    <x v="0"/>
    <x v="0"/>
    <x v="0"/>
    <x v="0"/>
    <n v="0"/>
    <n v="0"/>
    <n v="0"/>
    <m/>
    <n v="66.7"/>
  </r>
  <r>
    <s v="USR-100794"/>
    <d v="2025-05-02T00:00:00"/>
    <x v="1"/>
    <s v="North"/>
    <s v="Mobile"/>
    <s v="Paid Search"/>
    <s v="Premium"/>
    <x v="0"/>
    <x v="0"/>
    <x v="0"/>
    <x v="0"/>
    <n v="0"/>
    <n v="0"/>
    <n v="0"/>
    <m/>
    <n v="39.4"/>
  </r>
  <r>
    <s v="USR-100795"/>
    <d v="2025-03-13T00:00:00"/>
    <x v="1"/>
    <s v="West"/>
    <s v="Desktop"/>
    <s v="Organic"/>
    <s v="Premium"/>
    <x v="0"/>
    <x v="0"/>
    <x v="0"/>
    <x v="0"/>
    <n v="0"/>
    <n v="3"/>
    <n v="0"/>
    <m/>
    <n v="67"/>
  </r>
  <r>
    <s v="USR-100796"/>
    <d v="2025-05-31T00:00:00"/>
    <x v="1"/>
    <s v="South"/>
    <s v="Mobile"/>
    <s v="Organic"/>
    <s v="Basic"/>
    <x v="1"/>
    <x v="0"/>
    <x v="0"/>
    <x v="0"/>
    <n v="0"/>
    <n v="0"/>
    <n v="0"/>
    <m/>
    <n v="50.4"/>
  </r>
  <r>
    <s v="USR-100797"/>
    <d v="2025-03-07T00:00:00"/>
    <x v="1"/>
    <s v="West"/>
    <s v="Desktop"/>
    <s v="Social"/>
    <s v="Free"/>
    <x v="1"/>
    <x v="0"/>
    <x v="0"/>
    <x v="0"/>
    <n v="0"/>
    <n v="0"/>
    <n v="0"/>
    <m/>
    <n v="53.8"/>
  </r>
  <r>
    <s v="USR-100798"/>
    <d v="2025-02-22T00:00:00"/>
    <x v="1"/>
    <s v="West"/>
    <s v="Mobile"/>
    <s v="Paid Search"/>
    <s v="Basic"/>
    <x v="0"/>
    <x v="0"/>
    <x v="0"/>
    <x v="0"/>
    <n v="0"/>
    <n v="1"/>
    <n v="0"/>
    <m/>
    <n v="82.7"/>
  </r>
  <r>
    <s v="USR-100799"/>
    <d v="2025-01-05T00:00:00"/>
    <x v="1"/>
    <s v="West"/>
    <s v="Desktop"/>
    <s v="Paid Search"/>
    <s v="Free"/>
    <x v="1"/>
    <x v="1"/>
    <x v="1"/>
    <x v="0"/>
    <n v="0"/>
    <n v="0"/>
    <n v="0"/>
    <m/>
    <n v="63.9"/>
  </r>
  <r>
    <s v="USR-100800"/>
    <d v="2025-01-21T00:00:00"/>
    <x v="1"/>
    <s v="West"/>
    <s v="Mobile"/>
    <s v="Referral"/>
    <s v="Free"/>
    <x v="1"/>
    <x v="0"/>
    <x v="0"/>
    <x v="0"/>
    <n v="0"/>
    <n v="0"/>
    <n v="0"/>
    <m/>
    <n v="61.9"/>
  </r>
  <r>
    <s v="USR-100801"/>
    <d v="2025-01-25T00:00:00"/>
    <x v="1"/>
    <s v="North"/>
    <s v="Desktop"/>
    <s v="Social"/>
    <s v="Free"/>
    <x v="1"/>
    <x v="1"/>
    <x v="1"/>
    <x v="0"/>
    <n v="0"/>
    <n v="0"/>
    <n v="0"/>
    <m/>
    <n v="75"/>
  </r>
  <r>
    <s v="USR-100802"/>
    <d v="2025-04-04T00:00:00"/>
    <x v="1"/>
    <s v="West"/>
    <s v="Mobile"/>
    <s v="Paid Search"/>
    <s v="Basic"/>
    <x v="1"/>
    <x v="1"/>
    <x v="1"/>
    <x v="0"/>
    <n v="0"/>
    <n v="0"/>
    <n v="0"/>
    <m/>
    <n v="43"/>
  </r>
  <r>
    <s v="USR-100803"/>
    <d v="2025-03-25T00:00:00"/>
    <x v="1"/>
    <s v="North"/>
    <s v="Desktop"/>
    <s v="Social"/>
    <s v="Premium"/>
    <x v="0"/>
    <x v="0"/>
    <x v="0"/>
    <x v="0"/>
    <n v="0"/>
    <n v="0"/>
    <n v="0"/>
    <m/>
    <n v="54.3"/>
  </r>
  <r>
    <s v="USR-100804"/>
    <d v="2025-03-19T00:00:00"/>
    <x v="1"/>
    <s v="West"/>
    <s v="Mobile"/>
    <s v="Social"/>
    <s v="Free"/>
    <x v="0"/>
    <x v="0"/>
    <x v="0"/>
    <x v="0"/>
    <n v="0"/>
    <n v="2"/>
    <n v="0"/>
    <m/>
    <n v="44.3"/>
  </r>
  <r>
    <s v="USR-100805"/>
    <d v="2025-04-24T00:00:00"/>
    <x v="1"/>
    <s v="West"/>
    <s v="Desktop"/>
    <s v="Organic"/>
    <s v="Free"/>
    <x v="1"/>
    <x v="1"/>
    <x v="1"/>
    <x v="1"/>
    <n v="402.88"/>
    <n v="0"/>
    <n v="0"/>
    <n v="12"/>
    <n v="76"/>
  </r>
  <r>
    <s v="USR-100806"/>
    <d v="2025-04-04T00:00:00"/>
    <x v="1"/>
    <s v="South"/>
    <s v="Tablet"/>
    <s v="Organic"/>
    <s v="Free"/>
    <x v="1"/>
    <x v="0"/>
    <x v="0"/>
    <x v="0"/>
    <n v="0"/>
    <n v="2"/>
    <n v="0"/>
    <m/>
    <n v="65.3"/>
  </r>
  <r>
    <s v="USR-100807"/>
    <d v="2025-03-28T00:00:00"/>
    <x v="1"/>
    <s v="South"/>
    <s v="Desktop"/>
    <s v="Paid Search"/>
    <s v="Premium"/>
    <x v="1"/>
    <x v="0"/>
    <x v="0"/>
    <x v="0"/>
    <n v="0"/>
    <n v="0"/>
    <n v="0"/>
    <m/>
    <n v="71.2"/>
  </r>
  <r>
    <s v="USR-100808"/>
    <d v="2025-05-15T00:00:00"/>
    <x v="1"/>
    <s v="South"/>
    <s v="Tablet"/>
    <s v="Paid Search"/>
    <s v="Free"/>
    <x v="1"/>
    <x v="0"/>
    <x v="0"/>
    <x v="0"/>
    <n v="0"/>
    <n v="0"/>
    <n v="0"/>
    <m/>
    <n v="77.900000000000006"/>
  </r>
  <r>
    <s v="USR-100809"/>
    <d v="2025-03-13T00:00:00"/>
    <x v="1"/>
    <s v="West"/>
    <s v="Mobile"/>
    <s v="Paid Search"/>
    <s v="Free"/>
    <x v="0"/>
    <x v="0"/>
    <x v="0"/>
    <x v="0"/>
    <n v="0"/>
    <n v="0"/>
    <n v="0"/>
    <m/>
    <n v="48.6"/>
  </r>
  <r>
    <s v="USR-100810"/>
    <d v="2025-03-26T00:00:00"/>
    <x v="1"/>
    <s v="North"/>
    <s v="Mobile"/>
    <s v="Social"/>
    <s v="Premium"/>
    <x v="1"/>
    <x v="0"/>
    <x v="0"/>
    <x v="0"/>
    <n v="0"/>
    <n v="0"/>
    <n v="0"/>
    <m/>
    <n v="61.9"/>
  </r>
  <r>
    <s v="USR-100811"/>
    <d v="2025-01-09T00:00:00"/>
    <x v="1"/>
    <s v="North"/>
    <s v="Mobile"/>
    <s v="Social"/>
    <s v="Basic"/>
    <x v="0"/>
    <x v="0"/>
    <x v="0"/>
    <x v="0"/>
    <n v="0"/>
    <n v="1"/>
    <n v="0"/>
    <m/>
    <n v="58.7"/>
  </r>
  <r>
    <s v="USR-100812"/>
    <d v="2025-05-06T00:00:00"/>
    <x v="1"/>
    <s v="South"/>
    <s v="Desktop"/>
    <s v="Paid Search"/>
    <s v="Free"/>
    <x v="1"/>
    <x v="0"/>
    <x v="0"/>
    <x v="0"/>
    <n v="0"/>
    <n v="0"/>
    <n v="0"/>
    <m/>
    <n v="69.599999999999994"/>
  </r>
  <r>
    <s v="USR-100813"/>
    <d v="2025-02-17T00:00:00"/>
    <x v="1"/>
    <s v="South"/>
    <s v="Mobile"/>
    <s v="Organic"/>
    <s v="Free"/>
    <x v="1"/>
    <x v="0"/>
    <x v="0"/>
    <x v="0"/>
    <n v="0"/>
    <n v="0"/>
    <n v="0"/>
    <m/>
    <n v="51.5"/>
  </r>
  <r>
    <s v="USR-100814"/>
    <d v="2025-04-05T00:00:00"/>
    <x v="1"/>
    <s v="East"/>
    <s v="Mobile"/>
    <s v="Paid Search"/>
    <s v="Free"/>
    <x v="1"/>
    <x v="1"/>
    <x v="1"/>
    <x v="1"/>
    <n v="277.69"/>
    <n v="3"/>
    <n v="0"/>
    <n v="8"/>
    <n v="46"/>
  </r>
  <r>
    <s v="USR-100815"/>
    <d v="2025-04-13T00:00:00"/>
    <x v="1"/>
    <s v="West"/>
    <s v="Tablet"/>
    <s v="Organic"/>
    <s v="Free"/>
    <x v="1"/>
    <x v="0"/>
    <x v="0"/>
    <x v="0"/>
    <n v="0"/>
    <n v="0"/>
    <n v="0"/>
    <m/>
    <n v="81.7"/>
  </r>
  <r>
    <s v="USR-100816"/>
    <d v="2025-05-20T00:00:00"/>
    <x v="1"/>
    <s v="East"/>
    <s v="Desktop"/>
    <s v="Referral"/>
    <s v="Free"/>
    <x v="1"/>
    <x v="0"/>
    <x v="0"/>
    <x v="0"/>
    <n v="0"/>
    <n v="0"/>
    <n v="0"/>
    <m/>
    <n v="48.3"/>
  </r>
  <r>
    <s v="USR-100817"/>
    <d v="2025-03-31T00:00:00"/>
    <x v="1"/>
    <s v="East"/>
    <s v="Mobile"/>
    <s v="Email"/>
    <s v="Free"/>
    <x v="1"/>
    <x v="1"/>
    <x v="0"/>
    <x v="0"/>
    <n v="0"/>
    <n v="0"/>
    <n v="0"/>
    <m/>
    <n v="85.6"/>
  </r>
  <r>
    <s v="USR-100818"/>
    <d v="2025-04-03T00:00:00"/>
    <x v="1"/>
    <s v="West"/>
    <s v="Tablet"/>
    <s v="Paid Search"/>
    <s v="Basic"/>
    <x v="1"/>
    <x v="0"/>
    <x v="0"/>
    <x v="0"/>
    <n v="0"/>
    <n v="0"/>
    <n v="0"/>
    <m/>
    <n v="53.8"/>
  </r>
  <r>
    <s v="USR-100819"/>
    <d v="2025-02-04T00:00:00"/>
    <x v="1"/>
    <s v="South"/>
    <s v="Mobile"/>
    <s v="Organic"/>
    <s v="Free"/>
    <x v="1"/>
    <x v="1"/>
    <x v="1"/>
    <x v="1"/>
    <n v="460.83"/>
    <n v="2"/>
    <n v="0"/>
    <n v="0"/>
    <n v="69.7"/>
  </r>
  <r>
    <s v="USR-100820"/>
    <d v="2025-05-19T00:00:00"/>
    <x v="1"/>
    <s v="East"/>
    <s v="Mobile"/>
    <s v="Organic"/>
    <s v="Free"/>
    <x v="1"/>
    <x v="0"/>
    <x v="0"/>
    <x v="0"/>
    <n v="0"/>
    <n v="0"/>
    <n v="0"/>
    <m/>
    <n v="74.8"/>
  </r>
  <r>
    <s v="USR-100821"/>
    <d v="2025-03-08T00:00:00"/>
    <x v="1"/>
    <s v="East"/>
    <s v="Desktop"/>
    <s v="Paid Search"/>
    <s v="Basic"/>
    <x v="0"/>
    <x v="0"/>
    <x v="0"/>
    <x v="0"/>
    <n v="0"/>
    <n v="0"/>
    <n v="0"/>
    <m/>
    <n v="87.9"/>
  </r>
  <r>
    <s v="USR-100822"/>
    <d v="2025-05-10T00:00:00"/>
    <x v="1"/>
    <s v="North"/>
    <s v="Mobile"/>
    <s v="Social"/>
    <s v="Basic"/>
    <x v="1"/>
    <x v="0"/>
    <x v="0"/>
    <x v="0"/>
    <n v="0"/>
    <n v="1"/>
    <n v="0"/>
    <m/>
    <n v="49.1"/>
  </r>
  <r>
    <s v="USR-100823"/>
    <d v="2025-01-02T00:00:00"/>
    <x v="1"/>
    <s v="East"/>
    <s v="Desktop"/>
    <s v="Social"/>
    <s v="Basic"/>
    <x v="1"/>
    <x v="0"/>
    <x v="0"/>
    <x v="0"/>
    <n v="0"/>
    <n v="2"/>
    <n v="0"/>
    <m/>
    <n v="73"/>
  </r>
  <r>
    <s v="USR-100824"/>
    <d v="2025-01-17T00:00:00"/>
    <x v="1"/>
    <s v="West"/>
    <s v="Mobile"/>
    <s v="Organic"/>
    <s v="Basic"/>
    <x v="0"/>
    <x v="0"/>
    <x v="0"/>
    <x v="0"/>
    <n v="0"/>
    <n v="0"/>
    <n v="0"/>
    <m/>
    <n v="79.5"/>
  </r>
  <r>
    <s v="USR-100825"/>
    <d v="2025-05-21T00:00:00"/>
    <x v="1"/>
    <s v="West"/>
    <s v="Mobile"/>
    <s v="Referral"/>
    <s v="Basic"/>
    <x v="1"/>
    <x v="1"/>
    <x v="1"/>
    <x v="1"/>
    <n v="782.23"/>
    <n v="1"/>
    <n v="0"/>
    <n v="6"/>
    <n v="93.2"/>
  </r>
  <r>
    <s v="USR-100826"/>
    <d v="2025-05-25T00:00:00"/>
    <x v="1"/>
    <s v="East"/>
    <s v="Desktop"/>
    <s v="Referral"/>
    <s v="Free"/>
    <x v="1"/>
    <x v="0"/>
    <x v="0"/>
    <x v="0"/>
    <n v="0"/>
    <n v="3"/>
    <n v="0"/>
    <m/>
    <n v="77.5"/>
  </r>
  <r>
    <s v="USR-100827"/>
    <d v="2025-01-05T00:00:00"/>
    <x v="1"/>
    <s v="West"/>
    <s v="Mobile"/>
    <s v="Email"/>
    <s v="Basic"/>
    <x v="1"/>
    <x v="0"/>
    <x v="0"/>
    <x v="0"/>
    <n v="0"/>
    <n v="0"/>
    <n v="0"/>
    <m/>
    <n v="61"/>
  </r>
  <r>
    <s v="USR-100828"/>
    <d v="2025-02-24T00:00:00"/>
    <x v="1"/>
    <s v="South"/>
    <s v="Desktop"/>
    <s v="Organic"/>
    <s v="Free"/>
    <x v="1"/>
    <x v="1"/>
    <x v="0"/>
    <x v="0"/>
    <n v="0"/>
    <n v="0"/>
    <n v="0"/>
    <m/>
    <n v="64.900000000000006"/>
  </r>
  <r>
    <s v="USR-100829"/>
    <d v="2025-01-21T00:00:00"/>
    <x v="1"/>
    <s v="East"/>
    <s v="Mobile"/>
    <s v="Paid Search"/>
    <s v="Basic"/>
    <x v="1"/>
    <x v="0"/>
    <x v="0"/>
    <x v="0"/>
    <n v="0"/>
    <n v="0"/>
    <n v="0"/>
    <m/>
    <n v="87.5"/>
  </r>
  <r>
    <s v="USR-100830"/>
    <d v="2025-04-24T00:00:00"/>
    <x v="1"/>
    <s v="North"/>
    <s v="Mobile"/>
    <s v="Organic"/>
    <s v="Basic"/>
    <x v="1"/>
    <x v="1"/>
    <x v="1"/>
    <x v="1"/>
    <n v="1171.99"/>
    <n v="0"/>
    <n v="0"/>
    <n v="5"/>
    <n v="80.599999999999994"/>
  </r>
  <r>
    <s v="USR-100831"/>
    <d v="2025-01-07T00:00:00"/>
    <x v="1"/>
    <s v="West"/>
    <s v="Desktop"/>
    <s v="Organic"/>
    <s v="Free"/>
    <x v="1"/>
    <x v="0"/>
    <x v="0"/>
    <x v="0"/>
    <n v="0"/>
    <n v="0"/>
    <n v="0"/>
    <m/>
    <n v="66.900000000000006"/>
  </r>
  <r>
    <s v="USR-100832"/>
    <d v="2025-05-31T00:00:00"/>
    <x v="1"/>
    <s v="South"/>
    <s v="Tablet"/>
    <s v="Organic"/>
    <s v="Basic"/>
    <x v="1"/>
    <x v="1"/>
    <x v="1"/>
    <x v="0"/>
    <n v="0"/>
    <n v="0"/>
    <n v="0"/>
    <m/>
    <n v="58.8"/>
  </r>
  <r>
    <s v="USR-100833"/>
    <d v="2025-04-02T00:00:00"/>
    <x v="1"/>
    <s v="North"/>
    <s v="Desktop"/>
    <s v="Organic"/>
    <s v="Basic"/>
    <x v="1"/>
    <x v="1"/>
    <x v="1"/>
    <x v="1"/>
    <n v="1010.4"/>
    <n v="0"/>
    <n v="0"/>
    <n v="4"/>
    <n v="42.9"/>
  </r>
  <r>
    <s v="USR-100834"/>
    <d v="2025-04-21T00:00:00"/>
    <x v="1"/>
    <s v="East"/>
    <s v="Mobile"/>
    <s v="Organic"/>
    <s v="Free"/>
    <x v="1"/>
    <x v="1"/>
    <x v="1"/>
    <x v="0"/>
    <n v="0"/>
    <n v="1"/>
    <n v="0"/>
    <m/>
    <n v="60.2"/>
  </r>
  <r>
    <s v="USR-100835"/>
    <d v="2025-05-05T00:00:00"/>
    <x v="1"/>
    <s v="East"/>
    <s v="Mobile"/>
    <s v="Paid Search"/>
    <s v="Basic"/>
    <x v="1"/>
    <x v="0"/>
    <x v="0"/>
    <x v="0"/>
    <n v="0"/>
    <n v="0"/>
    <n v="0"/>
    <m/>
    <n v="42.7"/>
  </r>
  <r>
    <s v="USR-100836"/>
    <d v="2025-01-06T00:00:00"/>
    <x v="1"/>
    <s v="North"/>
    <s v="Desktop"/>
    <s v="Social"/>
    <s v="Free"/>
    <x v="1"/>
    <x v="1"/>
    <x v="1"/>
    <x v="1"/>
    <n v="431.27"/>
    <n v="0"/>
    <n v="0"/>
    <n v="7"/>
    <n v="60.8"/>
  </r>
  <r>
    <s v="USR-100837"/>
    <d v="2025-04-24T00:00:00"/>
    <x v="1"/>
    <s v="South"/>
    <s v="Mobile"/>
    <s v="Referral"/>
    <s v="Free"/>
    <x v="1"/>
    <x v="1"/>
    <x v="1"/>
    <x v="1"/>
    <n v="428.8"/>
    <n v="0"/>
    <n v="0"/>
    <n v="9"/>
    <n v="79.3"/>
  </r>
  <r>
    <s v="USR-100838"/>
    <d v="2025-04-21T00:00:00"/>
    <x v="1"/>
    <s v="South"/>
    <s v="Mobile"/>
    <s v="Organic"/>
    <s v="Basic"/>
    <x v="1"/>
    <x v="0"/>
    <x v="0"/>
    <x v="0"/>
    <n v="0"/>
    <n v="1"/>
    <n v="0"/>
    <m/>
    <n v="88.6"/>
  </r>
  <r>
    <s v="USR-100839"/>
    <d v="2025-02-09T00:00:00"/>
    <x v="1"/>
    <s v="West"/>
    <s v="Mobile"/>
    <s v="Organic"/>
    <s v="Basic"/>
    <x v="1"/>
    <x v="1"/>
    <x v="1"/>
    <x v="0"/>
    <n v="0"/>
    <n v="0"/>
    <n v="0"/>
    <m/>
    <n v="63.1"/>
  </r>
  <r>
    <s v="USR-100840"/>
    <d v="2025-01-09T00:00:00"/>
    <x v="1"/>
    <s v="East"/>
    <s v="Mobile"/>
    <s v="Organic"/>
    <s v="Premium"/>
    <x v="1"/>
    <x v="0"/>
    <x v="0"/>
    <x v="0"/>
    <n v="0"/>
    <n v="0"/>
    <n v="0"/>
    <m/>
    <n v="39.700000000000003"/>
  </r>
  <r>
    <s v="USR-100841"/>
    <d v="2025-02-16T00:00:00"/>
    <x v="1"/>
    <s v="North"/>
    <s v="Mobile"/>
    <s v="Paid Search"/>
    <s v="Basic"/>
    <x v="0"/>
    <x v="0"/>
    <x v="0"/>
    <x v="0"/>
    <n v="0"/>
    <n v="0"/>
    <n v="0"/>
    <m/>
    <n v="67.2"/>
  </r>
  <r>
    <s v="USR-100842"/>
    <d v="2025-02-21T00:00:00"/>
    <x v="1"/>
    <s v="South"/>
    <s v="Mobile"/>
    <s v="Organic"/>
    <s v="Free"/>
    <x v="1"/>
    <x v="1"/>
    <x v="1"/>
    <x v="0"/>
    <n v="0"/>
    <n v="0"/>
    <n v="0"/>
    <m/>
    <n v="62.3"/>
  </r>
  <r>
    <s v="USR-100843"/>
    <d v="2025-02-08T00:00:00"/>
    <x v="1"/>
    <s v="South"/>
    <s v="Mobile"/>
    <s v="Organic"/>
    <s v="Premium"/>
    <x v="1"/>
    <x v="0"/>
    <x v="0"/>
    <x v="0"/>
    <n v="0"/>
    <n v="0"/>
    <n v="0"/>
    <m/>
    <m/>
  </r>
  <r>
    <s v="USR-100844"/>
    <d v="2025-01-22T00:00:00"/>
    <x v="1"/>
    <s v="South"/>
    <s v="Mobile"/>
    <s v="Paid Search"/>
    <s v="Premium"/>
    <x v="0"/>
    <x v="0"/>
    <x v="0"/>
    <x v="0"/>
    <n v="0"/>
    <n v="0"/>
    <n v="0"/>
    <m/>
    <n v="60.7"/>
  </r>
  <r>
    <s v="USR-100845"/>
    <d v="2025-04-01T00:00:00"/>
    <x v="1"/>
    <s v="West"/>
    <s v="Mobile"/>
    <s v="Organic"/>
    <s v="Basic"/>
    <x v="1"/>
    <x v="0"/>
    <x v="0"/>
    <x v="0"/>
    <n v="0"/>
    <n v="0"/>
    <n v="0"/>
    <m/>
    <n v="61.5"/>
  </r>
  <r>
    <s v="USR-100846"/>
    <d v="2025-01-21T00:00:00"/>
    <x v="1"/>
    <s v="North"/>
    <s v="Mobile"/>
    <s v="Paid Search"/>
    <s v="Basic"/>
    <x v="1"/>
    <x v="0"/>
    <x v="0"/>
    <x v="0"/>
    <n v="0"/>
    <n v="0"/>
    <n v="0"/>
    <m/>
    <n v="75"/>
  </r>
  <r>
    <s v="USR-100847"/>
    <d v="2025-01-02T00:00:00"/>
    <x v="1"/>
    <s v="East"/>
    <s v="Desktop"/>
    <s v="Organic"/>
    <s v="Free"/>
    <x v="1"/>
    <x v="1"/>
    <x v="0"/>
    <x v="0"/>
    <n v="0"/>
    <n v="0"/>
    <n v="0"/>
    <m/>
    <n v="51.9"/>
  </r>
  <r>
    <s v="USR-100848"/>
    <d v="2025-05-12T00:00:00"/>
    <x v="1"/>
    <s v="South"/>
    <s v="Desktop"/>
    <s v="Paid Search"/>
    <s v="Free"/>
    <x v="0"/>
    <x v="0"/>
    <x v="0"/>
    <x v="0"/>
    <n v="0"/>
    <n v="0"/>
    <n v="0"/>
    <m/>
    <n v="34.5"/>
  </r>
  <r>
    <s v="USR-100849"/>
    <d v="2025-03-05T00:00:00"/>
    <x v="1"/>
    <s v="South"/>
    <s v="Mobile"/>
    <s v="Social"/>
    <s v="Basic"/>
    <x v="0"/>
    <x v="0"/>
    <x v="0"/>
    <x v="0"/>
    <n v="0"/>
    <n v="0"/>
    <n v="0"/>
    <m/>
    <n v="54.5"/>
  </r>
  <r>
    <s v="USR-100850"/>
    <d v="2025-01-24T00:00:00"/>
    <x v="1"/>
    <s v="East"/>
    <s v="Mobile"/>
    <s v="Organic"/>
    <s v="Free"/>
    <x v="0"/>
    <x v="0"/>
    <x v="0"/>
    <x v="0"/>
    <n v="0"/>
    <n v="0"/>
    <n v="0"/>
    <m/>
    <n v="46"/>
  </r>
  <r>
    <s v="USR-100851"/>
    <d v="2025-01-31T00:00:00"/>
    <x v="1"/>
    <s v="East"/>
    <s v="Desktop"/>
    <s v="Email"/>
    <s v="Free"/>
    <x v="1"/>
    <x v="1"/>
    <x v="1"/>
    <x v="0"/>
    <n v="0"/>
    <n v="0"/>
    <n v="0"/>
    <m/>
    <n v="88.4"/>
  </r>
  <r>
    <s v="USR-100852"/>
    <d v="2025-01-24T00:00:00"/>
    <x v="1"/>
    <s v="North"/>
    <s v="Tablet"/>
    <s v="Organic"/>
    <s v="Basic"/>
    <x v="1"/>
    <x v="0"/>
    <x v="0"/>
    <x v="0"/>
    <n v="0"/>
    <n v="0"/>
    <n v="0"/>
    <m/>
    <n v="69.5"/>
  </r>
  <r>
    <s v="USR-100853"/>
    <d v="2025-02-14T00:00:00"/>
    <x v="1"/>
    <s v="North"/>
    <s v="Desktop"/>
    <s v="Referral"/>
    <s v="Basic"/>
    <x v="1"/>
    <x v="1"/>
    <x v="1"/>
    <x v="0"/>
    <n v="0"/>
    <n v="0"/>
    <n v="0"/>
    <m/>
    <n v="74.2"/>
  </r>
  <r>
    <s v="USR-100854"/>
    <d v="2025-05-27T00:00:00"/>
    <x v="1"/>
    <s v="North"/>
    <s v="Mobile"/>
    <s v="Organic"/>
    <s v="Free"/>
    <x v="1"/>
    <x v="1"/>
    <x v="1"/>
    <x v="0"/>
    <n v="0"/>
    <n v="0"/>
    <n v="0"/>
    <m/>
    <n v="72.099999999999994"/>
  </r>
  <r>
    <s v="USR-100855"/>
    <d v="2025-02-28T00:00:00"/>
    <x v="1"/>
    <s v="North"/>
    <s v="Mobile"/>
    <s v="Paid Search"/>
    <s v="Free"/>
    <x v="1"/>
    <x v="1"/>
    <x v="1"/>
    <x v="1"/>
    <n v="398.33"/>
    <n v="0"/>
    <n v="0"/>
    <n v="5"/>
    <n v="85.1"/>
  </r>
  <r>
    <s v="USR-100856"/>
    <d v="2025-05-27T00:00:00"/>
    <x v="1"/>
    <s v="North"/>
    <s v="Mobile"/>
    <s v="Organic"/>
    <s v="Basic"/>
    <x v="1"/>
    <x v="1"/>
    <x v="1"/>
    <x v="0"/>
    <n v="0"/>
    <n v="0"/>
    <n v="0"/>
    <m/>
    <n v="49.5"/>
  </r>
  <r>
    <s v="USR-100857"/>
    <d v="2025-05-17T00:00:00"/>
    <x v="1"/>
    <s v="South"/>
    <s v="Mobile"/>
    <s v="Paid Search"/>
    <s v="Premium"/>
    <x v="0"/>
    <x v="0"/>
    <x v="0"/>
    <x v="0"/>
    <n v="0"/>
    <n v="1"/>
    <n v="0"/>
    <m/>
    <n v="79"/>
  </r>
  <r>
    <s v="USR-100858"/>
    <d v="2025-01-10T00:00:00"/>
    <x v="1"/>
    <s v="West"/>
    <s v="Desktop"/>
    <s v="Social"/>
    <s v="Free"/>
    <x v="0"/>
    <x v="0"/>
    <x v="0"/>
    <x v="0"/>
    <n v="0"/>
    <n v="0"/>
    <n v="0"/>
    <m/>
    <n v="71.8"/>
  </r>
  <r>
    <s v="USR-100859"/>
    <d v="2025-04-22T00:00:00"/>
    <x v="1"/>
    <s v="North"/>
    <s v="Mobile"/>
    <s v="Email"/>
    <s v="Basic"/>
    <x v="1"/>
    <x v="1"/>
    <x v="1"/>
    <x v="1"/>
    <n v="1117.54"/>
    <n v="0"/>
    <n v="0"/>
    <n v="6"/>
    <n v="60.4"/>
  </r>
  <r>
    <s v="USR-100860"/>
    <d v="2025-03-02T00:00:00"/>
    <x v="1"/>
    <s v="South"/>
    <s v="Desktop"/>
    <s v="Organic"/>
    <s v="Basic"/>
    <x v="1"/>
    <x v="0"/>
    <x v="0"/>
    <x v="0"/>
    <n v="0"/>
    <n v="2"/>
    <n v="0"/>
    <m/>
    <n v="38.299999999999997"/>
  </r>
  <r>
    <s v="USR-100861"/>
    <d v="2025-03-23T00:00:00"/>
    <x v="1"/>
    <s v="East"/>
    <s v="Mobile"/>
    <s v="Paid Search"/>
    <s v="Free"/>
    <x v="1"/>
    <x v="1"/>
    <x v="1"/>
    <x v="0"/>
    <n v="0"/>
    <n v="0"/>
    <n v="0"/>
    <m/>
    <n v="79.599999999999994"/>
  </r>
  <r>
    <s v="USR-100862"/>
    <d v="2025-02-12T00:00:00"/>
    <x v="1"/>
    <s v="East"/>
    <s v="Mobile"/>
    <s v="Email"/>
    <s v="Free"/>
    <x v="1"/>
    <x v="1"/>
    <x v="1"/>
    <x v="0"/>
    <n v="0"/>
    <n v="0"/>
    <n v="0"/>
    <m/>
    <n v="71.900000000000006"/>
  </r>
  <r>
    <s v="USR-100863"/>
    <d v="2025-05-03T00:00:00"/>
    <x v="1"/>
    <s v="South"/>
    <s v="Mobile"/>
    <s v="Referral"/>
    <s v="Basic"/>
    <x v="1"/>
    <x v="0"/>
    <x v="0"/>
    <x v="0"/>
    <n v="0"/>
    <n v="0"/>
    <n v="0"/>
    <m/>
    <n v="54.6"/>
  </r>
  <r>
    <s v="USR-100864"/>
    <d v="2025-03-28T00:00:00"/>
    <x v="1"/>
    <s v="North"/>
    <s v="Desktop"/>
    <s v="Social"/>
    <s v="Free"/>
    <x v="1"/>
    <x v="0"/>
    <x v="0"/>
    <x v="0"/>
    <n v="0"/>
    <n v="3"/>
    <n v="0"/>
    <m/>
    <n v="49.3"/>
  </r>
  <r>
    <s v="USR-100865"/>
    <d v="2025-03-12T00:00:00"/>
    <x v="1"/>
    <s v="North"/>
    <s v="Mobile"/>
    <s v="Social"/>
    <s v="Basic"/>
    <x v="0"/>
    <x v="0"/>
    <x v="0"/>
    <x v="0"/>
    <n v="0"/>
    <n v="1"/>
    <n v="0"/>
    <m/>
    <n v="66.900000000000006"/>
  </r>
  <r>
    <s v="USR-100866"/>
    <d v="2025-04-27T00:00:00"/>
    <x v="1"/>
    <s v="East"/>
    <s v="Mobile"/>
    <s v="Paid Search"/>
    <s v="Free"/>
    <x v="1"/>
    <x v="0"/>
    <x v="0"/>
    <x v="0"/>
    <n v="0"/>
    <n v="1"/>
    <n v="0"/>
    <m/>
    <n v="77.8"/>
  </r>
  <r>
    <s v="USR-100867"/>
    <d v="2025-04-02T00:00:00"/>
    <x v="1"/>
    <s v="South"/>
    <s v="Mobile"/>
    <s v="Referral"/>
    <s v="Basic"/>
    <x v="1"/>
    <x v="0"/>
    <x v="0"/>
    <x v="0"/>
    <n v="0"/>
    <n v="0"/>
    <n v="0"/>
    <m/>
    <n v="63"/>
  </r>
  <r>
    <s v="USR-100868"/>
    <d v="2025-04-21T00:00:00"/>
    <x v="1"/>
    <s v="North"/>
    <s v="Mobile"/>
    <s v="Social"/>
    <s v="Free"/>
    <x v="0"/>
    <x v="0"/>
    <x v="0"/>
    <x v="0"/>
    <n v="0"/>
    <n v="0"/>
    <n v="0"/>
    <m/>
    <n v="79.8"/>
  </r>
  <r>
    <s v="USR-100869"/>
    <d v="2025-01-26T00:00:00"/>
    <x v="1"/>
    <s v="West"/>
    <s v="Desktop"/>
    <s v="Organic"/>
    <s v="Basic"/>
    <x v="0"/>
    <x v="0"/>
    <x v="0"/>
    <x v="0"/>
    <n v="0"/>
    <n v="0"/>
    <n v="0"/>
    <m/>
    <n v="69.900000000000006"/>
  </r>
  <r>
    <s v="USR-100870"/>
    <d v="2025-01-06T00:00:00"/>
    <x v="1"/>
    <s v="West"/>
    <s v="Mobile"/>
    <s v="Organic"/>
    <s v="Free"/>
    <x v="0"/>
    <x v="0"/>
    <x v="0"/>
    <x v="0"/>
    <n v="0"/>
    <n v="1"/>
    <n v="0"/>
    <m/>
    <n v="66.400000000000006"/>
  </r>
  <r>
    <s v="USR-100871"/>
    <d v="2025-02-07T00:00:00"/>
    <x v="1"/>
    <s v="East"/>
    <s v="Mobile"/>
    <s v="Organic"/>
    <s v="Free"/>
    <x v="1"/>
    <x v="0"/>
    <x v="0"/>
    <x v="0"/>
    <n v="0"/>
    <n v="0"/>
    <n v="0"/>
    <m/>
    <n v="27.6"/>
  </r>
  <r>
    <s v="USR-100872"/>
    <d v="2025-05-07T00:00:00"/>
    <x v="1"/>
    <s v="West"/>
    <s v="Mobile"/>
    <s v="Organic"/>
    <s v="Premium"/>
    <x v="1"/>
    <x v="0"/>
    <x v="0"/>
    <x v="0"/>
    <n v="0"/>
    <n v="1"/>
    <n v="0"/>
    <m/>
    <n v="56.5"/>
  </r>
  <r>
    <s v="USR-100873"/>
    <d v="2025-04-22T00:00:00"/>
    <x v="1"/>
    <s v="West"/>
    <m/>
    <s v="Social"/>
    <s v="Free"/>
    <x v="1"/>
    <x v="0"/>
    <x v="0"/>
    <x v="0"/>
    <n v="0"/>
    <n v="0"/>
    <n v="0"/>
    <m/>
    <n v="67.8"/>
  </r>
  <r>
    <s v="USR-100874"/>
    <d v="2025-05-04T00:00:00"/>
    <x v="1"/>
    <s v="West"/>
    <s v="Desktop"/>
    <s v="Social"/>
    <s v="Free"/>
    <x v="1"/>
    <x v="0"/>
    <x v="0"/>
    <x v="0"/>
    <n v="0"/>
    <n v="0"/>
    <n v="0"/>
    <m/>
    <n v="80"/>
  </r>
  <r>
    <s v="USR-100875"/>
    <d v="2025-05-16T00:00:00"/>
    <x v="1"/>
    <s v="South"/>
    <s v="Mobile"/>
    <s v="Social"/>
    <s v="Basic"/>
    <x v="1"/>
    <x v="1"/>
    <x v="1"/>
    <x v="0"/>
    <n v="0"/>
    <n v="1"/>
    <n v="0"/>
    <m/>
    <n v="80.900000000000006"/>
  </r>
  <r>
    <s v="USR-100876"/>
    <d v="2025-02-11T00:00:00"/>
    <x v="1"/>
    <s v="West"/>
    <s v="Mobile"/>
    <s v="Paid Search"/>
    <s v="Free"/>
    <x v="0"/>
    <x v="0"/>
    <x v="0"/>
    <x v="0"/>
    <n v="0"/>
    <n v="0"/>
    <n v="0"/>
    <m/>
    <n v="34.5"/>
  </r>
  <r>
    <s v="USR-100877"/>
    <d v="2025-05-09T00:00:00"/>
    <x v="1"/>
    <s v="East"/>
    <s v="Desktop"/>
    <s v="Organic"/>
    <s v="Premium"/>
    <x v="1"/>
    <x v="0"/>
    <x v="0"/>
    <x v="0"/>
    <n v="0"/>
    <n v="0"/>
    <n v="0"/>
    <m/>
    <n v="73.5"/>
  </r>
  <r>
    <s v="USR-100878"/>
    <d v="2025-02-09T00:00:00"/>
    <x v="1"/>
    <s v="South"/>
    <s v="Desktop"/>
    <s v="Paid Search"/>
    <s v="Free"/>
    <x v="1"/>
    <x v="1"/>
    <x v="0"/>
    <x v="0"/>
    <n v="0"/>
    <n v="0"/>
    <n v="0"/>
    <m/>
    <n v="70"/>
  </r>
  <r>
    <s v="USR-100879"/>
    <d v="2025-05-22T00:00:00"/>
    <x v="1"/>
    <s v="West"/>
    <s v="Mobile"/>
    <s v="Social"/>
    <s v="Basic"/>
    <x v="0"/>
    <x v="0"/>
    <x v="0"/>
    <x v="0"/>
    <n v="0"/>
    <n v="0"/>
    <n v="0"/>
    <m/>
    <n v="86.9"/>
  </r>
  <r>
    <s v="USR-100880"/>
    <d v="2025-05-24T00:00:00"/>
    <x v="1"/>
    <s v="East"/>
    <s v="Mobile"/>
    <s v="Social"/>
    <s v="Basic"/>
    <x v="0"/>
    <x v="0"/>
    <x v="0"/>
    <x v="0"/>
    <n v="0"/>
    <n v="0"/>
    <n v="0"/>
    <m/>
    <n v="66.900000000000006"/>
  </r>
  <r>
    <s v="USR-100881"/>
    <d v="2025-04-27T00:00:00"/>
    <x v="1"/>
    <s v="South"/>
    <s v="Desktop"/>
    <s v="Social"/>
    <s v="Basic"/>
    <x v="1"/>
    <x v="1"/>
    <x v="1"/>
    <x v="0"/>
    <n v="0"/>
    <n v="0"/>
    <n v="0"/>
    <m/>
    <n v="58.3"/>
  </r>
  <r>
    <s v="USR-100882"/>
    <d v="2025-03-19T00:00:00"/>
    <x v="1"/>
    <s v="East"/>
    <s v="Mobile"/>
    <s v="Paid Search"/>
    <s v="Free"/>
    <x v="1"/>
    <x v="0"/>
    <x v="0"/>
    <x v="0"/>
    <n v="0"/>
    <n v="0"/>
    <n v="0"/>
    <m/>
    <n v="45"/>
  </r>
  <r>
    <s v="USR-100883"/>
    <d v="2025-05-20T00:00:00"/>
    <x v="1"/>
    <s v="South"/>
    <s v="Mobile"/>
    <s v="Organic"/>
    <s v="Premium"/>
    <x v="0"/>
    <x v="0"/>
    <x v="0"/>
    <x v="0"/>
    <n v="0"/>
    <n v="0"/>
    <n v="0"/>
    <m/>
    <n v="60.8"/>
  </r>
  <r>
    <s v="USR-100884"/>
    <d v="2025-05-10T00:00:00"/>
    <x v="1"/>
    <s v="North"/>
    <s v="Mobile"/>
    <s v="Email"/>
    <s v="Premium"/>
    <x v="1"/>
    <x v="0"/>
    <x v="0"/>
    <x v="0"/>
    <n v="0"/>
    <n v="4"/>
    <n v="0"/>
    <m/>
    <n v="53.7"/>
  </r>
  <r>
    <s v="USR-100885"/>
    <d v="2025-03-29T00:00:00"/>
    <x v="1"/>
    <s v="East"/>
    <s v="Mobile"/>
    <s v="Social"/>
    <s v="Free"/>
    <x v="1"/>
    <x v="1"/>
    <x v="1"/>
    <x v="0"/>
    <n v="0"/>
    <n v="0"/>
    <n v="0"/>
    <m/>
    <n v="48.8"/>
  </r>
  <r>
    <s v="USR-100886"/>
    <d v="2025-04-03T00:00:00"/>
    <x v="1"/>
    <s v="West"/>
    <s v="Desktop"/>
    <s v="Referral"/>
    <s v="Basic"/>
    <x v="0"/>
    <x v="0"/>
    <x v="0"/>
    <x v="0"/>
    <n v="0"/>
    <n v="0"/>
    <n v="0"/>
    <m/>
    <n v="52.9"/>
  </r>
  <r>
    <s v="USR-100887"/>
    <d v="2025-05-30T00:00:00"/>
    <x v="1"/>
    <s v="South"/>
    <s v="Mobile"/>
    <s v="Email"/>
    <s v="Free"/>
    <x v="1"/>
    <x v="0"/>
    <x v="0"/>
    <x v="0"/>
    <n v="0"/>
    <n v="0"/>
    <n v="0"/>
    <m/>
    <n v="42.4"/>
  </r>
  <r>
    <s v="USR-100888"/>
    <d v="2025-04-06T00:00:00"/>
    <x v="1"/>
    <s v="East"/>
    <s v="Desktop"/>
    <s v="Email"/>
    <s v="Free"/>
    <x v="1"/>
    <x v="0"/>
    <x v="0"/>
    <x v="0"/>
    <n v="0"/>
    <n v="0"/>
    <n v="0"/>
    <m/>
    <n v="58.7"/>
  </r>
  <r>
    <s v="USR-100889"/>
    <d v="2025-03-14T00:00:00"/>
    <x v="1"/>
    <s v="North"/>
    <s v="Mobile"/>
    <s v="Referral"/>
    <s v="Free"/>
    <x v="1"/>
    <x v="1"/>
    <x v="1"/>
    <x v="1"/>
    <n v="2064.5500000000002"/>
    <n v="0"/>
    <n v="0"/>
    <n v="1"/>
    <n v="67.8"/>
  </r>
  <r>
    <s v="USR-100890"/>
    <d v="2025-02-24T00:00:00"/>
    <x v="1"/>
    <s v="South"/>
    <s v="Desktop"/>
    <s v="Paid Search"/>
    <s v="Basic"/>
    <x v="1"/>
    <x v="0"/>
    <x v="0"/>
    <x v="0"/>
    <n v="0"/>
    <n v="0"/>
    <n v="0"/>
    <m/>
    <n v="62.6"/>
  </r>
  <r>
    <s v="USR-100891"/>
    <d v="2025-03-04T00:00:00"/>
    <x v="1"/>
    <s v="West"/>
    <s v="Mobile"/>
    <s v="Email"/>
    <s v="Basic"/>
    <x v="1"/>
    <x v="0"/>
    <x v="0"/>
    <x v="0"/>
    <n v="0"/>
    <n v="0"/>
    <n v="0"/>
    <m/>
    <n v="82.4"/>
  </r>
  <r>
    <s v="USR-100892"/>
    <d v="2025-04-02T00:00:00"/>
    <x v="1"/>
    <s v="North"/>
    <s v="Mobile"/>
    <s v="Organic"/>
    <s v="Free"/>
    <x v="1"/>
    <x v="1"/>
    <x v="1"/>
    <x v="0"/>
    <n v="0"/>
    <n v="0"/>
    <n v="0"/>
    <m/>
    <n v="50.4"/>
  </r>
  <r>
    <s v="USR-100893"/>
    <d v="2025-05-11T00:00:00"/>
    <x v="1"/>
    <s v="North"/>
    <s v="Mobile"/>
    <s v="Email"/>
    <s v="Premium"/>
    <x v="0"/>
    <x v="0"/>
    <x v="0"/>
    <x v="0"/>
    <n v="0"/>
    <n v="0"/>
    <n v="0"/>
    <m/>
    <n v="68.400000000000006"/>
  </r>
  <r>
    <s v="USR-100894"/>
    <d v="2025-05-10T00:00:00"/>
    <x v="1"/>
    <s v="West"/>
    <s v="Tablet"/>
    <s v="Paid Search"/>
    <s v="Basic"/>
    <x v="1"/>
    <x v="1"/>
    <x v="1"/>
    <x v="0"/>
    <n v="0"/>
    <n v="0"/>
    <n v="0"/>
    <m/>
    <n v="58.8"/>
  </r>
  <r>
    <s v="USR-100895"/>
    <d v="2025-05-06T00:00:00"/>
    <x v="1"/>
    <s v="West"/>
    <s v="Mobile"/>
    <s v="Referral"/>
    <s v="Free"/>
    <x v="1"/>
    <x v="1"/>
    <x v="0"/>
    <x v="0"/>
    <n v="0"/>
    <n v="2"/>
    <n v="0"/>
    <m/>
    <n v="28.3"/>
  </r>
  <r>
    <s v="USR-100896"/>
    <d v="2025-02-11T00:00:00"/>
    <x v="1"/>
    <s v="West"/>
    <s v="Desktop"/>
    <s v="Paid Search"/>
    <s v="Free"/>
    <x v="1"/>
    <x v="1"/>
    <x v="0"/>
    <x v="0"/>
    <n v="0"/>
    <n v="0"/>
    <n v="0"/>
    <m/>
    <n v="44.1"/>
  </r>
  <r>
    <s v="USR-100897"/>
    <d v="2025-05-09T00:00:00"/>
    <x v="1"/>
    <s v="South"/>
    <s v="Mobile"/>
    <s v="Paid Search"/>
    <s v="Premium"/>
    <x v="1"/>
    <x v="1"/>
    <x v="0"/>
    <x v="0"/>
    <n v="0"/>
    <n v="0"/>
    <n v="0"/>
    <m/>
    <n v="66.7"/>
  </r>
  <r>
    <s v="USR-100898"/>
    <d v="2025-02-02T00:00:00"/>
    <x v="1"/>
    <s v="South"/>
    <s v="Mobile"/>
    <m/>
    <s v="Free"/>
    <x v="1"/>
    <x v="0"/>
    <x v="0"/>
    <x v="0"/>
    <n v="0"/>
    <n v="0"/>
    <n v="0"/>
    <m/>
    <n v="100"/>
  </r>
  <r>
    <s v="USR-100899"/>
    <d v="2025-04-03T00:00:00"/>
    <x v="1"/>
    <s v="South"/>
    <s v="Mobile"/>
    <s v="Social"/>
    <s v="Free"/>
    <x v="1"/>
    <x v="1"/>
    <x v="0"/>
    <x v="0"/>
    <n v="0"/>
    <n v="0"/>
    <n v="0"/>
    <m/>
    <n v="87.5"/>
  </r>
  <r>
    <s v="USR-100900"/>
    <d v="2025-02-15T00:00:00"/>
    <x v="1"/>
    <s v="North"/>
    <s v="Desktop"/>
    <s v="Organic"/>
    <s v="Basic"/>
    <x v="1"/>
    <x v="0"/>
    <x v="0"/>
    <x v="0"/>
    <n v="0"/>
    <n v="2"/>
    <n v="0"/>
    <m/>
    <n v="65.400000000000006"/>
  </r>
  <r>
    <s v="USR-100901"/>
    <d v="2025-04-18T00:00:00"/>
    <x v="1"/>
    <s v="South"/>
    <s v="Desktop"/>
    <s v="Organic"/>
    <s v="Free"/>
    <x v="1"/>
    <x v="0"/>
    <x v="0"/>
    <x v="0"/>
    <n v="0"/>
    <n v="0"/>
    <n v="0"/>
    <m/>
    <n v="22.9"/>
  </r>
  <r>
    <s v="USR-100902"/>
    <d v="2025-03-14T00:00:00"/>
    <x v="1"/>
    <s v="West"/>
    <s v="Desktop"/>
    <s v="Organic"/>
    <s v="Premium"/>
    <x v="0"/>
    <x v="0"/>
    <x v="0"/>
    <x v="0"/>
    <n v="0"/>
    <n v="0"/>
    <n v="0"/>
    <m/>
    <n v="64.599999999999994"/>
  </r>
  <r>
    <s v="USR-100903"/>
    <d v="2025-03-29T00:00:00"/>
    <x v="1"/>
    <s v="South"/>
    <s v="Mobile"/>
    <s v="Referral"/>
    <s v="Free"/>
    <x v="1"/>
    <x v="0"/>
    <x v="0"/>
    <x v="0"/>
    <n v="0"/>
    <n v="2"/>
    <n v="0"/>
    <m/>
    <n v="54.4"/>
  </r>
  <r>
    <s v="USR-100904"/>
    <d v="2025-02-13T00:00:00"/>
    <x v="1"/>
    <s v="North"/>
    <s v="Desktop"/>
    <s v="Organic"/>
    <s v="Free"/>
    <x v="1"/>
    <x v="1"/>
    <x v="1"/>
    <x v="0"/>
    <n v="0"/>
    <n v="0"/>
    <n v="0"/>
    <m/>
    <n v="56.8"/>
  </r>
  <r>
    <s v="USR-100905"/>
    <d v="2025-01-23T00:00:00"/>
    <x v="1"/>
    <s v="South"/>
    <s v="Mobile"/>
    <s v="Paid Search"/>
    <s v="Free"/>
    <x v="1"/>
    <x v="1"/>
    <x v="1"/>
    <x v="1"/>
    <n v="341.38"/>
    <n v="0"/>
    <n v="0"/>
    <n v="2"/>
    <n v="63.6"/>
  </r>
  <r>
    <s v="USR-100906"/>
    <d v="2025-02-24T00:00:00"/>
    <x v="1"/>
    <s v="East"/>
    <s v="Mobile"/>
    <s v="Social"/>
    <s v="Free"/>
    <x v="1"/>
    <x v="0"/>
    <x v="0"/>
    <x v="0"/>
    <n v="0"/>
    <n v="0"/>
    <n v="0"/>
    <m/>
    <n v="58.2"/>
  </r>
  <r>
    <s v="USR-100907"/>
    <d v="2025-02-28T00:00:00"/>
    <x v="1"/>
    <s v="West"/>
    <s v="Mobile"/>
    <s v="Paid Search"/>
    <s v="Free"/>
    <x v="1"/>
    <x v="1"/>
    <x v="0"/>
    <x v="0"/>
    <n v="0"/>
    <n v="0"/>
    <n v="0"/>
    <m/>
    <n v="54.6"/>
  </r>
  <r>
    <s v="USR-100908"/>
    <d v="2025-01-07T00:00:00"/>
    <x v="1"/>
    <s v="West"/>
    <s v="Tablet"/>
    <s v="Organic"/>
    <s v="Basic"/>
    <x v="1"/>
    <x v="0"/>
    <x v="0"/>
    <x v="0"/>
    <n v="0"/>
    <n v="0"/>
    <n v="0"/>
    <m/>
    <n v="81.900000000000006"/>
  </r>
  <r>
    <s v="USR-100909"/>
    <d v="2025-03-21T00:00:00"/>
    <x v="1"/>
    <s v="West"/>
    <s v="Desktop"/>
    <s v="Email"/>
    <s v="Free"/>
    <x v="1"/>
    <x v="0"/>
    <x v="0"/>
    <x v="0"/>
    <n v="0"/>
    <n v="3"/>
    <n v="0"/>
    <m/>
    <n v="53.3"/>
  </r>
  <r>
    <s v="USR-100910"/>
    <d v="2025-02-18T00:00:00"/>
    <x v="1"/>
    <s v="North"/>
    <s v="Desktop"/>
    <s v="Organic"/>
    <s v="Basic"/>
    <x v="0"/>
    <x v="0"/>
    <x v="0"/>
    <x v="0"/>
    <n v="0"/>
    <n v="0"/>
    <n v="0"/>
    <m/>
    <n v="54.2"/>
  </r>
  <r>
    <s v="USR-100911"/>
    <d v="2025-01-05T00:00:00"/>
    <x v="1"/>
    <s v="North"/>
    <s v="Mobile"/>
    <s v="Paid Search"/>
    <s v="Free"/>
    <x v="1"/>
    <x v="1"/>
    <x v="0"/>
    <x v="0"/>
    <n v="0"/>
    <n v="0"/>
    <n v="0"/>
    <m/>
    <n v="65.599999999999994"/>
  </r>
  <r>
    <s v="USR-100912"/>
    <d v="2025-03-11T00:00:00"/>
    <x v="1"/>
    <s v="East"/>
    <s v="Desktop"/>
    <s v="Organic"/>
    <s v="Basic"/>
    <x v="1"/>
    <x v="0"/>
    <x v="0"/>
    <x v="0"/>
    <n v="0"/>
    <n v="1"/>
    <n v="0"/>
    <m/>
    <n v="56.5"/>
  </r>
  <r>
    <s v="USR-100913"/>
    <d v="2025-01-09T00:00:00"/>
    <x v="1"/>
    <s v="North"/>
    <s v="Desktop"/>
    <s v="Organic"/>
    <s v="Basic"/>
    <x v="1"/>
    <x v="0"/>
    <x v="0"/>
    <x v="0"/>
    <n v="0"/>
    <n v="0"/>
    <n v="0"/>
    <m/>
    <n v="59.7"/>
  </r>
  <r>
    <s v="USR-100914"/>
    <d v="2025-01-08T00:00:00"/>
    <x v="1"/>
    <s v="South"/>
    <s v="Mobile"/>
    <s v="Organic"/>
    <s v="Free"/>
    <x v="1"/>
    <x v="1"/>
    <x v="1"/>
    <x v="0"/>
    <n v="0"/>
    <n v="0"/>
    <n v="0"/>
    <m/>
    <n v="72.5"/>
  </r>
  <r>
    <s v="USR-100915"/>
    <d v="2025-05-01T00:00:00"/>
    <x v="1"/>
    <s v="East"/>
    <s v="Desktop"/>
    <s v="Paid Search"/>
    <s v="Free"/>
    <x v="1"/>
    <x v="0"/>
    <x v="0"/>
    <x v="0"/>
    <n v="0"/>
    <n v="0"/>
    <n v="0"/>
    <m/>
    <n v="64.3"/>
  </r>
  <r>
    <s v="USR-100916"/>
    <d v="2025-03-03T00:00:00"/>
    <x v="1"/>
    <s v="South"/>
    <s v="Mobile"/>
    <s v="Social"/>
    <s v="Free"/>
    <x v="1"/>
    <x v="0"/>
    <x v="0"/>
    <x v="0"/>
    <n v="0"/>
    <n v="0"/>
    <n v="0"/>
    <m/>
    <n v="64.5"/>
  </r>
  <r>
    <s v="USR-100917"/>
    <d v="2025-02-23T00:00:00"/>
    <x v="1"/>
    <s v="West"/>
    <s v="Desktop"/>
    <s v="Social"/>
    <s v="Basic"/>
    <x v="1"/>
    <x v="1"/>
    <x v="1"/>
    <x v="0"/>
    <n v="0"/>
    <n v="0"/>
    <n v="0"/>
    <m/>
    <n v="70.599999999999994"/>
  </r>
  <r>
    <s v="USR-100918"/>
    <d v="2025-02-17T00:00:00"/>
    <x v="1"/>
    <s v="South"/>
    <s v="Desktop"/>
    <s v="Organic"/>
    <s v="Basic"/>
    <x v="0"/>
    <x v="0"/>
    <x v="0"/>
    <x v="0"/>
    <n v="0"/>
    <n v="0"/>
    <n v="0"/>
    <m/>
    <n v="58.4"/>
  </r>
  <r>
    <s v="USR-100919"/>
    <d v="2025-05-21T00:00:00"/>
    <x v="1"/>
    <s v="East"/>
    <s v="Mobile"/>
    <s v="Organic"/>
    <s v="Basic"/>
    <x v="1"/>
    <x v="0"/>
    <x v="0"/>
    <x v="0"/>
    <n v="0"/>
    <n v="0"/>
    <n v="0"/>
    <m/>
    <n v="56.6"/>
  </r>
  <r>
    <s v="USR-100920"/>
    <d v="2025-01-30T00:00:00"/>
    <x v="1"/>
    <s v="South"/>
    <s v="Mobile"/>
    <s v="Organic"/>
    <s v="Free"/>
    <x v="1"/>
    <x v="0"/>
    <x v="0"/>
    <x v="0"/>
    <n v="0"/>
    <n v="0"/>
    <n v="0"/>
    <m/>
    <n v="61.8"/>
  </r>
  <r>
    <s v="USR-100921"/>
    <d v="2025-03-20T00:00:00"/>
    <x v="1"/>
    <s v="West"/>
    <s v="Mobile"/>
    <s v="Email"/>
    <s v="Free"/>
    <x v="1"/>
    <x v="1"/>
    <x v="1"/>
    <x v="1"/>
    <n v="513.52"/>
    <n v="0"/>
    <n v="0"/>
    <n v="8"/>
    <n v="43.4"/>
  </r>
  <r>
    <s v="USR-100922"/>
    <d v="2025-04-10T00:00:00"/>
    <x v="1"/>
    <s v="West"/>
    <s v="Tablet"/>
    <s v="Paid Search"/>
    <s v="Free"/>
    <x v="0"/>
    <x v="0"/>
    <x v="0"/>
    <x v="0"/>
    <n v="0"/>
    <n v="0"/>
    <n v="0"/>
    <m/>
    <n v="43"/>
  </r>
  <r>
    <s v="USR-100923"/>
    <d v="2025-03-07T00:00:00"/>
    <x v="1"/>
    <s v="North"/>
    <s v="Desktop"/>
    <s v="Organic"/>
    <s v="Free"/>
    <x v="1"/>
    <x v="1"/>
    <x v="1"/>
    <x v="0"/>
    <n v="0"/>
    <n v="0"/>
    <n v="0"/>
    <m/>
    <n v="51.1"/>
  </r>
  <r>
    <s v="USR-100924"/>
    <d v="2025-03-12T00:00:00"/>
    <x v="1"/>
    <s v="West"/>
    <s v="Mobile"/>
    <s v="Email"/>
    <s v="Basic"/>
    <x v="1"/>
    <x v="0"/>
    <x v="0"/>
    <x v="0"/>
    <n v="0"/>
    <n v="0"/>
    <n v="0"/>
    <m/>
    <n v="48.8"/>
  </r>
  <r>
    <s v="USR-100925"/>
    <d v="2025-02-24T00:00:00"/>
    <x v="1"/>
    <s v="East"/>
    <s v="Mobile"/>
    <s v="Referral"/>
    <s v="Free"/>
    <x v="0"/>
    <x v="0"/>
    <x v="0"/>
    <x v="0"/>
    <n v="0"/>
    <n v="0"/>
    <n v="0"/>
    <m/>
    <n v="73.2"/>
  </r>
  <r>
    <s v="USR-100926"/>
    <d v="2025-01-15T00:00:00"/>
    <x v="1"/>
    <s v="East"/>
    <s v="Mobile"/>
    <s v="Referral"/>
    <s v="Free"/>
    <x v="1"/>
    <x v="1"/>
    <x v="1"/>
    <x v="0"/>
    <n v="0"/>
    <n v="0"/>
    <n v="0"/>
    <m/>
    <n v="80"/>
  </r>
  <r>
    <s v="USR-100927"/>
    <d v="2025-01-07T00:00:00"/>
    <x v="1"/>
    <s v="North"/>
    <s v="Desktop"/>
    <s v="Paid Search"/>
    <s v="Free"/>
    <x v="1"/>
    <x v="0"/>
    <x v="0"/>
    <x v="0"/>
    <n v="0"/>
    <n v="0"/>
    <n v="0"/>
    <m/>
    <n v="52.3"/>
  </r>
  <r>
    <s v="USR-100928"/>
    <d v="2025-03-02T00:00:00"/>
    <x v="1"/>
    <s v="North"/>
    <s v="Desktop"/>
    <s v="Organic"/>
    <s v="Free"/>
    <x v="0"/>
    <x v="0"/>
    <x v="0"/>
    <x v="0"/>
    <n v="0"/>
    <n v="0"/>
    <n v="0"/>
    <m/>
    <n v="49.1"/>
  </r>
  <r>
    <s v="USR-100929"/>
    <d v="2025-01-05T00:00:00"/>
    <x v="1"/>
    <s v="South"/>
    <s v="Desktop"/>
    <s v="Referral"/>
    <s v="Basic"/>
    <x v="0"/>
    <x v="0"/>
    <x v="0"/>
    <x v="0"/>
    <n v="0"/>
    <n v="0"/>
    <n v="0"/>
    <m/>
    <n v="45.3"/>
  </r>
  <r>
    <s v="USR-100930"/>
    <d v="2025-03-03T00:00:00"/>
    <x v="1"/>
    <s v="South"/>
    <s v="Mobile"/>
    <s v="Organic"/>
    <s v="Free"/>
    <x v="1"/>
    <x v="1"/>
    <x v="0"/>
    <x v="0"/>
    <n v="0"/>
    <n v="0"/>
    <n v="0"/>
    <m/>
    <n v="49.1"/>
  </r>
  <r>
    <s v="USR-100931"/>
    <d v="2025-03-31T00:00:00"/>
    <x v="1"/>
    <s v="East"/>
    <s v="Desktop"/>
    <s v="Referral"/>
    <s v="Free"/>
    <x v="1"/>
    <x v="1"/>
    <x v="1"/>
    <x v="1"/>
    <n v="476.44"/>
    <n v="0"/>
    <n v="0"/>
    <n v="3"/>
    <n v="88.6"/>
  </r>
  <r>
    <s v="USR-100932"/>
    <d v="2025-01-14T00:00:00"/>
    <x v="1"/>
    <s v="East"/>
    <s v="Desktop"/>
    <s v="Paid Search"/>
    <s v="Premium"/>
    <x v="0"/>
    <x v="0"/>
    <x v="0"/>
    <x v="0"/>
    <n v="0"/>
    <n v="1"/>
    <n v="0"/>
    <m/>
    <n v="54.4"/>
  </r>
  <r>
    <s v="USR-100933"/>
    <d v="2025-01-15T00:00:00"/>
    <x v="1"/>
    <s v="West"/>
    <s v="Desktop"/>
    <s v="Paid Search"/>
    <s v="Premium"/>
    <x v="1"/>
    <x v="0"/>
    <x v="0"/>
    <x v="0"/>
    <n v="0"/>
    <n v="0"/>
    <n v="0"/>
    <m/>
    <n v="72.900000000000006"/>
  </r>
  <r>
    <s v="USR-100934"/>
    <d v="2025-04-25T00:00:00"/>
    <x v="1"/>
    <s v="West"/>
    <s v="Desktop"/>
    <s v="Organic"/>
    <s v="Free"/>
    <x v="1"/>
    <x v="0"/>
    <x v="0"/>
    <x v="0"/>
    <n v="0"/>
    <n v="0"/>
    <n v="0"/>
    <m/>
    <n v="53.2"/>
  </r>
  <r>
    <s v="USR-100935"/>
    <d v="2025-03-21T00:00:00"/>
    <x v="1"/>
    <s v="East"/>
    <s v="Mobile"/>
    <s v="Organic"/>
    <s v="Basic"/>
    <x v="1"/>
    <x v="1"/>
    <x v="0"/>
    <x v="0"/>
    <n v="0"/>
    <n v="0"/>
    <n v="0"/>
    <m/>
    <n v="48.7"/>
  </r>
  <r>
    <s v="USR-100936"/>
    <d v="2025-04-26T00:00:00"/>
    <x v="1"/>
    <s v="South"/>
    <s v="Mobile"/>
    <s v="Paid Search"/>
    <s v="Basic"/>
    <x v="1"/>
    <x v="1"/>
    <x v="1"/>
    <x v="0"/>
    <n v="0"/>
    <n v="0"/>
    <n v="0"/>
    <m/>
    <n v="59.9"/>
  </r>
  <r>
    <s v="USR-100937"/>
    <d v="2025-05-21T00:00:00"/>
    <x v="1"/>
    <s v="South"/>
    <s v="Desktop"/>
    <m/>
    <s v="Basic"/>
    <x v="0"/>
    <x v="0"/>
    <x v="0"/>
    <x v="0"/>
    <n v="0"/>
    <n v="0"/>
    <n v="0"/>
    <m/>
    <n v="82"/>
  </r>
  <r>
    <s v="USR-100938"/>
    <d v="2025-04-18T00:00:00"/>
    <x v="1"/>
    <s v="East"/>
    <s v="Mobile"/>
    <s v="Paid Search"/>
    <s v="Free"/>
    <x v="0"/>
    <x v="0"/>
    <x v="0"/>
    <x v="0"/>
    <n v="0"/>
    <n v="0"/>
    <n v="0"/>
    <m/>
    <n v="72.099999999999994"/>
  </r>
  <r>
    <s v="USR-100939"/>
    <d v="2025-01-29T00:00:00"/>
    <x v="1"/>
    <s v="North"/>
    <s v="Desktop"/>
    <s v="Email"/>
    <s v="Premium"/>
    <x v="1"/>
    <x v="1"/>
    <x v="0"/>
    <x v="0"/>
    <n v="0"/>
    <n v="0"/>
    <n v="0"/>
    <m/>
    <n v="68.3"/>
  </r>
  <r>
    <s v="USR-100940"/>
    <d v="2025-05-28T00:00:00"/>
    <x v="1"/>
    <s v="West"/>
    <s v="Mobile"/>
    <s v="Organic"/>
    <s v="Premium"/>
    <x v="0"/>
    <x v="0"/>
    <x v="0"/>
    <x v="0"/>
    <n v="0"/>
    <n v="0"/>
    <n v="0"/>
    <m/>
    <n v="100"/>
  </r>
  <r>
    <s v="USR-100941"/>
    <d v="2025-01-15T00:00:00"/>
    <x v="1"/>
    <s v="East"/>
    <s v="Mobile"/>
    <s v="Email"/>
    <s v="Free"/>
    <x v="1"/>
    <x v="1"/>
    <x v="1"/>
    <x v="0"/>
    <n v="0"/>
    <n v="2"/>
    <n v="0"/>
    <m/>
    <n v="76.5"/>
  </r>
  <r>
    <s v="USR-100942"/>
    <d v="2025-01-03T00:00:00"/>
    <x v="1"/>
    <s v="South"/>
    <s v="Mobile"/>
    <s v="Organic"/>
    <s v="Basic"/>
    <x v="1"/>
    <x v="1"/>
    <x v="0"/>
    <x v="0"/>
    <n v="0"/>
    <n v="0"/>
    <n v="0"/>
    <m/>
    <n v="62"/>
  </r>
  <r>
    <s v="USR-100943"/>
    <d v="2025-02-04T00:00:00"/>
    <x v="1"/>
    <s v="South"/>
    <s v="Mobile"/>
    <s v="Paid Search"/>
    <s v="Free"/>
    <x v="1"/>
    <x v="1"/>
    <x v="1"/>
    <x v="1"/>
    <n v="324.68"/>
    <n v="1"/>
    <n v="0"/>
    <n v="7"/>
    <n v="50.1"/>
  </r>
  <r>
    <s v="USR-100944"/>
    <d v="2025-02-22T00:00:00"/>
    <x v="1"/>
    <s v="South"/>
    <s v="Mobile"/>
    <s v="Referral"/>
    <s v="Premium"/>
    <x v="1"/>
    <x v="0"/>
    <x v="0"/>
    <x v="0"/>
    <n v="0"/>
    <n v="0"/>
    <n v="0"/>
    <m/>
    <n v="62.1"/>
  </r>
  <r>
    <s v="USR-100945"/>
    <d v="2025-05-06T00:00:00"/>
    <x v="1"/>
    <s v="West"/>
    <s v="Mobile"/>
    <s v="Organic"/>
    <s v="Basic"/>
    <x v="1"/>
    <x v="0"/>
    <x v="0"/>
    <x v="0"/>
    <n v="0"/>
    <n v="0"/>
    <n v="0"/>
    <m/>
    <n v="49.7"/>
  </r>
  <r>
    <s v="USR-100946"/>
    <d v="2025-01-31T00:00:00"/>
    <x v="1"/>
    <s v="South"/>
    <s v="Mobile"/>
    <s v="Organic"/>
    <s v="Free"/>
    <x v="1"/>
    <x v="0"/>
    <x v="0"/>
    <x v="0"/>
    <n v="0"/>
    <n v="3"/>
    <n v="0"/>
    <m/>
    <n v="71.099999999999994"/>
  </r>
  <r>
    <s v="USR-100947"/>
    <d v="2025-02-18T00:00:00"/>
    <x v="1"/>
    <s v="North"/>
    <s v="Mobile"/>
    <s v="Social"/>
    <s v="Basic"/>
    <x v="0"/>
    <x v="0"/>
    <x v="0"/>
    <x v="0"/>
    <n v="0"/>
    <n v="0"/>
    <n v="0"/>
    <m/>
    <n v="70.8"/>
  </r>
  <r>
    <s v="USR-100948"/>
    <d v="2025-04-23T00:00:00"/>
    <x v="1"/>
    <s v="East"/>
    <s v="Mobile"/>
    <s v="Paid Search"/>
    <s v="Free"/>
    <x v="1"/>
    <x v="1"/>
    <x v="1"/>
    <x v="1"/>
    <n v="301.98"/>
    <n v="0"/>
    <n v="0"/>
    <n v="10"/>
    <n v="52.2"/>
  </r>
  <r>
    <s v="USR-100949"/>
    <d v="2025-02-06T00:00:00"/>
    <x v="1"/>
    <s v="North"/>
    <s v="Mobile"/>
    <s v="Organic"/>
    <s v="Free"/>
    <x v="1"/>
    <x v="1"/>
    <x v="1"/>
    <x v="0"/>
    <n v="0"/>
    <n v="0"/>
    <n v="0"/>
    <m/>
    <n v="73"/>
  </r>
  <r>
    <s v="USR-100950"/>
    <d v="2025-04-26T00:00:00"/>
    <x v="1"/>
    <s v="South"/>
    <s v="Desktop"/>
    <s v="Paid Search"/>
    <s v="Free"/>
    <x v="0"/>
    <x v="0"/>
    <x v="0"/>
    <x v="0"/>
    <n v="0"/>
    <n v="0"/>
    <n v="0"/>
    <m/>
    <n v="78.2"/>
  </r>
  <r>
    <s v="USR-100951"/>
    <d v="2025-03-30T00:00:00"/>
    <x v="1"/>
    <s v="West"/>
    <s v="Desktop"/>
    <s v="Paid Search"/>
    <s v="Basic"/>
    <x v="1"/>
    <x v="0"/>
    <x v="0"/>
    <x v="0"/>
    <n v="0"/>
    <n v="0"/>
    <n v="0"/>
    <m/>
    <n v="68.8"/>
  </r>
  <r>
    <s v="USR-100952"/>
    <d v="2025-04-13T00:00:00"/>
    <x v="1"/>
    <s v="West"/>
    <s v="Mobile"/>
    <m/>
    <s v="Premium"/>
    <x v="1"/>
    <x v="0"/>
    <x v="0"/>
    <x v="0"/>
    <n v="0"/>
    <n v="0"/>
    <n v="0"/>
    <m/>
    <n v="57.1"/>
  </r>
  <r>
    <s v="USR-100953"/>
    <d v="2025-04-04T00:00:00"/>
    <x v="1"/>
    <s v="East"/>
    <s v="Desktop"/>
    <s v="Organic"/>
    <s v="Premium"/>
    <x v="0"/>
    <x v="0"/>
    <x v="0"/>
    <x v="0"/>
    <n v="0"/>
    <n v="1"/>
    <n v="0"/>
    <m/>
    <n v="74.599999999999994"/>
  </r>
  <r>
    <s v="USR-100954"/>
    <d v="2025-04-03T00:00:00"/>
    <x v="1"/>
    <s v="North"/>
    <s v="Desktop"/>
    <s v="Referral"/>
    <s v="Free"/>
    <x v="1"/>
    <x v="0"/>
    <x v="0"/>
    <x v="0"/>
    <n v="0"/>
    <n v="1"/>
    <n v="0"/>
    <m/>
    <n v="64.099999999999994"/>
  </r>
  <r>
    <s v="USR-100955"/>
    <d v="2025-03-14T00:00:00"/>
    <x v="1"/>
    <s v="West"/>
    <s v="Mobile"/>
    <s v="Paid Search"/>
    <s v="Premium"/>
    <x v="1"/>
    <x v="0"/>
    <x v="0"/>
    <x v="0"/>
    <n v="0"/>
    <n v="0"/>
    <n v="0"/>
    <m/>
    <n v="67.3"/>
  </r>
  <r>
    <s v="USR-100956"/>
    <d v="2025-01-14T00:00:00"/>
    <x v="1"/>
    <s v="West"/>
    <s v="Mobile"/>
    <s v="Referral"/>
    <s v="Free"/>
    <x v="0"/>
    <x v="0"/>
    <x v="0"/>
    <x v="0"/>
    <n v="0"/>
    <n v="2"/>
    <n v="0"/>
    <m/>
    <n v="41"/>
  </r>
  <r>
    <s v="USR-100957"/>
    <d v="2025-05-05T00:00:00"/>
    <x v="1"/>
    <s v="West"/>
    <s v="Mobile"/>
    <s v="Paid Search"/>
    <s v="Free"/>
    <x v="0"/>
    <x v="0"/>
    <x v="0"/>
    <x v="0"/>
    <n v="0"/>
    <n v="0"/>
    <n v="0"/>
    <m/>
    <n v="48.1"/>
  </r>
  <r>
    <s v="USR-100958"/>
    <d v="2025-05-02T00:00:00"/>
    <x v="1"/>
    <s v="West"/>
    <s v="Desktop"/>
    <s v="Social"/>
    <s v="Free"/>
    <x v="0"/>
    <x v="0"/>
    <x v="0"/>
    <x v="0"/>
    <n v="0"/>
    <n v="1"/>
    <n v="0"/>
    <m/>
    <n v="60.8"/>
  </r>
  <r>
    <s v="USR-100959"/>
    <d v="2025-05-21T00:00:00"/>
    <x v="1"/>
    <s v="East"/>
    <s v="Mobile"/>
    <s v="Organic"/>
    <s v="Free"/>
    <x v="1"/>
    <x v="0"/>
    <x v="0"/>
    <x v="0"/>
    <n v="0"/>
    <n v="0"/>
    <n v="0"/>
    <m/>
    <n v="63.1"/>
  </r>
  <r>
    <s v="USR-100960"/>
    <d v="2025-05-16T00:00:00"/>
    <x v="1"/>
    <s v="North"/>
    <s v="Mobile"/>
    <s v="Referral"/>
    <s v="Premium"/>
    <x v="1"/>
    <x v="0"/>
    <x v="0"/>
    <x v="0"/>
    <n v="0"/>
    <n v="2"/>
    <n v="0"/>
    <m/>
    <n v="49.7"/>
  </r>
  <r>
    <s v="USR-100961"/>
    <d v="2025-05-24T00:00:00"/>
    <x v="1"/>
    <s v="East"/>
    <s v="Desktop"/>
    <s v="Organic"/>
    <s v="Premium"/>
    <x v="1"/>
    <x v="1"/>
    <x v="1"/>
    <x v="0"/>
    <n v="0"/>
    <n v="1"/>
    <n v="0"/>
    <m/>
    <n v="83.4"/>
  </r>
  <r>
    <s v="USR-100962"/>
    <d v="2025-03-18T00:00:00"/>
    <x v="1"/>
    <s v="East"/>
    <s v="Mobile"/>
    <s v="Organic"/>
    <s v="Basic"/>
    <x v="1"/>
    <x v="0"/>
    <x v="0"/>
    <x v="0"/>
    <n v="0"/>
    <n v="0"/>
    <n v="0"/>
    <m/>
    <n v="75.900000000000006"/>
  </r>
  <r>
    <s v="USR-100963"/>
    <d v="2025-01-11T00:00:00"/>
    <x v="1"/>
    <s v="East"/>
    <s v="Desktop"/>
    <s v="Paid Search"/>
    <s v="Free"/>
    <x v="0"/>
    <x v="0"/>
    <x v="0"/>
    <x v="0"/>
    <n v="0"/>
    <n v="1"/>
    <n v="0"/>
    <m/>
    <n v="71.8"/>
  </r>
  <r>
    <s v="USR-100964"/>
    <d v="2025-02-09T00:00:00"/>
    <x v="1"/>
    <s v="South"/>
    <s v="Mobile"/>
    <s v="Organic"/>
    <s v="Basic"/>
    <x v="0"/>
    <x v="0"/>
    <x v="0"/>
    <x v="0"/>
    <n v="0"/>
    <n v="0"/>
    <n v="0"/>
    <m/>
    <n v="37.9"/>
  </r>
  <r>
    <s v="USR-100965"/>
    <d v="2025-03-01T00:00:00"/>
    <x v="1"/>
    <s v="North"/>
    <s v="Desktop"/>
    <s v="Social"/>
    <s v="Free"/>
    <x v="1"/>
    <x v="0"/>
    <x v="0"/>
    <x v="0"/>
    <n v="0"/>
    <n v="0"/>
    <n v="0"/>
    <m/>
    <n v="59.8"/>
  </r>
  <r>
    <s v="USR-100966"/>
    <d v="2025-05-07T00:00:00"/>
    <x v="1"/>
    <s v="North"/>
    <s v="Mobile"/>
    <s v="Organic"/>
    <s v="Basic"/>
    <x v="0"/>
    <x v="0"/>
    <x v="0"/>
    <x v="0"/>
    <n v="0"/>
    <n v="0"/>
    <n v="0"/>
    <m/>
    <n v="66.900000000000006"/>
  </r>
  <r>
    <s v="USR-100967"/>
    <d v="2025-02-19T00:00:00"/>
    <x v="1"/>
    <s v="South"/>
    <s v="Desktop"/>
    <m/>
    <s v="Free"/>
    <x v="1"/>
    <x v="0"/>
    <x v="0"/>
    <x v="0"/>
    <n v="0"/>
    <n v="0"/>
    <n v="0"/>
    <m/>
    <n v="59"/>
  </r>
  <r>
    <s v="USR-100968"/>
    <d v="2025-02-26T00:00:00"/>
    <x v="1"/>
    <s v="West"/>
    <s v="Mobile"/>
    <s v="Organic"/>
    <s v="Premium"/>
    <x v="1"/>
    <x v="0"/>
    <x v="0"/>
    <x v="0"/>
    <n v="0"/>
    <n v="0"/>
    <n v="0"/>
    <m/>
    <n v="80.099999999999994"/>
  </r>
  <r>
    <s v="USR-100969"/>
    <d v="2025-03-23T00:00:00"/>
    <x v="1"/>
    <s v="South"/>
    <s v="Mobile"/>
    <s v="Social"/>
    <s v="Free"/>
    <x v="0"/>
    <x v="0"/>
    <x v="0"/>
    <x v="0"/>
    <n v="0"/>
    <n v="0"/>
    <n v="0"/>
    <m/>
    <n v="64.3"/>
  </r>
  <r>
    <s v="USR-100970"/>
    <d v="2025-04-25T00:00:00"/>
    <x v="1"/>
    <s v="South"/>
    <s v="Desktop"/>
    <s v="Social"/>
    <s v="Free"/>
    <x v="0"/>
    <x v="0"/>
    <x v="0"/>
    <x v="0"/>
    <n v="0"/>
    <n v="1"/>
    <n v="0"/>
    <m/>
    <n v="57.4"/>
  </r>
  <r>
    <s v="USR-100971"/>
    <d v="2025-05-10T00:00:00"/>
    <x v="1"/>
    <s v="North"/>
    <s v="Desktop"/>
    <s v="Social"/>
    <s v="Free"/>
    <x v="1"/>
    <x v="1"/>
    <x v="1"/>
    <x v="0"/>
    <n v="0"/>
    <n v="0"/>
    <n v="0"/>
    <m/>
    <n v="83.6"/>
  </r>
  <r>
    <s v="USR-100972"/>
    <d v="2025-04-22T00:00:00"/>
    <x v="1"/>
    <s v="East"/>
    <s v="Mobile"/>
    <s v="Paid Search"/>
    <s v="Premium"/>
    <x v="0"/>
    <x v="0"/>
    <x v="0"/>
    <x v="0"/>
    <n v="0"/>
    <n v="0"/>
    <n v="0"/>
    <m/>
    <n v="45.8"/>
  </r>
  <r>
    <s v="USR-100973"/>
    <d v="2025-02-18T00:00:00"/>
    <x v="1"/>
    <s v="West"/>
    <s v="Mobile"/>
    <s v="Referral"/>
    <s v="Basic"/>
    <x v="1"/>
    <x v="1"/>
    <x v="1"/>
    <x v="0"/>
    <n v="0"/>
    <n v="0"/>
    <n v="0"/>
    <m/>
    <n v="64.3"/>
  </r>
  <r>
    <s v="USR-100974"/>
    <d v="2025-01-26T00:00:00"/>
    <x v="1"/>
    <s v="South"/>
    <s v="Mobile"/>
    <s v="Paid Search"/>
    <s v="Premium"/>
    <x v="1"/>
    <x v="1"/>
    <x v="1"/>
    <x v="0"/>
    <n v="0"/>
    <n v="0"/>
    <n v="0"/>
    <m/>
    <n v="80.5"/>
  </r>
  <r>
    <s v="USR-100975"/>
    <d v="2025-04-28T00:00:00"/>
    <x v="1"/>
    <s v="North"/>
    <s v="Mobile"/>
    <s v="Organic"/>
    <s v="Free"/>
    <x v="1"/>
    <x v="0"/>
    <x v="0"/>
    <x v="0"/>
    <n v="0"/>
    <n v="0"/>
    <n v="0"/>
    <m/>
    <n v="46.3"/>
  </r>
  <r>
    <s v="USR-100976"/>
    <d v="2025-04-02T00:00:00"/>
    <x v="1"/>
    <s v="South"/>
    <s v="Desktop"/>
    <s v="Email"/>
    <s v="Basic"/>
    <x v="1"/>
    <x v="0"/>
    <x v="0"/>
    <x v="0"/>
    <n v="0"/>
    <n v="0"/>
    <n v="0"/>
    <m/>
    <n v="71.599999999999994"/>
  </r>
  <r>
    <s v="USR-100977"/>
    <d v="2025-04-12T00:00:00"/>
    <x v="1"/>
    <s v="South"/>
    <s v="Desktop"/>
    <s v="Email"/>
    <s v="Premium"/>
    <x v="1"/>
    <x v="1"/>
    <x v="0"/>
    <x v="0"/>
    <n v="0"/>
    <n v="0"/>
    <n v="0"/>
    <m/>
    <n v="57.8"/>
  </r>
  <r>
    <s v="USR-100978"/>
    <d v="2025-01-03T00:00:00"/>
    <x v="1"/>
    <s v="West"/>
    <s v="Desktop"/>
    <s v="Email"/>
    <s v="Basic"/>
    <x v="1"/>
    <x v="1"/>
    <x v="1"/>
    <x v="0"/>
    <n v="0"/>
    <n v="1"/>
    <n v="0"/>
    <m/>
    <n v="57.8"/>
  </r>
  <r>
    <s v="USR-100979"/>
    <d v="2025-05-08T00:00:00"/>
    <x v="1"/>
    <s v="North"/>
    <s v="Mobile"/>
    <s v="Paid Search"/>
    <s v="Free"/>
    <x v="1"/>
    <x v="0"/>
    <x v="0"/>
    <x v="0"/>
    <n v="0"/>
    <n v="0"/>
    <n v="0"/>
    <m/>
    <n v="38.299999999999997"/>
  </r>
  <r>
    <s v="USR-100980"/>
    <d v="2025-02-20T00:00:00"/>
    <x v="1"/>
    <s v="North"/>
    <s v="Mobile"/>
    <s v="Referral"/>
    <s v="Premium"/>
    <x v="1"/>
    <x v="0"/>
    <x v="0"/>
    <x v="0"/>
    <n v="0"/>
    <n v="1"/>
    <n v="0"/>
    <m/>
    <n v="66.099999999999994"/>
  </r>
  <r>
    <s v="USR-100981"/>
    <d v="2025-03-17T00:00:00"/>
    <x v="1"/>
    <s v="North"/>
    <s v="Desktop"/>
    <s v="Paid Search"/>
    <s v="Premium"/>
    <x v="1"/>
    <x v="0"/>
    <x v="0"/>
    <x v="0"/>
    <n v="0"/>
    <n v="0"/>
    <n v="0"/>
    <m/>
    <n v="66.5"/>
  </r>
  <r>
    <s v="USR-100982"/>
    <d v="2025-04-10T00:00:00"/>
    <x v="1"/>
    <s v="South"/>
    <s v="Desktop"/>
    <s v="Email"/>
    <s v="Free"/>
    <x v="1"/>
    <x v="0"/>
    <x v="0"/>
    <x v="0"/>
    <n v="0"/>
    <n v="3"/>
    <n v="0"/>
    <m/>
    <n v="51.5"/>
  </r>
  <r>
    <s v="USR-100983"/>
    <d v="2025-05-08T00:00:00"/>
    <x v="1"/>
    <s v="North"/>
    <s v="Desktop"/>
    <s v="Referral"/>
    <s v="Free"/>
    <x v="1"/>
    <x v="0"/>
    <x v="0"/>
    <x v="0"/>
    <n v="0"/>
    <n v="0"/>
    <n v="0"/>
    <m/>
    <n v="59.9"/>
  </r>
  <r>
    <s v="USR-100984"/>
    <d v="2025-04-19T00:00:00"/>
    <x v="1"/>
    <s v="West"/>
    <s v="Mobile"/>
    <s v="Paid Search"/>
    <s v="Basic"/>
    <x v="1"/>
    <x v="0"/>
    <x v="0"/>
    <x v="0"/>
    <n v="0"/>
    <n v="0"/>
    <n v="0"/>
    <m/>
    <n v="58.8"/>
  </r>
  <r>
    <s v="USR-100985"/>
    <d v="2025-01-01T00:00:00"/>
    <x v="1"/>
    <s v="South"/>
    <s v="Tablet"/>
    <s v="Paid Search"/>
    <s v="Basic"/>
    <x v="1"/>
    <x v="0"/>
    <x v="0"/>
    <x v="0"/>
    <n v="0"/>
    <n v="0"/>
    <n v="0"/>
    <m/>
    <n v="69.599999999999994"/>
  </r>
  <r>
    <s v="USR-100986"/>
    <d v="2025-03-10T00:00:00"/>
    <x v="1"/>
    <s v="East"/>
    <s v="Mobile"/>
    <s v="Paid Search"/>
    <s v="Free"/>
    <x v="1"/>
    <x v="0"/>
    <x v="0"/>
    <x v="0"/>
    <n v="0"/>
    <n v="0"/>
    <n v="0"/>
    <m/>
    <n v="77.5"/>
  </r>
  <r>
    <s v="USR-100987"/>
    <d v="2025-03-10T00:00:00"/>
    <x v="1"/>
    <s v="East"/>
    <s v="Tablet"/>
    <s v="Social"/>
    <s v="Premium"/>
    <x v="0"/>
    <x v="0"/>
    <x v="0"/>
    <x v="0"/>
    <n v="0"/>
    <n v="2"/>
    <n v="0"/>
    <m/>
    <n v="57.5"/>
  </r>
  <r>
    <s v="USR-100988"/>
    <d v="2025-04-19T00:00:00"/>
    <x v="1"/>
    <s v="West"/>
    <s v="Tablet"/>
    <s v="Email"/>
    <s v="Basic"/>
    <x v="1"/>
    <x v="0"/>
    <x v="0"/>
    <x v="0"/>
    <n v="0"/>
    <n v="0"/>
    <n v="0"/>
    <m/>
    <n v="64.2"/>
  </r>
  <r>
    <s v="USR-100989"/>
    <d v="2025-04-11T00:00:00"/>
    <x v="1"/>
    <s v="West"/>
    <s v="Desktop"/>
    <s v="Organic"/>
    <s v="Free"/>
    <x v="0"/>
    <x v="0"/>
    <x v="0"/>
    <x v="0"/>
    <n v="0"/>
    <n v="0"/>
    <n v="0"/>
    <m/>
    <n v="60"/>
  </r>
  <r>
    <s v="USR-100990"/>
    <d v="2025-04-10T00:00:00"/>
    <x v="1"/>
    <s v="East"/>
    <s v="Mobile"/>
    <s v="Organic"/>
    <s v="Basic"/>
    <x v="1"/>
    <x v="0"/>
    <x v="0"/>
    <x v="0"/>
    <n v="0"/>
    <n v="1"/>
    <n v="0"/>
    <m/>
    <n v="43.7"/>
  </r>
  <r>
    <s v="USR-100991"/>
    <d v="2025-01-13T00:00:00"/>
    <x v="1"/>
    <s v="West"/>
    <s v="Desktop"/>
    <s v="Social"/>
    <s v="Free"/>
    <x v="1"/>
    <x v="0"/>
    <x v="0"/>
    <x v="0"/>
    <n v="0"/>
    <n v="0"/>
    <n v="0"/>
    <m/>
    <n v="64.900000000000006"/>
  </r>
  <r>
    <s v="USR-100992"/>
    <d v="2025-03-28T00:00:00"/>
    <x v="1"/>
    <s v="South"/>
    <s v="Desktop"/>
    <s v="Organic"/>
    <s v="Free"/>
    <x v="1"/>
    <x v="1"/>
    <x v="0"/>
    <x v="0"/>
    <n v="0"/>
    <n v="0"/>
    <n v="0"/>
    <m/>
    <n v="45.5"/>
  </r>
  <r>
    <s v="USR-100993"/>
    <d v="2025-01-29T00:00:00"/>
    <x v="1"/>
    <s v="East"/>
    <s v="Mobile"/>
    <s v="Paid Search"/>
    <s v="Free"/>
    <x v="1"/>
    <x v="1"/>
    <x v="1"/>
    <x v="1"/>
    <n v="1772.97"/>
    <n v="0"/>
    <n v="0"/>
    <n v="8"/>
    <n v="61.2"/>
  </r>
  <r>
    <s v="USR-100994"/>
    <d v="2025-03-27T00:00:00"/>
    <x v="1"/>
    <s v="South"/>
    <s v="Mobile"/>
    <s v="Referral"/>
    <s v="Free"/>
    <x v="0"/>
    <x v="0"/>
    <x v="0"/>
    <x v="0"/>
    <n v="0"/>
    <n v="0"/>
    <n v="0"/>
    <m/>
    <n v="87.8"/>
  </r>
  <r>
    <s v="USR-100995"/>
    <d v="2025-03-20T00:00:00"/>
    <x v="1"/>
    <s v="East"/>
    <s v="Tablet"/>
    <s v="Social"/>
    <s v="Free"/>
    <x v="0"/>
    <x v="0"/>
    <x v="0"/>
    <x v="0"/>
    <n v="0"/>
    <n v="0"/>
    <n v="0"/>
    <m/>
    <n v="86.4"/>
  </r>
  <r>
    <s v="USR-100996"/>
    <d v="2025-01-09T00:00:00"/>
    <x v="1"/>
    <s v="North"/>
    <s v="Mobile"/>
    <s v="Paid Search"/>
    <s v="Basic"/>
    <x v="0"/>
    <x v="0"/>
    <x v="0"/>
    <x v="0"/>
    <n v="0"/>
    <n v="1"/>
    <n v="0"/>
    <m/>
    <n v="71.400000000000006"/>
  </r>
  <r>
    <s v="USR-100997"/>
    <d v="2025-04-25T00:00:00"/>
    <x v="1"/>
    <s v="West"/>
    <s v="Mobile"/>
    <s v="Social"/>
    <s v="Free"/>
    <x v="1"/>
    <x v="1"/>
    <x v="1"/>
    <x v="1"/>
    <n v="218.66"/>
    <n v="0"/>
    <n v="1"/>
    <n v="8"/>
    <n v="72.2"/>
  </r>
  <r>
    <s v="USR-100998"/>
    <d v="2025-04-11T00:00:00"/>
    <x v="1"/>
    <s v="South"/>
    <s v="Desktop"/>
    <s v="Social"/>
    <s v="Free"/>
    <x v="1"/>
    <x v="0"/>
    <x v="0"/>
    <x v="0"/>
    <n v="0"/>
    <n v="0"/>
    <n v="0"/>
    <m/>
    <n v="51.9"/>
  </r>
  <r>
    <s v="USR-100999"/>
    <d v="2025-02-05T00:00:00"/>
    <x v="1"/>
    <s v="East"/>
    <s v="Mobile"/>
    <s v="Social"/>
    <s v="Basic"/>
    <x v="1"/>
    <x v="1"/>
    <x v="1"/>
    <x v="0"/>
    <n v="0"/>
    <n v="0"/>
    <n v="0"/>
    <m/>
    <n v="70.3"/>
  </r>
  <r>
    <s v="USR-101000"/>
    <d v="2025-03-28T00:00:00"/>
    <x v="1"/>
    <s v="South"/>
    <s v="Mobile"/>
    <s v="Social"/>
    <s v="Premium"/>
    <x v="1"/>
    <x v="0"/>
    <x v="0"/>
    <x v="0"/>
    <n v="0"/>
    <n v="1"/>
    <n v="0"/>
    <m/>
    <n v="49.2"/>
  </r>
  <r>
    <s v="USR-101001"/>
    <d v="2025-05-14T00:00:00"/>
    <x v="1"/>
    <s v="South"/>
    <s v="Mobile"/>
    <s v="Referral"/>
    <s v="Free"/>
    <x v="0"/>
    <x v="0"/>
    <x v="0"/>
    <x v="0"/>
    <n v="0"/>
    <n v="0"/>
    <n v="0"/>
    <m/>
    <n v="52.2"/>
  </r>
  <r>
    <s v="USR-101002"/>
    <d v="2025-03-10T00:00:00"/>
    <x v="1"/>
    <s v="East"/>
    <s v="Mobile"/>
    <s v="Paid Search"/>
    <s v="Basic"/>
    <x v="0"/>
    <x v="0"/>
    <x v="0"/>
    <x v="0"/>
    <n v="0"/>
    <n v="1"/>
    <n v="0"/>
    <m/>
    <n v="62.6"/>
  </r>
  <r>
    <s v="USR-101003"/>
    <d v="2025-04-09T00:00:00"/>
    <x v="1"/>
    <s v="East"/>
    <s v="Desktop"/>
    <s v="Paid Search"/>
    <s v="Free"/>
    <x v="1"/>
    <x v="1"/>
    <x v="0"/>
    <x v="0"/>
    <n v="0"/>
    <n v="0"/>
    <n v="0"/>
    <m/>
    <n v="100"/>
  </r>
  <r>
    <s v="USR-101004"/>
    <d v="2025-02-13T00:00:00"/>
    <x v="1"/>
    <s v="North"/>
    <s v="Mobile"/>
    <s v="Referral"/>
    <s v="Basic"/>
    <x v="1"/>
    <x v="1"/>
    <x v="1"/>
    <x v="0"/>
    <n v="0"/>
    <n v="2"/>
    <n v="0"/>
    <m/>
    <n v="45.9"/>
  </r>
  <r>
    <s v="USR-101005"/>
    <d v="2025-05-03T00:00:00"/>
    <x v="1"/>
    <s v="East"/>
    <s v="Mobile"/>
    <s v="Email"/>
    <s v="Free"/>
    <x v="1"/>
    <x v="1"/>
    <x v="1"/>
    <x v="0"/>
    <n v="0"/>
    <n v="0"/>
    <n v="0"/>
    <m/>
    <n v="80.7"/>
  </r>
  <r>
    <s v="USR-101006"/>
    <d v="2025-04-16T00:00:00"/>
    <x v="1"/>
    <s v="South"/>
    <s v="Desktop"/>
    <s v="Referral"/>
    <s v="Premium"/>
    <x v="1"/>
    <x v="0"/>
    <x v="0"/>
    <x v="0"/>
    <n v="0"/>
    <n v="0"/>
    <n v="0"/>
    <m/>
    <n v="51.9"/>
  </r>
  <r>
    <s v="USR-101007"/>
    <d v="2025-04-30T00:00:00"/>
    <x v="1"/>
    <s v="North"/>
    <s v="Mobile"/>
    <s v="Paid Search"/>
    <s v="Premium"/>
    <x v="1"/>
    <x v="0"/>
    <x v="0"/>
    <x v="0"/>
    <n v="0"/>
    <n v="0"/>
    <n v="0"/>
    <m/>
    <n v="68.900000000000006"/>
  </r>
  <r>
    <s v="USR-101008"/>
    <d v="2025-02-18T00:00:00"/>
    <x v="1"/>
    <s v="West"/>
    <s v="Desktop"/>
    <s v="Organic"/>
    <s v="Free"/>
    <x v="1"/>
    <x v="0"/>
    <x v="0"/>
    <x v="0"/>
    <n v="0"/>
    <n v="0"/>
    <n v="0"/>
    <m/>
    <n v="66"/>
  </r>
  <r>
    <s v="USR-101009"/>
    <d v="2025-05-22T00:00:00"/>
    <x v="1"/>
    <s v="West"/>
    <s v="Desktop"/>
    <s v="Referral"/>
    <s v="Basic"/>
    <x v="0"/>
    <x v="0"/>
    <x v="0"/>
    <x v="0"/>
    <n v="0"/>
    <n v="0"/>
    <n v="0"/>
    <m/>
    <n v="63.1"/>
  </r>
  <r>
    <s v="USR-101010"/>
    <d v="2025-05-21T00:00:00"/>
    <x v="1"/>
    <s v="South"/>
    <s v="Desktop"/>
    <s v="Organic"/>
    <s v="Free"/>
    <x v="0"/>
    <x v="0"/>
    <x v="0"/>
    <x v="0"/>
    <n v="0"/>
    <n v="0"/>
    <n v="0"/>
    <m/>
    <n v="56"/>
  </r>
  <r>
    <s v="USR-101011"/>
    <d v="2025-04-10T00:00:00"/>
    <x v="1"/>
    <s v="East"/>
    <s v="Desktop"/>
    <s v="Organic"/>
    <s v="Free"/>
    <x v="1"/>
    <x v="0"/>
    <x v="0"/>
    <x v="0"/>
    <n v="0"/>
    <n v="1"/>
    <n v="0"/>
    <m/>
    <n v="65.7"/>
  </r>
  <r>
    <s v="USR-101012"/>
    <d v="2025-01-07T00:00:00"/>
    <x v="1"/>
    <s v="North"/>
    <s v="Desktop"/>
    <s v="Organic"/>
    <s v="Premium"/>
    <x v="1"/>
    <x v="1"/>
    <x v="1"/>
    <x v="1"/>
    <n v="1938.31"/>
    <n v="1"/>
    <n v="0"/>
    <n v="9"/>
    <n v="60.9"/>
  </r>
  <r>
    <s v="USR-101013"/>
    <d v="2025-02-03T00:00:00"/>
    <x v="1"/>
    <s v="South"/>
    <s v="Desktop"/>
    <s v="Social"/>
    <s v="Free"/>
    <x v="0"/>
    <x v="0"/>
    <x v="0"/>
    <x v="0"/>
    <n v="0"/>
    <n v="0"/>
    <n v="0"/>
    <m/>
    <n v="45.5"/>
  </r>
  <r>
    <s v="USR-101014"/>
    <d v="2025-05-18T00:00:00"/>
    <x v="1"/>
    <s v="North"/>
    <s v="Mobile"/>
    <s v="Paid Search"/>
    <s v="Free"/>
    <x v="1"/>
    <x v="0"/>
    <x v="0"/>
    <x v="0"/>
    <n v="0"/>
    <n v="0"/>
    <n v="0"/>
    <m/>
    <n v="50"/>
  </r>
  <r>
    <s v="USR-101015"/>
    <d v="2025-01-31T00:00:00"/>
    <x v="1"/>
    <s v="North"/>
    <s v="Mobile"/>
    <s v="Referral"/>
    <s v="Free"/>
    <x v="1"/>
    <x v="0"/>
    <x v="0"/>
    <x v="0"/>
    <n v="0"/>
    <n v="0"/>
    <n v="0"/>
    <m/>
    <n v="72.099999999999994"/>
  </r>
  <r>
    <s v="USR-101016"/>
    <d v="2025-01-16T00:00:00"/>
    <x v="1"/>
    <s v="South"/>
    <s v="Desktop"/>
    <s v="Organic"/>
    <s v="Basic"/>
    <x v="1"/>
    <x v="0"/>
    <x v="0"/>
    <x v="0"/>
    <n v="0"/>
    <n v="0"/>
    <n v="0"/>
    <m/>
    <n v="76.3"/>
  </r>
  <r>
    <s v="USR-101017"/>
    <d v="2025-05-14T00:00:00"/>
    <x v="1"/>
    <s v="East"/>
    <s v="Mobile"/>
    <s v="Paid Search"/>
    <s v="Basic"/>
    <x v="1"/>
    <x v="1"/>
    <x v="0"/>
    <x v="0"/>
    <n v="0"/>
    <n v="1"/>
    <n v="0"/>
    <m/>
    <n v="54.8"/>
  </r>
  <r>
    <s v="USR-101018"/>
    <d v="2025-04-01T00:00:00"/>
    <x v="1"/>
    <s v="South"/>
    <s v="Mobile"/>
    <m/>
    <s v="Basic"/>
    <x v="1"/>
    <x v="0"/>
    <x v="0"/>
    <x v="0"/>
    <n v="0"/>
    <n v="0"/>
    <n v="0"/>
    <m/>
    <n v="63.6"/>
  </r>
  <r>
    <s v="USR-101019"/>
    <d v="2025-04-23T00:00:00"/>
    <x v="1"/>
    <s v="South"/>
    <s v="Mobile"/>
    <s v="Organic"/>
    <s v="Free"/>
    <x v="1"/>
    <x v="0"/>
    <x v="0"/>
    <x v="0"/>
    <n v="0"/>
    <n v="0"/>
    <n v="0"/>
    <m/>
    <n v="68.8"/>
  </r>
  <r>
    <s v="USR-101020"/>
    <d v="2025-03-02T00:00:00"/>
    <x v="1"/>
    <s v="South"/>
    <s v="Desktop"/>
    <s v="Paid Search"/>
    <s v="Basic"/>
    <x v="1"/>
    <x v="0"/>
    <x v="0"/>
    <x v="0"/>
    <n v="0"/>
    <n v="0"/>
    <n v="0"/>
    <m/>
    <n v="63.2"/>
  </r>
  <r>
    <s v="USR-101021"/>
    <d v="2025-01-02T00:00:00"/>
    <x v="1"/>
    <s v="East"/>
    <s v="Mobile"/>
    <s v="Paid Search"/>
    <s v="Basic"/>
    <x v="0"/>
    <x v="0"/>
    <x v="0"/>
    <x v="0"/>
    <n v="0"/>
    <n v="0"/>
    <n v="0"/>
    <m/>
    <n v="45"/>
  </r>
  <r>
    <s v="USR-101022"/>
    <d v="2025-05-04T00:00:00"/>
    <x v="1"/>
    <s v="South"/>
    <s v="Mobile"/>
    <s v="Organic"/>
    <s v="Free"/>
    <x v="1"/>
    <x v="0"/>
    <x v="0"/>
    <x v="0"/>
    <n v="0"/>
    <n v="0"/>
    <n v="0"/>
    <m/>
    <n v="77.400000000000006"/>
  </r>
  <r>
    <s v="USR-101023"/>
    <d v="2025-01-16T00:00:00"/>
    <x v="1"/>
    <s v="East"/>
    <s v="Desktop"/>
    <s v="Paid Search"/>
    <s v="Basic"/>
    <x v="0"/>
    <x v="0"/>
    <x v="0"/>
    <x v="0"/>
    <n v="0"/>
    <n v="0"/>
    <n v="0"/>
    <m/>
    <n v="53.1"/>
  </r>
  <r>
    <s v="USR-101024"/>
    <d v="2025-02-11T00:00:00"/>
    <x v="1"/>
    <s v="West"/>
    <s v="Tablet"/>
    <s v="Paid Search"/>
    <s v="Premium"/>
    <x v="0"/>
    <x v="0"/>
    <x v="0"/>
    <x v="0"/>
    <n v="0"/>
    <n v="0"/>
    <n v="0"/>
    <m/>
    <n v="74"/>
  </r>
  <r>
    <s v="USR-101025"/>
    <d v="2025-04-03T00:00:00"/>
    <x v="1"/>
    <s v="North"/>
    <s v="Mobile"/>
    <s v="Social"/>
    <s v="Premium"/>
    <x v="1"/>
    <x v="1"/>
    <x v="1"/>
    <x v="1"/>
    <n v="1906.23"/>
    <n v="0"/>
    <n v="0"/>
    <n v="4"/>
    <n v="84.6"/>
  </r>
  <r>
    <s v="USR-101026"/>
    <d v="2025-03-26T00:00:00"/>
    <x v="1"/>
    <s v="East"/>
    <s v="Mobile"/>
    <s v="Referral"/>
    <s v="Free"/>
    <x v="1"/>
    <x v="0"/>
    <x v="0"/>
    <x v="0"/>
    <n v="0"/>
    <n v="0"/>
    <n v="0"/>
    <m/>
    <n v="57"/>
  </r>
  <r>
    <s v="USR-101027"/>
    <d v="2025-05-16T00:00:00"/>
    <x v="1"/>
    <s v="South"/>
    <s v="Mobile"/>
    <s v="Email"/>
    <s v="Premium"/>
    <x v="0"/>
    <x v="0"/>
    <x v="0"/>
    <x v="0"/>
    <n v="0"/>
    <n v="0"/>
    <n v="0"/>
    <m/>
    <n v="46.3"/>
  </r>
  <r>
    <s v="USR-101028"/>
    <d v="2025-04-20T00:00:00"/>
    <x v="1"/>
    <s v="West"/>
    <s v="Mobile"/>
    <s v="Social"/>
    <s v="Free"/>
    <x v="0"/>
    <x v="0"/>
    <x v="0"/>
    <x v="0"/>
    <n v="0"/>
    <n v="1"/>
    <n v="0"/>
    <m/>
    <n v="64.400000000000006"/>
  </r>
  <r>
    <s v="USR-101029"/>
    <d v="2025-04-15T00:00:00"/>
    <x v="1"/>
    <s v="West"/>
    <s v="Mobile"/>
    <s v="Paid Search"/>
    <s v="Free"/>
    <x v="1"/>
    <x v="0"/>
    <x v="0"/>
    <x v="0"/>
    <n v="0"/>
    <n v="2"/>
    <n v="0"/>
    <m/>
    <n v="61.9"/>
  </r>
  <r>
    <s v="USR-101030"/>
    <d v="2025-01-24T00:00:00"/>
    <x v="1"/>
    <s v="North"/>
    <s v="Mobile"/>
    <s v="Organic"/>
    <s v="Premium"/>
    <x v="1"/>
    <x v="1"/>
    <x v="1"/>
    <x v="0"/>
    <n v="0"/>
    <n v="0"/>
    <n v="0"/>
    <m/>
    <n v="93.7"/>
  </r>
  <r>
    <s v="USR-101031"/>
    <d v="2025-04-11T00:00:00"/>
    <x v="1"/>
    <s v="South"/>
    <s v="Mobile"/>
    <s v="Referral"/>
    <s v="Basic"/>
    <x v="0"/>
    <x v="0"/>
    <x v="0"/>
    <x v="0"/>
    <n v="0"/>
    <n v="0"/>
    <n v="0"/>
    <m/>
    <n v="61.6"/>
  </r>
  <r>
    <s v="USR-101032"/>
    <d v="2025-05-19T00:00:00"/>
    <x v="1"/>
    <s v="North"/>
    <s v="Mobile"/>
    <s v="Paid Search"/>
    <s v="Free"/>
    <x v="1"/>
    <x v="0"/>
    <x v="0"/>
    <x v="0"/>
    <n v="0"/>
    <n v="0"/>
    <n v="0"/>
    <m/>
    <n v="72.2"/>
  </r>
  <r>
    <s v="USR-101033"/>
    <d v="2025-01-14T00:00:00"/>
    <x v="1"/>
    <s v="North"/>
    <s v="Mobile"/>
    <s v="Organic"/>
    <s v="Basic"/>
    <x v="0"/>
    <x v="0"/>
    <x v="0"/>
    <x v="0"/>
    <n v="0"/>
    <n v="0"/>
    <n v="0"/>
    <m/>
    <n v="69.5"/>
  </r>
  <r>
    <s v="USR-101034"/>
    <d v="2025-02-28T00:00:00"/>
    <x v="1"/>
    <s v="East"/>
    <s v="Desktop"/>
    <s v="Organic"/>
    <s v="Basic"/>
    <x v="0"/>
    <x v="0"/>
    <x v="0"/>
    <x v="0"/>
    <n v="0"/>
    <n v="0"/>
    <n v="0"/>
    <m/>
    <n v="59.7"/>
  </r>
  <r>
    <s v="USR-101035"/>
    <d v="2025-05-18T00:00:00"/>
    <x v="1"/>
    <s v="East"/>
    <s v="Tablet"/>
    <s v="Paid Search"/>
    <s v="Basic"/>
    <x v="1"/>
    <x v="0"/>
    <x v="0"/>
    <x v="0"/>
    <n v="0"/>
    <n v="0"/>
    <n v="0"/>
    <m/>
    <n v="73.900000000000006"/>
  </r>
  <r>
    <s v="USR-101036"/>
    <d v="2025-01-04T00:00:00"/>
    <x v="1"/>
    <s v="North"/>
    <s v="Mobile"/>
    <s v="Social"/>
    <s v="Free"/>
    <x v="0"/>
    <x v="0"/>
    <x v="0"/>
    <x v="0"/>
    <n v="0"/>
    <n v="0"/>
    <n v="0"/>
    <m/>
    <n v="41.5"/>
  </r>
  <r>
    <s v="USR-101037"/>
    <d v="2025-01-16T00:00:00"/>
    <x v="1"/>
    <s v="West"/>
    <s v="Mobile"/>
    <s v="Social"/>
    <s v="Premium"/>
    <x v="1"/>
    <x v="0"/>
    <x v="0"/>
    <x v="0"/>
    <n v="0"/>
    <n v="0"/>
    <n v="0"/>
    <m/>
    <n v="82.8"/>
  </r>
  <r>
    <s v="USR-101038"/>
    <d v="2025-03-14T00:00:00"/>
    <x v="1"/>
    <s v="West"/>
    <s v="Mobile"/>
    <s v="Social"/>
    <s v="Premium"/>
    <x v="1"/>
    <x v="0"/>
    <x v="0"/>
    <x v="0"/>
    <n v="0"/>
    <n v="3"/>
    <n v="0"/>
    <m/>
    <n v="70.2"/>
  </r>
  <r>
    <s v="USR-101039"/>
    <d v="2025-01-23T00:00:00"/>
    <x v="1"/>
    <s v="East"/>
    <s v="Mobile"/>
    <s v="Paid Search"/>
    <s v="Basic"/>
    <x v="1"/>
    <x v="0"/>
    <x v="0"/>
    <x v="0"/>
    <n v="0"/>
    <n v="1"/>
    <n v="0"/>
    <m/>
    <n v="69.400000000000006"/>
  </r>
  <r>
    <s v="USR-101040"/>
    <d v="2025-02-03T00:00:00"/>
    <x v="1"/>
    <s v="North"/>
    <s v="Desktop"/>
    <s v="Organic"/>
    <s v="Basic"/>
    <x v="1"/>
    <x v="0"/>
    <x v="0"/>
    <x v="0"/>
    <n v="0"/>
    <n v="0"/>
    <n v="0"/>
    <m/>
    <n v="60.4"/>
  </r>
  <r>
    <s v="USR-101041"/>
    <d v="2025-05-16T00:00:00"/>
    <x v="1"/>
    <s v="East"/>
    <s v="Mobile"/>
    <s v="Referral"/>
    <s v="Free"/>
    <x v="1"/>
    <x v="0"/>
    <x v="0"/>
    <x v="0"/>
    <n v="0"/>
    <n v="0"/>
    <n v="0"/>
    <m/>
    <n v="45.7"/>
  </r>
  <r>
    <s v="USR-101042"/>
    <d v="2025-01-11T00:00:00"/>
    <x v="1"/>
    <s v="West"/>
    <s v="Mobile"/>
    <s v="Organic"/>
    <s v="Basic"/>
    <x v="0"/>
    <x v="0"/>
    <x v="0"/>
    <x v="0"/>
    <n v="0"/>
    <n v="1"/>
    <n v="0"/>
    <m/>
    <n v="42.2"/>
  </r>
  <r>
    <s v="USR-101043"/>
    <d v="2025-05-25T00:00:00"/>
    <x v="1"/>
    <s v="North"/>
    <s v="Desktop"/>
    <s v="Organic"/>
    <s v="Free"/>
    <x v="0"/>
    <x v="0"/>
    <x v="0"/>
    <x v="0"/>
    <n v="0"/>
    <n v="2"/>
    <n v="0"/>
    <m/>
    <n v="61.9"/>
  </r>
  <r>
    <s v="USR-101044"/>
    <d v="2025-05-08T00:00:00"/>
    <x v="1"/>
    <s v="East"/>
    <s v="Mobile"/>
    <s v="Paid Search"/>
    <s v="Premium"/>
    <x v="0"/>
    <x v="0"/>
    <x v="0"/>
    <x v="0"/>
    <n v="0"/>
    <n v="0"/>
    <n v="0"/>
    <m/>
    <n v="44.9"/>
  </r>
  <r>
    <s v="USR-101045"/>
    <d v="2025-02-26T00:00:00"/>
    <x v="1"/>
    <s v="East"/>
    <s v="Desktop"/>
    <m/>
    <s v="Basic"/>
    <x v="1"/>
    <x v="0"/>
    <x v="0"/>
    <x v="0"/>
    <n v="0"/>
    <n v="0"/>
    <n v="0"/>
    <m/>
    <n v="68"/>
  </r>
  <r>
    <s v="USR-101046"/>
    <d v="2025-03-30T00:00:00"/>
    <x v="1"/>
    <s v="North"/>
    <s v="Mobile"/>
    <s v="Paid Search"/>
    <s v="Free"/>
    <x v="1"/>
    <x v="0"/>
    <x v="0"/>
    <x v="0"/>
    <n v="0"/>
    <n v="0"/>
    <n v="0"/>
    <m/>
    <n v="61"/>
  </r>
  <r>
    <s v="USR-101047"/>
    <d v="2025-04-13T00:00:00"/>
    <x v="1"/>
    <s v="West"/>
    <s v="Mobile"/>
    <s v="Organic"/>
    <s v="Basic"/>
    <x v="1"/>
    <x v="0"/>
    <x v="0"/>
    <x v="0"/>
    <n v="0"/>
    <n v="0"/>
    <n v="0"/>
    <m/>
    <n v="55"/>
  </r>
  <r>
    <s v="USR-101048"/>
    <d v="2025-02-20T00:00:00"/>
    <x v="1"/>
    <s v="East"/>
    <m/>
    <s v="Paid Search"/>
    <s v="Basic"/>
    <x v="1"/>
    <x v="0"/>
    <x v="0"/>
    <x v="0"/>
    <n v="0"/>
    <n v="0"/>
    <n v="0"/>
    <m/>
    <n v="63.1"/>
  </r>
  <r>
    <s v="USR-101049"/>
    <d v="2025-04-19T00:00:00"/>
    <x v="1"/>
    <s v="West"/>
    <s v="Desktop"/>
    <s v="Social"/>
    <s v="Free"/>
    <x v="1"/>
    <x v="0"/>
    <x v="0"/>
    <x v="0"/>
    <n v="0"/>
    <n v="0"/>
    <n v="0"/>
    <m/>
    <n v="75.8"/>
  </r>
  <r>
    <s v="USR-101050"/>
    <d v="2025-03-22T00:00:00"/>
    <x v="1"/>
    <s v="South"/>
    <s v="Mobile"/>
    <s v="Paid Search"/>
    <s v="Free"/>
    <x v="1"/>
    <x v="1"/>
    <x v="0"/>
    <x v="0"/>
    <n v="0"/>
    <n v="1"/>
    <n v="0"/>
    <m/>
    <n v="43.8"/>
  </r>
  <r>
    <s v="USR-101051"/>
    <d v="2025-02-28T00:00:00"/>
    <x v="1"/>
    <s v="North"/>
    <s v="Mobile"/>
    <s v="Email"/>
    <s v="Basic"/>
    <x v="1"/>
    <x v="1"/>
    <x v="0"/>
    <x v="0"/>
    <n v="0"/>
    <n v="0"/>
    <n v="0"/>
    <m/>
    <n v="46.8"/>
  </r>
  <r>
    <s v="USR-101052"/>
    <d v="2025-05-24T00:00:00"/>
    <x v="1"/>
    <s v="East"/>
    <s v="Mobile"/>
    <s v="Social"/>
    <s v="Free"/>
    <x v="1"/>
    <x v="1"/>
    <x v="1"/>
    <x v="0"/>
    <n v="0"/>
    <n v="0"/>
    <n v="0"/>
    <m/>
    <n v="97.4"/>
  </r>
  <r>
    <s v="USR-101053"/>
    <d v="2025-02-03T00:00:00"/>
    <x v="1"/>
    <s v="North"/>
    <s v="Desktop"/>
    <s v="Email"/>
    <s v="Free"/>
    <x v="1"/>
    <x v="1"/>
    <x v="1"/>
    <x v="1"/>
    <n v="268.95999999999998"/>
    <n v="0"/>
    <n v="0"/>
    <n v="14"/>
    <n v="81"/>
  </r>
  <r>
    <s v="USR-101054"/>
    <d v="2025-01-27T00:00:00"/>
    <x v="1"/>
    <s v="South"/>
    <s v="Mobile"/>
    <s v="Organic"/>
    <s v="Free"/>
    <x v="1"/>
    <x v="0"/>
    <x v="0"/>
    <x v="0"/>
    <n v="0"/>
    <n v="1"/>
    <n v="0"/>
    <m/>
    <n v="58.9"/>
  </r>
  <r>
    <s v="USR-101055"/>
    <d v="2025-04-17T00:00:00"/>
    <x v="1"/>
    <s v="East"/>
    <s v="Mobile"/>
    <s v="Organic"/>
    <s v="Free"/>
    <x v="1"/>
    <x v="0"/>
    <x v="0"/>
    <x v="0"/>
    <n v="0"/>
    <n v="0"/>
    <n v="0"/>
    <m/>
    <n v="51.9"/>
  </r>
  <r>
    <s v="USR-101056"/>
    <d v="2025-02-06T00:00:00"/>
    <x v="1"/>
    <s v="West"/>
    <s v="Mobile"/>
    <s v="Social"/>
    <s v="Free"/>
    <x v="1"/>
    <x v="1"/>
    <x v="0"/>
    <x v="0"/>
    <n v="0"/>
    <n v="0"/>
    <n v="0"/>
    <m/>
    <n v="61.7"/>
  </r>
  <r>
    <s v="USR-101057"/>
    <d v="2025-04-20T00:00:00"/>
    <x v="1"/>
    <s v="South"/>
    <s v="Mobile"/>
    <s v="Paid Search"/>
    <s v="Free"/>
    <x v="1"/>
    <x v="0"/>
    <x v="0"/>
    <x v="0"/>
    <n v="0"/>
    <n v="0"/>
    <n v="0"/>
    <m/>
    <n v="44.7"/>
  </r>
  <r>
    <s v="USR-101058"/>
    <d v="2025-05-06T00:00:00"/>
    <x v="1"/>
    <s v="North"/>
    <s v="Mobile"/>
    <s v="Paid Search"/>
    <s v="Basic"/>
    <x v="0"/>
    <x v="0"/>
    <x v="0"/>
    <x v="0"/>
    <n v="0"/>
    <n v="0"/>
    <n v="0"/>
    <m/>
    <n v="63.2"/>
  </r>
  <r>
    <s v="USR-101059"/>
    <d v="2025-05-16T00:00:00"/>
    <x v="1"/>
    <s v="South"/>
    <s v="Mobile"/>
    <s v="Organic"/>
    <s v="Free"/>
    <x v="1"/>
    <x v="0"/>
    <x v="0"/>
    <x v="0"/>
    <n v="0"/>
    <n v="0"/>
    <n v="0"/>
    <m/>
    <n v="70.3"/>
  </r>
  <r>
    <s v="USR-101060"/>
    <d v="2025-03-02T00:00:00"/>
    <x v="1"/>
    <s v="South"/>
    <s v="Mobile"/>
    <s v="Paid Search"/>
    <s v="Premium"/>
    <x v="1"/>
    <x v="1"/>
    <x v="0"/>
    <x v="0"/>
    <n v="0"/>
    <n v="1"/>
    <n v="0"/>
    <m/>
    <n v="83.1"/>
  </r>
  <r>
    <s v="USR-101061"/>
    <d v="2025-04-09T00:00:00"/>
    <x v="1"/>
    <s v="West"/>
    <s v="Mobile"/>
    <s v="Social"/>
    <s v="Free"/>
    <x v="0"/>
    <x v="0"/>
    <x v="0"/>
    <x v="0"/>
    <n v="0"/>
    <n v="0"/>
    <n v="0"/>
    <m/>
    <n v="50.3"/>
  </r>
  <r>
    <s v="USR-101062"/>
    <d v="2025-01-26T00:00:00"/>
    <x v="1"/>
    <s v="East"/>
    <s v="Mobile"/>
    <s v="Paid Search"/>
    <s v="Free"/>
    <x v="1"/>
    <x v="1"/>
    <x v="1"/>
    <x v="1"/>
    <n v="437.09"/>
    <n v="2"/>
    <n v="1"/>
    <n v="1"/>
    <n v="58.2"/>
  </r>
  <r>
    <s v="USR-101063"/>
    <d v="2025-02-25T00:00:00"/>
    <x v="1"/>
    <s v="South"/>
    <s v="Mobile"/>
    <s v="Paid Search"/>
    <s v="Basic"/>
    <x v="1"/>
    <x v="1"/>
    <x v="1"/>
    <x v="0"/>
    <n v="0"/>
    <n v="0"/>
    <n v="0"/>
    <m/>
    <n v="53.2"/>
  </r>
  <r>
    <s v="USR-101064"/>
    <d v="2025-01-07T00:00:00"/>
    <x v="1"/>
    <s v="East"/>
    <s v="Mobile"/>
    <s v="Organic"/>
    <s v="Premium"/>
    <x v="0"/>
    <x v="0"/>
    <x v="0"/>
    <x v="0"/>
    <n v="0"/>
    <n v="0"/>
    <n v="0"/>
    <m/>
    <n v="36.4"/>
  </r>
  <r>
    <s v="USR-101065"/>
    <d v="2025-03-08T00:00:00"/>
    <x v="1"/>
    <s v="South"/>
    <s v="Mobile"/>
    <s v="Social"/>
    <s v="Basic"/>
    <x v="1"/>
    <x v="1"/>
    <x v="1"/>
    <x v="0"/>
    <n v="0"/>
    <n v="0"/>
    <n v="0"/>
    <m/>
    <n v="72.7"/>
  </r>
  <r>
    <s v="USR-101066"/>
    <d v="2025-05-22T00:00:00"/>
    <x v="1"/>
    <s v="East"/>
    <s v="Mobile"/>
    <s v="Referral"/>
    <s v="Free"/>
    <x v="1"/>
    <x v="0"/>
    <x v="0"/>
    <x v="0"/>
    <n v="0"/>
    <n v="1"/>
    <n v="0"/>
    <m/>
    <n v="86.7"/>
  </r>
  <r>
    <s v="USR-101067"/>
    <d v="2025-04-18T00:00:00"/>
    <x v="1"/>
    <s v="East"/>
    <s v="Mobile"/>
    <s v="Paid Search"/>
    <s v="Premium"/>
    <x v="1"/>
    <x v="0"/>
    <x v="0"/>
    <x v="0"/>
    <n v="0"/>
    <n v="0"/>
    <n v="0"/>
    <m/>
    <n v="48.2"/>
  </r>
  <r>
    <s v="USR-101068"/>
    <d v="2025-02-24T00:00:00"/>
    <x v="1"/>
    <s v="West"/>
    <s v="Mobile"/>
    <s v="Referral"/>
    <s v="Basic"/>
    <x v="0"/>
    <x v="0"/>
    <x v="0"/>
    <x v="0"/>
    <n v="0"/>
    <n v="1"/>
    <n v="0"/>
    <m/>
    <n v="57.6"/>
  </r>
  <r>
    <s v="USR-101069"/>
    <d v="2025-02-11T00:00:00"/>
    <x v="1"/>
    <s v="North"/>
    <s v="Mobile"/>
    <s v="Organic"/>
    <s v="Free"/>
    <x v="1"/>
    <x v="1"/>
    <x v="1"/>
    <x v="0"/>
    <n v="0"/>
    <n v="0"/>
    <n v="0"/>
    <m/>
    <n v="75.7"/>
  </r>
  <r>
    <s v="USR-101070"/>
    <d v="2025-03-11T00:00:00"/>
    <x v="1"/>
    <s v="West"/>
    <s v="Desktop"/>
    <s v="Paid Search"/>
    <s v="Free"/>
    <x v="1"/>
    <x v="0"/>
    <x v="0"/>
    <x v="0"/>
    <n v="0"/>
    <n v="2"/>
    <n v="0"/>
    <m/>
    <n v="48.6"/>
  </r>
  <r>
    <s v="USR-101071"/>
    <d v="2025-04-11T00:00:00"/>
    <x v="1"/>
    <s v="East"/>
    <s v="Tablet"/>
    <s v="Referral"/>
    <s v="Free"/>
    <x v="1"/>
    <x v="1"/>
    <x v="1"/>
    <x v="0"/>
    <n v="0"/>
    <n v="0"/>
    <n v="0"/>
    <m/>
    <n v="72"/>
  </r>
  <r>
    <s v="USR-101072"/>
    <d v="2025-03-11T00:00:00"/>
    <x v="1"/>
    <s v="North"/>
    <s v="Mobile"/>
    <s v="Organic"/>
    <s v="Free"/>
    <x v="0"/>
    <x v="0"/>
    <x v="0"/>
    <x v="0"/>
    <n v="0"/>
    <n v="0"/>
    <n v="0"/>
    <m/>
    <n v="72.2"/>
  </r>
  <r>
    <s v="USR-101073"/>
    <d v="2025-05-22T00:00:00"/>
    <x v="1"/>
    <s v="East"/>
    <s v="Mobile"/>
    <s v="Referral"/>
    <s v="Free"/>
    <x v="1"/>
    <x v="0"/>
    <x v="0"/>
    <x v="0"/>
    <n v="0"/>
    <n v="1"/>
    <n v="0"/>
    <m/>
    <m/>
  </r>
  <r>
    <s v="USR-101074"/>
    <d v="2025-02-22T00:00:00"/>
    <x v="1"/>
    <s v="South"/>
    <s v="Desktop"/>
    <s v="Organic"/>
    <s v="Free"/>
    <x v="1"/>
    <x v="1"/>
    <x v="1"/>
    <x v="1"/>
    <n v="331.53"/>
    <n v="2"/>
    <n v="0"/>
    <n v="4"/>
    <n v="56.8"/>
  </r>
  <r>
    <s v="USR-101075"/>
    <d v="2025-01-13T00:00:00"/>
    <x v="1"/>
    <s v="East"/>
    <s v="Mobile"/>
    <s v="Paid Search"/>
    <s v="Basic"/>
    <x v="1"/>
    <x v="0"/>
    <x v="0"/>
    <x v="0"/>
    <n v="0"/>
    <n v="0"/>
    <n v="0"/>
    <m/>
    <n v="62.5"/>
  </r>
  <r>
    <s v="USR-101076"/>
    <d v="2025-05-19T00:00:00"/>
    <x v="1"/>
    <s v="South"/>
    <s v="Mobile"/>
    <s v="Organic"/>
    <s v="Free"/>
    <x v="1"/>
    <x v="0"/>
    <x v="0"/>
    <x v="0"/>
    <n v="0"/>
    <n v="0"/>
    <n v="0"/>
    <m/>
    <n v="63.4"/>
  </r>
  <r>
    <s v="USR-101077"/>
    <d v="2025-03-08T00:00:00"/>
    <x v="1"/>
    <s v="North"/>
    <s v="Tablet"/>
    <s v="Organic"/>
    <s v="Basic"/>
    <x v="1"/>
    <x v="1"/>
    <x v="1"/>
    <x v="1"/>
    <n v="774.78"/>
    <n v="0"/>
    <n v="0"/>
    <n v="3"/>
    <n v="46.8"/>
  </r>
  <r>
    <s v="USR-101078"/>
    <d v="2025-04-20T00:00:00"/>
    <x v="1"/>
    <s v="South"/>
    <s v="Mobile"/>
    <s v="Organic"/>
    <s v="Free"/>
    <x v="1"/>
    <x v="1"/>
    <x v="1"/>
    <x v="1"/>
    <n v="422.02"/>
    <n v="0"/>
    <n v="0"/>
    <n v="8"/>
    <n v="86.5"/>
  </r>
  <r>
    <s v="USR-101079"/>
    <d v="2025-05-08T00:00:00"/>
    <x v="1"/>
    <s v="West"/>
    <s v="Mobile"/>
    <s v="Email"/>
    <s v="Basic"/>
    <x v="0"/>
    <x v="0"/>
    <x v="0"/>
    <x v="0"/>
    <n v="0"/>
    <n v="1"/>
    <n v="0"/>
    <m/>
    <n v="75.099999999999994"/>
  </r>
  <r>
    <s v="USR-101080"/>
    <d v="2025-05-10T00:00:00"/>
    <x v="1"/>
    <s v="South"/>
    <s v="Mobile"/>
    <s v="Organic"/>
    <s v="Basic"/>
    <x v="1"/>
    <x v="0"/>
    <x v="0"/>
    <x v="0"/>
    <n v="0"/>
    <n v="0"/>
    <n v="0"/>
    <m/>
    <n v="64.5"/>
  </r>
  <r>
    <s v="USR-101081"/>
    <d v="2025-03-28T00:00:00"/>
    <x v="1"/>
    <s v="East"/>
    <s v="Mobile"/>
    <s v="Organic"/>
    <s v="Free"/>
    <x v="1"/>
    <x v="0"/>
    <x v="0"/>
    <x v="0"/>
    <n v="0"/>
    <n v="0"/>
    <n v="0"/>
    <m/>
    <n v="54.2"/>
  </r>
  <r>
    <s v="USR-101082"/>
    <d v="2025-04-30T00:00:00"/>
    <x v="1"/>
    <s v="East"/>
    <s v="Mobile"/>
    <s v="Paid Search"/>
    <s v="Premium"/>
    <x v="1"/>
    <x v="1"/>
    <x v="1"/>
    <x v="0"/>
    <n v="0"/>
    <n v="0"/>
    <n v="0"/>
    <m/>
    <n v="84.1"/>
  </r>
  <r>
    <s v="USR-101083"/>
    <d v="2025-02-08T00:00:00"/>
    <x v="1"/>
    <s v="North"/>
    <s v="Mobile"/>
    <s v="Organic"/>
    <s v="Basic"/>
    <x v="0"/>
    <x v="0"/>
    <x v="0"/>
    <x v="0"/>
    <n v="0"/>
    <n v="1"/>
    <n v="0"/>
    <m/>
    <n v="49.1"/>
  </r>
  <r>
    <s v="USR-101084"/>
    <d v="2025-03-07T00:00:00"/>
    <x v="1"/>
    <s v="South"/>
    <s v="Mobile"/>
    <s v="Referral"/>
    <s v="Premium"/>
    <x v="0"/>
    <x v="0"/>
    <x v="0"/>
    <x v="0"/>
    <n v="0"/>
    <n v="0"/>
    <n v="0"/>
    <m/>
    <n v="92.7"/>
  </r>
  <r>
    <s v="USR-101085"/>
    <d v="2025-05-21T00:00:00"/>
    <x v="1"/>
    <s v="South"/>
    <s v="Mobile"/>
    <s v="Social"/>
    <s v="Basic"/>
    <x v="1"/>
    <x v="1"/>
    <x v="1"/>
    <x v="0"/>
    <n v="0"/>
    <n v="1"/>
    <n v="0"/>
    <m/>
    <n v="58.7"/>
  </r>
  <r>
    <s v="USR-101086"/>
    <d v="2025-04-12T00:00:00"/>
    <x v="1"/>
    <s v="South"/>
    <s v="Mobile"/>
    <s v="Social"/>
    <s v="Free"/>
    <x v="1"/>
    <x v="1"/>
    <x v="1"/>
    <x v="0"/>
    <n v="0"/>
    <n v="0"/>
    <n v="0"/>
    <m/>
    <n v="59.3"/>
  </r>
  <r>
    <s v="USR-101087"/>
    <d v="2025-02-02T00:00:00"/>
    <x v="1"/>
    <s v="South"/>
    <s v="Mobile"/>
    <s v="Paid Search"/>
    <s v="Free"/>
    <x v="1"/>
    <x v="0"/>
    <x v="0"/>
    <x v="0"/>
    <n v="0"/>
    <n v="0"/>
    <n v="0"/>
    <m/>
    <n v="62"/>
  </r>
  <r>
    <s v="USR-101088"/>
    <d v="2025-04-22T00:00:00"/>
    <x v="1"/>
    <s v="North"/>
    <s v="Tablet"/>
    <s v="Referral"/>
    <s v="Free"/>
    <x v="1"/>
    <x v="1"/>
    <x v="1"/>
    <x v="0"/>
    <n v="0"/>
    <n v="1"/>
    <n v="0"/>
    <m/>
    <n v="60.3"/>
  </r>
  <r>
    <s v="USR-101089"/>
    <d v="2025-02-08T00:00:00"/>
    <x v="1"/>
    <s v="North"/>
    <s v="Mobile"/>
    <s v="Social"/>
    <s v="Basic"/>
    <x v="1"/>
    <x v="0"/>
    <x v="0"/>
    <x v="0"/>
    <n v="0"/>
    <n v="0"/>
    <n v="0"/>
    <m/>
    <n v="70.5"/>
  </r>
  <r>
    <s v="USR-101090"/>
    <d v="2025-01-24T00:00:00"/>
    <x v="1"/>
    <s v="South"/>
    <s v="Desktop"/>
    <s v="Email"/>
    <s v="Free"/>
    <x v="1"/>
    <x v="0"/>
    <x v="0"/>
    <x v="0"/>
    <n v="0"/>
    <n v="0"/>
    <n v="0"/>
    <m/>
    <n v="36.799999999999997"/>
  </r>
  <r>
    <s v="USR-101091"/>
    <d v="2025-05-12T00:00:00"/>
    <x v="1"/>
    <s v="South"/>
    <s v="Mobile"/>
    <s v="Paid Search"/>
    <s v="Basic"/>
    <x v="0"/>
    <x v="0"/>
    <x v="0"/>
    <x v="0"/>
    <n v="0"/>
    <n v="1"/>
    <n v="0"/>
    <m/>
    <n v="73.2"/>
  </r>
  <r>
    <s v="USR-101092"/>
    <d v="2025-03-30T00:00:00"/>
    <x v="1"/>
    <s v="North"/>
    <s v="Mobile"/>
    <s v="Organic"/>
    <s v="Basic"/>
    <x v="0"/>
    <x v="0"/>
    <x v="0"/>
    <x v="0"/>
    <n v="0"/>
    <n v="0"/>
    <n v="0"/>
    <m/>
    <n v="70.099999999999994"/>
  </r>
  <r>
    <s v="USR-101093"/>
    <d v="2025-01-02T00:00:00"/>
    <x v="1"/>
    <s v="South"/>
    <s v="Desktop"/>
    <s v="Paid Search"/>
    <s v="Basic"/>
    <x v="1"/>
    <x v="0"/>
    <x v="0"/>
    <x v="0"/>
    <n v="0"/>
    <n v="0"/>
    <n v="0"/>
    <m/>
    <n v="76.400000000000006"/>
  </r>
  <r>
    <s v="USR-101094"/>
    <d v="2025-03-21T00:00:00"/>
    <x v="1"/>
    <s v="South"/>
    <s v="Tablet"/>
    <s v="Email"/>
    <s v="Basic"/>
    <x v="0"/>
    <x v="0"/>
    <x v="0"/>
    <x v="0"/>
    <n v="0"/>
    <n v="0"/>
    <n v="0"/>
    <m/>
    <n v="46.4"/>
  </r>
  <r>
    <s v="USR-101095"/>
    <d v="2025-01-25T00:00:00"/>
    <x v="1"/>
    <s v="West"/>
    <s v="Mobile"/>
    <s v="Organic"/>
    <s v="Free"/>
    <x v="1"/>
    <x v="1"/>
    <x v="1"/>
    <x v="0"/>
    <n v="0"/>
    <n v="1"/>
    <n v="0"/>
    <m/>
    <n v="81.3"/>
  </r>
  <r>
    <s v="USR-101096"/>
    <d v="2025-01-12T00:00:00"/>
    <x v="1"/>
    <s v="South"/>
    <s v="Tablet"/>
    <s v="Social"/>
    <s v="Free"/>
    <x v="1"/>
    <x v="1"/>
    <x v="1"/>
    <x v="0"/>
    <n v="0"/>
    <n v="0"/>
    <n v="0"/>
    <m/>
    <n v="55.3"/>
  </r>
  <r>
    <s v="USR-101097"/>
    <d v="2025-03-18T00:00:00"/>
    <x v="1"/>
    <s v="East"/>
    <s v="Desktop"/>
    <s v="Referral"/>
    <s v="Free"/>
    <x v="1"/>
    <x v="0"/>
    <x v="0"/>
    <x v="0"/>
    <n v="0"/>
    <n v="0"/>
    <n v="0"/>
    <m/>
    <n v="44.7"/>
  </r>
  <r>
    <s v="USR-101098"/>
    <d v="2025-03-26T00:00:00"/>
    <x v="1"/>
    <s v="East"/>
    <s v="Mobile"/>
    <s v="Paid Search"/>
    <s v="Basic"/>
    <x v="1"/>
    <x v="0"/>
    <x v="0"/>
    <x v="0"/>
    <n v="0"/>
    <n v="0"/>
    <n v="0"/>
    <m/>
    <n v="67.2"/>
  </r>
  <r>
    <s v="USR-101099"/>
    <d v="2025-04-19T00:00:00"/>
    <x v="1"/>
    <s v="North"/>
    <s v="Mobile"/>
    <s v="Paid Search"/>
    <s v="Basic"/>
    <x v="1"/>
    <x v="0"/>
    <x v="0"/>
    <x v="0"/>
    <n v="0"/>
    <n v="0"/>
    <n v="0"/>
    <m/>
    <m/>
  </r>
  <r>
    <s v="USR-101100"/>
    <d v="2025-04-17T00:00:00"/>
    <x v="1"/>
    <s v="East"/>
    <s v="Mobile"/>
    <s v="Organic"/>
    <s v="Premium"/>
    <x v="1"/>
    <x v="1"/>
    <x v="1"/>
    <x v="0"/>
    <n v="0"/>
    <n v="1"/>
    <n v="0"/>
    <m/>
    <n v="70.8"/>
  </r>
  <r>
    <s v="USR-101101"/>
    <d v="2025-05-26T00:00:00"/>
    <x v="1"/>
    <s v="South"/>
    <s v="Mobile"/>
    <s v="Paid Search"/>
    <s v="Free"/>
    <x v="1"/>
    <x v="0"/>
    <x v="0"/>
    <x v="0"/>
    <n v="0"/>
    <n v="0"/>
    <n v="0"/>
    <m/>
    <n v="71.3"/>
  </r>
  <r>
    <s v="USR-101102"/>
    <d v="2025-04-14T00:00:00"/>
    <x v="1"/>
    <s v="North"/>
    <s v="Mobile"/>
    <s v="Social"/>
    <s v="Premium"/>
    <x v="1"/>
    <x v="1"/>
    <x v="1"/>
    <x v="0"/>
    <n v="0"/>
    <n v="0"/>
    <n v="0"/>
    <m/>
    <n v="69.400000000000006"/>
  </r>
  <r>
    <s v="USR-101103"/>
    <d v="2025-01-23T00:00:00"/>
    <x v="1"/>
    <s v="South"/>
    <s v="Mobile"/>
    <s v="Organic"/>
    <s v="Basic"/>
    <x v="1"/>
    <x v="1"/>
    <x v="0"/>
    <x v="0"/>
    <n v="0"/>
    <n v="0"/>
    <n v="0"/>
    <m/>
    <n v="58.9"/>
  </r>
  <r>
    <s v="USR-101104"/>
    <d v="2025-01-06T00:00:00"/>
    <x v="1"/>
    <s v="East"/>
    <s v="Mobile"/>
    <s v="Referral"/>
    <s v="Free"/>
    <x v="0"/>
    <x v="0"/>
    <x v="0"/>
    <x v="0"/>
    <n v="0"/>
    <n v="0"/>
    <n v="0"/>
    <m/>
    <n v="70.7"/>
  </r>
  <r>
    <s v="USR-101105"/>
    <d v="2025-05-31T00:00:00"/>
    <x v="1"/>
    <s v="West"/>
    <s v="Mobile"/>
    <s v="Email"/>
    <s v="Basic"/>
    <x v="1"/>
    <x v="0"/>
    <x v="0"/>
    <x v="0"/>
    <n v="0"/>
    <n v="0"/>
    <n v="0"/>
    <m/>
    <n v="60.5"/>
  </r>
  <r>
    <s v="USR-101106"/>
    <d v="2025-05-19T00:00:00"/>
    <x v="1"/>
    <s v="North"/>
    <s v="Mobile"/>
    <s v="Organic"/>
    <s v="Basic"/>
    <x v="1"/>
    <x v="1"/>
    <x v="1"/>
    <x v="0"/>
    <n v="0"/>
    <n v="0"/>
    <n v="0"/>
    <m/>
    <n v="77.3"/>
  </r>
  <r>
    <s v="USR-101107"/>
    <d v="2025-02-25T00:00:00"/>
    <x v="1"/>
    <s v="North"/>
    <s v="Mobile"/>
    <s v="Organic"/>
    <s v="Free"/>
    <x v="0"/>
    <x v="0"/>
    <x v="0"/>
    <x v="0"/>
    <n v="0"/>
    <n v="1"/>
    <n v="0"/>
    <m/>
    <n v="39.5"/>
  </r>
  <r>
    <s v="USR-101108"/>
    <d v="2025-01-10T00:00:00"/>
    <x v="1"/>
    <s v="South"/>
    <s v="Tablet"/>
    <s v="Organic"/>
    <s v="Basic"/>
    <x v="1"/>
    <x v="0"/>
    <x v="0"/>
    <x v="0"/>
    <n v="0"/>
    <n v="0"/>
    <n v="0"/>
    <m/>
    <n v="68.099999999999994"/>
  </r>
  <r>
    <s v="USR-101109"/>
    <d v="2025-05-13T00:00:00"/>
    <x v="1"/>
    <s v="North"/>
    <s v="Tablet"/>
    <s v="Paid Search"/>
    <s v="Free"/>
    <x v="0"/>
    <x v="0"/>
    <x v="0"/>
    <x v="0"/>
    <n v="0"/>
    <n v="0"/>
    <n v="0"/>
    <m/>
    <n v="80.3"/>
  </r>
  <r>
    <s v="USR-101110"/>
    <d v="2025-04-27T00:00:00"/>
    <x v="1"/>
    <s v="West"/>
    <s v="Desktop"/>
    <s v="Organic"/>
    <s v="Premium"/>
    <x v="1"/>
    <x v="0"/>
    <x v="0"/>
    <x v="0"/>
    <n v="0"/>
    <n v="0"/>
    <n v="0"/>
    <m/>
    <n v="77.7"/>
  </r>
  <r>
    <s v="USR-101111"/>
    <d v="2025-04-03T00:00:00"/>
    <x v="1"/>
    <s v="South"/>
    <s v="Mobile"/>
    <s v="Organic"/>
    <s v="Free"/>
    <x v="1"/>
    <x v="0"/>
    <x v="0"/>
    <x v="0"/>
    <n v="0"/>
    <n v="1"/>
    <n v="0"/>
    <m/>
    <n v="66.2"/>
  </r>
  <r>
    <s v="USR-101112"/>
    <d v="2025-03-26T00:00:00"/>
    <x v="1"/>
    <s v="South"/>
    <s v="Mobile"/>
    <s v="Organic"/>
    <s v="Free"/>
    <x v="1"/>
    <x v="1"/>
    <x v="1"/>
    <x v="0"/>
    <n v="0"/>
    <n v="1"/>
    <n v="0"/>
    <m/>
    <n v="43.9"/>
  </r>
  <r>
    <s v="USR-101113"/>
    <d v="2025-01-31T00:00:00"/>
    <x v="1"/>
    <s v="South"/>
    <s v="Mobile"/>
    <s v="Organic"/>
    <s v="Basic"/>
    <x v="1"/>
    <x v="1"/>
    <x v="1"/>
    <x v="0"/>
    <n v="0"/>
    <n v="2"/>
    <n v="0"/>
    <m/>
    <n v="59.1"/>
  </r>
  <r>
    <s v="USR-101114"/>
    <d v="2025-01-25T00:00:00"/>
    <x v="1"/>
    <s v="South"/>
    <s v="Mobile"/>
    <s v="Social"/>
    <s v="Free"/>
    <x v="1"/>
    <x v="1"/>
    <x v="1"/>
    <x v="1"/>
    <n v="416.94"/>
    <n v="1"/>
    <n v="0"/>
    <n v="11"/>
    <n v="67"/>
  </r>
  <r>
    <s v="USR-101115"/>
    <d v="2025-02-06T00:00:00"/>
    <x v="1"/>
    <s v="West"/>
    <s v="Mobile"/>
    <s v="Referral"/>
    <s v="Basic"/>
    <x v="1"/>
    <x v="0"/>
    <x v="0"/>
    <x v="0"/>
    <n v="0"/>
    <n v="0"/>
    <n v="0"/>
    <m/>
    <n v="47.9"/>
  </r>
  <r>
    <s v="USR-101116"/>
    <d v="2025-03-10T00:00:00"/>
    <x v="1"/>
    <s v="East"/>
    <s v="Mobile"/>
    <s v="Paid Search"/>
    <s v="Free"/>
    <x v="1"/>
    <x v="1"/>
    <x v="0"/>
    <x v="0"/>
    <n v="0"/>
    <n v="0"/>
    <n v="0"/>
    <m/>
    <n v="41.5"/>
  </r>
  <r>
    <s v="USR-101117"/>
    <d v="2025-01-26T00:00:00"/>
    <x v="1"/>
    <s v="West"/>
    <s v="Mobile"/>
    <s v="Organic"/>
    <s v="Basic"/>
    <x v="1"/>
    <x v="1"/>
    <x v="1"/>
    <x v="0"/>
    <n v="0"/>
    <n v="3"/>
    <n v="0"/>
    <m/>
    <n v="30.6"/>
  </r>
  <r>
    <s v="USR-101118"/>
    <d v="2025-01-01T00:00:00"/>
    <x v="1"/>
    <s v="East"/>
    <s v="Mobile"/>
    <s v="Paid Search"/>
    <s v="Free"/>
    <x v="1"/>
    <x v="1"/>
    <x v="0"/>
    <x v="0"/>
    <n v="0"/>
    <n v="0"/>
    <n v="0"/>
    <m/>
    <n v="91.5"/>
  </r>
  <r>
    <s v="USR-101119"/>
    <d v="2025-04-28T00:00:00"/>
    <x v="1"/>
    <s v="North"/>
    <s v="Desktop"/>
    <s v="Social"/>
    <s v="Basic"/>
    <x v="1"/>
    <x v="0"/>
    <x v="0"/>
    <x v="0"/>
    <n v="0"/>
    <n v="0"/>
    <n v="0"/>
    <m/>
    <n v="80.8"/>
  </r>
  <r>
    <s v="USR-101120"/>
    <d v="2025-04-04T00:00:00"/>
    <x v="1"/>
    <s v="North"/>
    <s v="Mobile"/>
    <s v="Organic"/>
    <s v="Premium"/>
    <x v="1"/>
    <x v="0"/>
    <x v="0"/>
    <x v="0"/>
    <n v="0"/>
    <n v="0"/>
    <n v="0"/>
    <m/>
    <n v="68.099999999999994"/>
  </r>
  <r>
    <s v="USR-101121"/>
    <d v="2025-03-02T00:00:00"/>
    <x v="1"/>
    <s v="East"/>
    <s v="Mobile"/>
    <s v="Paid Search"/>
    <s v="Free"/>
    <x v="1"/>
    <x v="0"/>
    <x v="0"/>
    <x v="0"/>
    <n v="0"/>
    <n v="0"/>
    <n v="0"/>
    <m/>
    <n v="80.3"/>
  </r>
  <r>
    <s v="USR-101122"/>
    <d v="2025-03-19T00:00:00"/>
    <x v="1"/>
    <s v="South"/>
    <s v="Tablet"/>
    <s v="Organic"/>
    <s v="Basic"/>
    <x v="1"/>
    <x v="0"/>
    <x v="0"/>
    <x v="0"/>
    <n v="0"/>
    <n v="0"/>
    <n v="0"/>
    <m/>
    <n v="44.4"/>
  </r>
  <r>
    <s v="USR-101123"/>
    <d v="2025-01-20T00:00:00"/>
    <x v="1"/>
    <s v="South"/>
    <s v="Desktop"/>
    <s v="Organic"/>
    <s v="Basic"/>
    <x v="0"/>
    <x v="0"/>
    <x v="0"/>
    <x v="0"/>
    <n v="0"/>
    <n v="0"/>
    <n v="0"/>
    <m/>
    <n v="51.9"/>
  </r>
  <r>
    <s v="USR-101124"/>
    <d v="2025-04-03T00:00:00"/>
    <x v="1"/>
    <s v="East"/>
    <s v="Mobile"/>
    <s v="Paid Search"/>
    <s v="Free"/>
    <x v="1"/>
    <x v="1"/>
    <x v="0"/>
    <x v="0"/>
    <n v="0"/>
    <n v="0"/>
    <n v="0"/>
    <m/>
    <n v="49.8"/>
  </r>
  <r>
    <s v="USR-101125"/>
    <d v="2025-01-11T00:00:00"/>
    <x v="1"/>
    <s v="East"/>
    <s v="Desktop"/>
    <s v="Social"/>
    <s v="Free"/>
    <x v="1"/>
    <x v="1"/>
    <x v="1"/>
    <x v="0"/>
    <n v="0"/>
    <n v="3"/>
    <n v="0"/>
    <m/>
    <n v="62.1"/>
  </r>
  <r>
    <s v="USR-101126"/>
    <d v="2025-02-02T00:00:00"/>
    <x v="1"/>
    <s v="West"/>
    <s v="Desktop"/>
    <s v="Social"/>
    <s v="Basic"/>
    <x v="1"/>
    <x v="0"/>
    <x v="0"/>
    <x v="0"/>
    <n v="0"/>
    <n v="0"/>
    <n v="0"/>
    <m/>
    <n v="91.3"/>
  </r>
  <r>
    <s v="USR-101127"/>
    <d v="2025-04-01T00:00:00"/>
    <x v="1"/>
    <s v="South"/>
    <s v="Mobile"/>
    <s v="Organic"/>
    <s v="Basic"/>
    <x v="1"/>
    <x v="0"/>
    <x v="0"/>
    <x v="0"/>
    <n v="0"/>
    <n v="0"/>
    <n v="0"/>
    <m/>
    <n v="66.400000000000006"/>
  </r>
  <r>
    <s v="USR-101128"/>
    <d v="2025-05-22T00:00:00"/>
    <x v="1"/>
    <s v="East"/>
    <s v="Mobile"/>
    <s v="Organic"/>
    <s v="Basic"/>
    <x v="1"/>
    <x v="0"/>
    <x v="0"/>
    <x v="0"/>
    <n v="0"/>
    <n v="0"/>
    <n v="0"/>
    <m/>
    <n v="41.5"/>
  </r>
  <r>
    <s v="USR-101129"/>
    <d v="2025-02-20T00:00:00"/>
    <x v="1"/>
    <s v="West"/>
    <s v="Mobile"/>
    <s v="Organic"/>
    <s v="Basic"/>
    <x v="0"/>
    <x v="0"/>
    <x v="0"/>
    <x v="0"/>
    <n v="0"/>
    <n v="0"/>
    <n v="0"/>
    <m/>
    <n v="77.099999999999994"/>
  </r>
  <r>
    <s v="USR-101130"/>
    <d v="2025-03-21T00:00:00"/>
    <x v="1"/>
    <s v="West"/>
    <s v="Mobile"/>
    <s v="Organic"/>
    <s v="Free"/>
    <x v="1"/>
    <x v="0"/>
    <x v="0"/>
    <x v="0"/>
    <n v="0"/>
    <n v="0"/>
    <n v="0"/>
    <m/>
    <n v="63.2"/>
  </r>
  <r>
    <s v="USR-101131"/>
    <d v="2025-05-01T00:00:00"/>
    <x v="1"/>
    <s v="West"/>
    <s v="Desktop"/>
    <s v="Referral"/>
    <s v="Free"/>
    <x v="1"/>
    <x v="1"/>
    <x v="1"/>
    <x v="0"/>
    <n v="0"/>
    <n v="3"/>
    <n v="0"/>
    <m/>
    <n v="75.7"/>
  </r>
  <r>
    <s v="USR-101132"/>
    <d v="2025-01-06T00:00:00"/>
    <x v="1"/>
    <s v="West"/>
    <s v="Mobile"/>
    <s v="Paid Search"/>
    <s v="Basic"/>
    <x v="0"/>
    <x v="0"/>
    <x v="0"/>
    <x v="0"/>
    <n v="0"/>
    <n v="0"/>
    <n v="0"/>
    <m/>
    <n v="62.9"/>
  </r>
  <r>
    <s v="USR-101133"/>
    <d v="2025-04-12T00:00:00"/>
    <x v="1"/>
    <s v="North"/>
    <s v="Desktop"/>
    <s v="Paid Search"/>
    <s v="Premium"/>
    <x v="1"/>
    <x v="0"/>
    <x v="0"/>
    <x v="0"/>
    <n v="0"/>
    <n v="3"/>
    <n v="0"/>
    <m/>
    <n v="64.599999999999994"/>
  </r>
  <r>
    <s v="USR-101134"/>
    <d v="2025-04-18T00:00:00"/>
    <x v="1"/>
    <s v="North"/>
    <s v="Mobile"/>
    <m/>
    <s v="Basic"/>
    <x v="1"/>
    <x v="0"/>
    <x v="0"/>
    <x v="0"/>
    <n v="0"/>
    <n v="0"/>
    <n v="0"/>
    <m/>
    <n v="76.599999999999994"/>
  </r>
  <r>
    <s v="USR-101135"/>
    <d v="2025-03-24T00:00:00"/>
    <x v="1"/>
    <s v="East"/>
    <s v="Mobile"/>
    <s v="Social"/>
    <s v="Basic"/>
    <x v="1"/>
    <x v="0"/>
    <x v="0"/>
    <x v="0"/>
    <n v="0"/>
    <n v="0"/>
    <n v="0"/>
    <m/>
    <n v="74.8"/>
  </r>
  <r>
    <s v="USR-101136"/>
    <d v="2025-03-18T00:00:00"/>
    <x v="1"/>
    <s v="East"/>
    <s v="Desktop"/>
    <s v="Email"/>
    <s v="Premium"/>
    <x v="1"/>
    <x v="0"/>
    <x v="0"/>
    <x v="0"/>
    <n v="0"/>
    <n v="2"/>
    <n v="0"/>
    <m/>
    <n v="38.1"/>
  </r>
  <r>
    <s v="USR-101137"/>
    <d v="2025-04-30T00:00:00"/>
    <x v="1"/>
    <s v="South"/>
    <s v="Tablet"/>
    <s v="Paid Search"/>
    <s v="Basic"/>
    <x v="1"/>
    <x v="1"/>
    <x v="0"/>
    <x v="0"/>
    <n v="0"/>
    <n v="0"/>
    <n v="0"/>
    <m/>
    <n v="60.2"/>
  </r>
  <r>
    <s v="USR-101138"/>
    <d v="2025-01-25T00:00:00"/>
    <x v="1"/>
    <s v="West"/>
    <s v="Mobile"/>
    <s v="Email"/>
    <s v="Free"/>
    <x v="1"/>
    <x v="1"/>
    <x v="0"/>
    <x v="0"/>
    <n v="0"/>
    <n v="0"/>
    <n v="0"/>
    <m/>
    <n v="73.5"/>
  </r>
  <r>
    <s v="USR-101139"/>
    <d v="2025-04-10T00:00:00"/>
    <x v="1"/>
    <s v="South"/>
    <s v="Mobile"/>
    <s v="Organic"/>
    <s v="Free"/>
    <x v="1"/>
    <x v="0"/>
    <x v="0"/>
    <x v="0"/>
    <n v="0"/>
    <n v="0"/>
    <n v="0"/>
    <m/>
    <n v="70.900000000000006"/>
  </r>
  <r>
    <s v="USR-101140"/>
    <d v="2025-01-10T00:00:00"/>
    <x v="1"/>
    <s v="West"/>
    <s v="Mobile"/>
    <s v="Social"/>
    <s v="Free"/>
    <x v="1"/>
    <x v="0"/>
    <x v="0"/>
    <x v="0"/>
    <n v="0"/>
    <n v="0"/>
    <n v="0"/>
    <m/>
    <n v="63.7"/>
  </r>
  <r>
    <s v="USR-101141"/>
    <d v="2025-02-11T00:00:00"/>
    <x v="1"/>
    <s v="South"/>
    <s v="Mobile"/>
    <s v="Paid Search"/>
    <s v="Free"/>
    <x v="1"/>
    <x v="0"/>
    <x v="0"/>
    <x v="0"/>
    <n v="0"/>
    <n v="0"/>
    <n v="0"/>
    <m/>
    <n v="86.5"/>
  </r>
  <r>
    <s v="USR-101142"/>
    <d v="2025-05-01T00:00:00"/>
    <x v="1"/>
    <s v="East"/>
    <s v="Mobile"/>
    <s v="Social"/>
    <s v="Basic"/>
    <x v="1"/>
    <x v="1"/>
    <x v="1"/>
    <x v="1"/>
    <n v="921.72"/>
    <n v="3"/>
    <n v="0"/>
    <n v="7"/>
    <n v="74.599999999999994"/>
  </r>
  <r>
    <s v="USR-101143"/>
    <d v="2025-01-18T00:00:00"/>
    <x v="1"/>
    <s v="East"/>
    <s v="Mobile"/>
    <s v="Organic"/>
    <s v="Free"/>
    <x v="1"/>
    <x v="0"/>
    <x v="0"/>
    <x v="0"/>
    <n v="0"/>
    <n v="0"/>
    <n v="0"/>
    <m/>
    <n v="46.6"/>
  </r>
  <r>
    <s v="USR-101144"/>
    <d v="2025-01-02T00:00:00"/>
    <x v="1"/>
    <s v="North"/>
    <s v="Mobile"/>
    <s v="Paid Search"/>
    <s v="Free"/>
    <x v="0"/>
    <x v="0"/>
    <x v="0"/>
    <x v="0"/>
    <n v="0"/>
    <n v="0"/>
    <n v="0"/>
    <m/>
    <n v="61.2"/>
  </r>
  <r>
    <s v="USR-101145"/>
    <d v="2025-05-11T00:00:00"/>
    <x v="1"/>
    <s v="West"/>
    <s v="Mobile"/>
    <s v="Organic"/>
    <s v="Free"/>
    <x v="1"/>
    <x v="1"/>
    <x v="1"/>
    <x v="1"/>
    <n v="290.39"/>
    <n v="0"/>
    <n v="0"/>
    <n v="4"/>
    <n v="54.4"/>
  </r>
  <r>
    <s v="USR-101146"/>
    <d v="2025-03-22T00:00:00"/>
    <x v="1"/>
    <s v="North"/>
    <s v="Mobile"/>
    <s v="Referral"/>
    <s v="Free"/>
    <x v="1"/>
    <x v="1"/>
    <x v="1"/>
    <x v="0"/>
    <n v="0"/>
    <n v="0"/>
    <n v="0"/>
    <m/>
    <n v="72"/>
  </r>
  <r>
    <s v="USR-101147"/>
    <d v="2025-05-02T00:00:00"/>
    <x v="1"/>
    <s v="South"/>
    <s v="Mobile"/>
    <s v="Social"/>
    <s v="Premium"/>
    <x v="1"/>
    <x v="1"/>
    <x v="1"/>
    <x v="1"/>
    <n v="1858.85"/>
    <n v="0"/>
    <n v="0"/>
    <n v="8"/>
    <n v="88.6"/>
  </r>
  <r>
    <s v="USR-101148"/>
    <d v="2025-05-26T00:00:00"/>
    <x v="1"/>
    <s v="East"/>
    <s v="Desktop"/>
    <m/>
    <s v="Basic"/>
    <x v="1"/>
    <x v="0"/>
    <x v="0"/>
    <x v="0"/>
    <n v="0"/>
    <n v="0"/>
    <n v="0"/>
    <m/>
    <n v="77.599999999999994"/>
  </r>
  <r>
    <s v="USR-101149"/>
    <d v="2025-03-13T00:00:00"/>
    <x v="1"/>
    <s v="South"/>
    <s v="Mobile"/>
    <s v="Organic"/>
    <s v="Basic"/>
    <x v="1"/>
    <x v="0"/>
    <x v="0"/>
    <x v="0"/>
    <n v="0"/>
    <n v="1"/>
    <n v="0"/>
    <m/>
    <n v="44.3"/>
  </r>
  <r>
    <s v="USR-101150"/>
    <d v="2025-05-17T00:00:00"/>
    <x v="1"/>
    <s v="South"/>
    <s v="Desktop"/>
    <s v="Paid Search"/>
    <s v="Free"/>
    <x v="1"/>
    <x v="1"/>
    <x v="0"/>
    <x v="0"/>
    <n v="0"/>
    <n v="0"/>
    <n v="0"/>
    <m/>
    <n v="49"/>
  </r>
  <r>
    <s v="USR-101151"/>
    <d v="2025-03-13T00:00:00"/>
    <x v="1"/>
    <s v="North"/>
    <s v="Desktop"/>
    <s v="Referral"/>
    <s v="Premium"/>
    <x v="1"/>
    <x v="0"/>
    <x v="0"/>
    <x v="0"/>
    <n v="0"/>
    <n v="0"/>
    <n v="0"/>
    <m/>
    <n v="53.9"/>
  </r>
  <r>
    <s v="USR-101152"/>
    <d v="2025-02-11T00:00:00"/>
    <x v="1"/>
    <s v="East"/>
    <s v="Desktop"/>
    <s v="Organic"/>
    <s v="Basic"/>
    <x v="1"/>
    <x v="0"/>
    <x v="0"/>
    <x v="0"/>
    <n v="0"/>
    <n v="1"/>
    <n v="0"/>
    <m/>
    <n v="69"/>
  </r>
  <r>
    <s v="USR-101153"/>
    <d v="2025-03-01T00:00:00"/>
    <x v="1"/>
    <s v="West"/>
    <s v="Mobile"/>
    <s v="Social"/>
    <s v="Free"/>
    <x v="0"/>
    <x v="0"/>
    <x v="0"/>
    <x v="0"/>
    <n v="0"/>
    <n v="0"/>
    <n v="0"/>
    <m/>
    <n v="37.4"/>
  </r>
  <r>
    <s v="USR-101154"/>
    <d v="2025-04-15T00:00:00"/>
    <x v="1"/>
    <s v="West"/>
    <s v="Mobile"/>
    <s v="Organic"/>
    <s v="Basic"/>
    <x v="0"/>
    <x v="0"/>
    <x v="0"/>
    <x v="0"/>
    <n v="0"/>
    <n v="0"/>
    <n v="0"/>
    <m/>
    <n v="59"/>
  </r>
  <r>
    <s v="USR-101155"/>
    <d v="2025-02-02T00:00:00"/>
    <x v="1"/>
    <s v="East"/>
    <s v="Mobile"/>
    <s v="Organic"/>
    <s v="Premium"/>
    <x v="1"/>
    <x v="0"/>
    <x v="0"/>
    <x v="0"/>
    <n v="0"/>
    <n v="0"/>
    <n v="0"/>
    <m/>
    <n v="60.8"/>
  </r>
  <r>
    <s v="USR-101156"/>
    <d v="2025-05-19T00:00:00"/>
    <x v="1"/>
    <s v="South"/>
    <s v="Mobile"/>
    <s v="Email"/>
    <s v="Free"/>
    <x v="1"/>
    <x v="0"/>
    <x v="0"/>
    <x v="0"/>
    <n v="0"/>
    <n v="0"/>
    <n v="0"/>
    <m/>
    <n v="57.5"/>
  </r>
  <r>
    <s v="USR-101157"/>
    <d v="2025-01-05T00:00:00"/>
    <x v="1"/>
    <s v="West"/>
    <s v="Mobile"/>
    <s v="Referral"/>
    <s v="Free"/>
    <x v="0"/>
    <x v="0"/>
    <x v="0"/>
    <x v="0"/>
    <n v="0"/>
    <n v="0"/>
    <n v="0"/>
    <m/>
    <n v="84.2"/>
  </r>
  <r>
    <s v="USR-101158"/>
    <d v="2025-03-08T00:00:00"/>
    <x v="1"/>
    <s v="South"/>
    <s v="Mobile"/>
    <s v="Paid Search"/>
    <s v="Free"/>
    <x v="1"/>
    <x v="1"/>
    <x v="0"/>
    <x v="0"/>
    <n v="0"/>
    <n v="0"/>
    <n v="0"/>
    <m/>
    <n v="27.4"/>
  </r>
  <r>
    <s v="USR-101159"/>
    <d v="2025-03-12T00:00:00"/>
    <x v="1"/>
    <s v="West"/>
    <s v="Mobile"/>
    <s v="Email"/>
    <s v="Basic"/>
    <x v="1"/>
    <x v="0"/>
    <x v="0"/>
    <x v="0"/>
    <n v="0"/>
    <n v="1"/>
    <n v="0"/>
    <m/>
    <n v="67.599999999999994"/>
  </r>
  <r>
    <s v="USR-101160"/>
    <d v="2025-01-24T00:00:00"/>
    <x v="1"/>
    <s v="West"/>
    <s v="Mobile"/>
    <s v="Organic"/>
    <s v="Free"/>
    <x v="0"/>
    <x v="0"/>
    <x v="0"/>
    <x v="0"/>
    <n v="0"/>
    <n v="0"/>
    <n v="0"/>
    <m/>
    <n v="68.400000000000006"/>
  </r>
  <r>
    <s v="USR-101161"/>
    <d v="2025-05-22T00:00:00"/>
    <x v="1"/>
    <s v="South"/>
    <s v="Mobile"/>
    <s v="Paid Search"/>
    <s v="Basic"/>
    <x v="1"/>
    <x v="1"/>
    <x v="1"/>
    <x v="0"/>
    <n v="0"/>
    <n v="0"/>
    <n v="0"/>
    <m/>
    <n v="66.5"/>
  </r>
  <r>
    <s v="USR-101162"/>
    <d v="2025-03-27T00:00:00"/>
    <x v="1"/>
    <s v="South"/>
    <s v="Mobile"/>
    <s v="Paid Search"/>
    <s v="Free"/>
    <x v="1"/>
    <x v="0"/>
    <x v="0"/>
    <x v="0"/>
    <n v="0"/>
    <n v="0"/>
    <n v="0"/>
    <m/>
    <n v="38.200000000000003"/>
  </r>
  <r>
    <s v="USR-101163"/>
    <d v="2025-01-02T00:00:00"/>
    <x v="1"/>
    <s v="West"/>
    <s v="Mobile"/>
    <s v="Social"/>
    <s v="Free"/>
    <x v="0"/>
    <x v="0"/>
    <x v="0"/>
    <x v="0"/>
    <n v="0"/>
    <n v="1"/>
    <n v="0"/>
    <m/>
    <n v="66.7"/>
  </r>
  <r>
    <s v="USR-101164"/>
    <d v="2025-02-24T00:00:00"/>
    <x v="1"/>
    <s v="North"/>
    <s v="Mobile"/>
    <s v="Paid Search"/>
    <s v="Free"/>
    <x v="0"/>
    <x v="0"/>
    <x v="0"/>
    <x v="0"/>
    <n v="0"/>
    <n v="1"/>
    <n v="0"/>
    <m/>
    <n v="73.7"/>
  </r>
  <r>
    <s v="USR-101165"/>
    <d v="2025-03-01T00:00:00"/>
    <x v="1"/>
    <s v="West"/>
    <s v="Desktop"/>
    <s v="Organic"/>
    <s v="Basic"/>
    <x v="1"/>
    <x v="1"/>
    <x v="1"/>
    <x v="0"/>
    <n v="0"/>
    <n v="0"/>
    <n v="0"/>
    <m/>
    <n v="63.9"/>
  </r>
  <r>
    <s v="USR-101166"/>
    <d v="2025-03-26T00:00:00"/>
    <x v="1"/>
    <s v="South"/>
    <s v="Tablet"/>
    <s v="Organic"/>
    <s v="Basic"/>
    <x v="1"/>
    <x v="0"/>
    <x v="0"/>
    <x v="0"/>
    <n v="0"/>
    <n v="1"/>
    <n v="0"/>
    <m/>
    <n v="82.6"/>
  </r>
  <r>
    <s v="USR-101167"/>
    <d v="2025-05-25T00:00:00"/>
    <x v="1"/>
    <s v="East"/>
    <s v="Mobile"/>
    <s v="Paid Search"/>
    <s v="Free"/>
    <x v="0"/>
    <x v="0"/>
    <x v="0"/>
    <x v="0"/>
    <n v="0"/>
    <n v="1"/>
    <n v="0"/>
    <m/>
    <n v="58.3"/>
  </r>
  <r>
    <s v="USR-101168"/>
    <d v="2025-02-25T00:00:00"/>
    <x v="1"/>
    <s v="West"/>
    <s v="Mobile"/>
    <s v="Referral"/>
    <s v="Premium"/>
    <x v="1"/>
    <x v="1"/>
    <x v="1"/>
    <x v="1"/>
    <n v="1547.06"/>
    <n v="0"/>
    <n v="1"/>
    <n v="2"/>
    <n v="72.900000000000006"/>
  </r>
  <r>
    <s v="USR-101169"/>
    <d v="2025-03-23T00:00:00"/>
    <x v="1"/>
    <s v="South"/>
    <s v="Mobile"/>
    <s v="Social"/>
    <s v="Free"/>
    <x v="1"/>
    <x v="1"/>
    <x v="1"/>
    <x v="0"/>
    <n v="0"/>
    <n v="2"/>
    <n v="0"/>
    <m/>
    <n v="53.5"/>
  </r>
  <r>
    <s v="USR-101170"/>
    <d v="2025-04-21T00:00:00"/>
    <x v="1"/>
    <s v="West"/>
    <s v="Mobile"/>
    <s v="Referral"/>
    <s v="Free"/>
    <x v="1"/>
    <x v="0"/>
    <x v="0"/>
    <x v="0"/>
    <n v="0"/>
    <n v="0"/>
    <n v="0"/>
    <m/>
    <n v="54.8"/>
  </r>
  <r>
    <s v="USR-101171"/>
    <d v="2025-05-21T00:00:00"/>
    <x v="1"/>
    <s v="North"/>
    <s v="Mobile"/>
    <s v="Organic"/>
    <s v="Premium"/>
    <x v="1"/>
    <x v="0"/>
    <x v="0"/>
    <x v="0"/>
    <n v="0"/>
    <n v="0"/>
    <n v="0"/>
    <m/>
    <n v="69.5"/>
  </r>
  <r>
    <s v="USR-101172"/>
    <d v="2025-04-25T00:00:00"/>
    <x v="1"/>
    <s v="North"/>
    <s v="Desktop"/>
    <s v="Social"/>
    <s v="Free"/>
    <x v="1"/>
    <x v="0"/>
    <x v="0"/>
    <x v="0"/>
    <n v="0"/>
    <n v="1"/>
    <n v="0"/>
    <m/>
    <n v="71.3"/>
  </r>
  <r>
    <s v="USR-101173"/>
    <d v="2025-05-23T00:00:00"/>
    <x v="1"/>
    <s v="West"/>
    <s v="Mobile"/>
    <s v="Referral"/>
    <s v="Basic"/>
    <x v="1"/>
    <x v="0"/>
    <x v="0"/>
    <x v="0"/>
    <n v="0"/>
    <n v="1"/>
    <n v="0"/>
    <m/>
    <n v="57.5"/>
  </r>
  <r>
    <s v="USR-101174"/>
    <d v="2025-03-18T00:00:00"/>
    <x v="1"/>
    <s v="South"/>
    <s v="Mobile"/>
    <s v="Email"/>
    <s v="Free"/>
    <x v="1"/>
    <x v="0"/>
    <x v="0"/>
    <x v="0"/>
    <n v="0"/>
    <n v="4"/>
    <n v="0"/>
    <m/>
    <n v="50.9"/>
  </r>
  <r>
    <s v="USR-101175"/>
    <d v="2025-01-03T00:00:00"/>
    <x v="1"/>
    <s v="South"/>
    <s v="Tablet"/>
    <s v="Organic"/>
    <s v="Free"/>
    <x v="1"/>
    <x v="1"/>
    <x v="1"/>
    <x v="0"/>
    <n v="0"/>
    <n v="0"/>
    <n v="0"/>
    <m/>
    <n v="69.3"/>
  </r>
  <r>
    <s v="USR-101176"/>
    <d v="2025-02-08T00:00:00"/>
    <x v="1"/>
    <s v="West"/>
    <s v="Desktop"/>
    <s v="Organic"/>
    <s v="Free"/>
    <x v="1"/>
    <x v="0"/>
    <x v="0"/>
    <x v="0"/>
    <n v="0"/>
    <n v="0"/>
    <n v="0"/>
    <m/>
    <n v="50.1"/>
  </r>
  <r>
    <s v="USR-101177"/>
    <d v="2025-02-04T00:00:00"/>
    <x v="1"/>
    <s v="East"/>
    <m/>
    <s v="Paid Search"/>
    <s v="Basic"/>
    <x v="0"/>
    <x v="0"/>
    <x v="0"/>
    <x v="0"/>
    <n v="0"/>
    <n v="0"/>
    <n v="0"/>
    <m/>
    <n v="69.7"/>
  </r>
  <r>
    <s v="USR-101178"/>
    <d v="2025-01-16T00:00:00"/>
    <x v="1"/>
    <s v="North"/>
    <s v="Mobile"/>
    <s v="Paid Search"/>
    <s v="Free"/>
    <x v="0"/>
    <x v="0"/>
    <x v="0"/>
    <x v="0"/>
    <n v="0"/>
    <n v="0"/>
    <n v="0"/>
    <m/>
    <n v="63.5"/>
  </r>
  <r>
    <s v="USR-101179"/>
    <d v="2025-04-04T00:00:00"/>
    <x v="1"/>
    <s v="West"/>
    <s v="Desktop"/>
    <s v="Paid Search"/>
    <s v="Free"/>
    <x v="1"/>
    <x v="1"/>
    <x v="1"/>
    <x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x v="0"/>
    <x v="0"/>
    <x v="0"/>
    <x v="0"/>
    <n v="0"/>
    <n v="0"/>
    <n v="0"/>
    <m/>
    <n v="58.9"/>
  </r>
  <r>
    <s v="USR-101181"/>
    <d v="2025-03-22T00:00:00"/>
    <x v="1"/>
    <s v="South"/>
    <s v="Desktop"/>
    <s v="Paid Search"/>
    <s v="Free"/>
    <x v="1"/>
    <x v="0"/>
    <x v="0"/>
    <x v="0"/>
    <n v="0"/>
    <n v="0"/>
    <n v="0"/>
    <m/>
    <n v="56.8"/>
  </r>
  <r>
    <s v="USR-101182"/>
    <d v="2025-02-02T00:00:00"/>
    <x v="1"/>
    <s v="East"/>
    <s v="Tablet"/>
    <s v="Social"/>
    <s v="Premium"/>
    <x v="0"/>
    <x v="0"/>
    <x v="0"/>
    <x v="0"/>
    <n v="0"/>
    <n v="0"/>
    <n v="0"/>
    <m/>
    <n v="73.900000000000006"/>
  </r>
  <r>
    <s v="USR-101183"/>
    <d v="2025-01-31T00:00:00"/>
    <x v="1"/>
    <s v="North"/>
    <s v="Desktop"/>
    <s v="Paid Search"/>
    <s v="Free"/>
    <x v="0"/>
    <x v="0"/>
    <x v="0"/>
    <x v="0"/>
    <n v="0"/>
    <n v="0"/>
    <n v="0"/>
    <m/>
    <n v="76.3"/>
  </r>
  <r>
    <s v="USR-101184"/>
    <d v="2025-05-27T00:00:00"/>
    <x v="1"/>
    <s v="West"/>
    <s v="Mobile"/>
    <s v="Organic"/>
    <s v="Basic"/>
    <x v="1"/>
    <x v="0"/>
    <x v="0"/>
    <x v="0"/>
    <n v="0"/>
    <n v="0"/>
    <n v="0"/>
    <m/>
    <n v="56.9"/>
  </r>
  <r>
    <s v="USR-101185"/>
    <d v="2025-05-07T00:00:00"/>
    <x v="1"/>
    <s v="North"/>
    <s v="Mobile"/>
    <s v="Organic"/>
    <s v="Premium"/>
    <x v="1"/>
    <x v="0"/>
    <x v="0"/>
    <x v="0"/>
    <n v="0"/>
    <n v="2"/>
    <n v="0"/>
    <m/>
    <n v="49.4"/>
  </r>
  <r>
    <s v="USR-101186"/>
    <d v="2025-05-08T00:00:00"/>
    <x v="1"/>
    <s v="North"/>
    <s v="Desktop"/>
    <s v="Paid Search"/>
    <s v="Basic"/>
    <x v="1"/>
    <x v="0"/>
    <x v="0"/>
    <x v="0"/>
    <n v="0"/>
    <n v="0"/>
    <n v="0"/>
    <m/>
    <n v="86.7"/>
  </r>
  <r>
    <s v="USR-101187"/>
    <d v="2025-01-15T00:00:00"/>
    <x v="1"/>
    <s v="West"/>
    <s v="Desktop"/>
    <s v="Email"/>
    <s v="Free"/>
    <x v="1"/>
    <x v="0"/>
    <x v="0"/>
    <x v="0"/>
    <n v="0"/>
    <n v="3"/>
    <n v="0"/>
    <m/>
    <n v="69"/>
  </r>
  <r>
    <s v="USR-101188"/>
    <d v="2025-01-18T00:00:00"/>
    <x v="1"/>
    <s v="North"/>
    <s v="Mobile"/>
    <s v="Paid Search"/>
    <s v="Free"/>
    <x v="0"/>
    <x v="0"/>
    <x v="0"/>
    <x v="0"/>
    <n v="0"/>
    <n v="0"/>
    <n v="0"/>
    <m/>
    <n v="84.5"/>
  </r>
  <r>
    <s v="USR-101189"/>
    <d v="2025-04-16T00:00:00"/>
    <x v="1"/>
    <s v="East"/>
    <m/>
    <s v="Referral"/>
    <s v="Free"/>
    <x v="1"/>
    <x v="0"/>
    <x v="0"/>
    <x v="0"/>
    <n v="0"/>
    <n v="0"/>
    <n v="0"/>
    <m/>
    <n v="66.3"/>
  </r>
  <r>
    <s v="USR-101190"/>
    <d v="2025-02-16T00:00:00"/>
    <x v="1"/>
    <s v="East"/>
    <s v="Desktop"/>
    <s v="Paid Search"/>
    <s v="Free"/>
    <x v="0"/>
    <x v="0"/>
    <x v="0"/>
    <x v="0"/>
    <n v="0"/>
    <n v="0"/>
    <n v="0"/>
    <m/>
    <n v="52.2"/>
  </r>
  <r>
    <s v="USR-101191"/>
    <d v="2025-04-17T00:00:00"/>
    <x v="1"/>
    <s v="South"/>
    <s v="Desktop"/>
    <s v="Referral"/>
    <s v="Premium"/>
    <x v="1"/>
    <x v="1"/>
    <x v="1"/>
    <x v="0"/>
    <n v="0"/>
    <n v="0"/>
    <n v="0"/>
    <m/>
    <n v="81.2"/>
  </r>
  <r>
    <s v="USR-101192"/>
    <d v="2025-04-30T00:00:00"/>
    <x v="1"/>
    <s v="South"/>
    <s v="Mobile"/>
    <s v="Organic"/>
    <s v="Basic"/>
    <x v="0"/>
    <x v="0"/>
    <x v="0"/>
    <x v="0"/>
    <n v="0"/>
    <n v="0"/>
    <n v="0"/>
    <m/>
    <n v="53.9"/>
  </r>
  <r>
    <s v="USR-101193"/>
    <d v="2025-01-29T00:00:00"/>
    <x v="1"/>
    <s v="West"/>
    <s v="Mobile"/>
    <s v="Social"/>
    <s v="Premium"/>
    <x v="0"/>
    <x v="0"/>
    <x v="0"/>
    <x v="0"/>
    <n v="0"/>
    <n v="0"/>
    <n v="0"/>
    <m/>
    <n v="39.1"/>
  </r>
  <r>
    <s v="USR-101194"/>
    <d v="2025-01-11T00:00:00"/>
    <x v="1"/>
    <s v="North"/>
    <s v="Mobile"/>
    <s v="Social"/>
    <s v="Basic"/>
    <x v="0"/>
    <x v="0"/>
    <x v="0"/>
    <x v="0"/>
    <n v="0"/>
    <n v="0"/>
    <n v="0"/>
    <m/>
    <n v="57.3"/>
  </r>
  <r>
    <s v="USR-101195"/>
    <d v="2025-04-08T00:00:00"/>
    <x v="1"/>
    <s v="East"/>
    <s v="Desktop"/>
    <s v="Paid Search"/>
    <s v="Premium"/>
    <x v="1"/>
    <x v="0"/>
    <x v="0"/>
    <x v="0"/>
    <n v="0"/>
    <n v="1"/>
    <n v="0"/>
    <m/>
    <n v="65.900000000000006"/>
  </r>
  <r>
    <s v="USR-101196"/>
    <d v="2025-02-22T00:00:00"/>
    <x v="1"/>
    <s v="North"/>
    <m/>
    <s v="Social"/>
    <s v="Free"/>
    <x v="1"/>
    <x v="0"/>
    <x v="0"/>
    <x v="0"/>
    <n v="0"/>
    <n v="1"/>
    <n v="0"/>
    <m/>
    <n v="34.200000000000003"/>
  </r>
  <r>
    <s v="USR-101197"/>
    <d v="2025-03-23T00:00:00"/>
    <x v="1"/>
    <s v="South"/>
    <s v="Mobile"/>
    <s v="Organic"/>
    <s v="Free"/>
    <x v="0"/>
    <x v="0"/>
    <x v="0"/>
    <x v="0"/>
    <n v="0"/>
    <n v="0"/>
    <n v="0"/>
    <m/>
    <n v="47.2"/>
  </r>
  <r>
    <s v="USR-101198"/>
    <d v="2025-05-23T00:00:00"/>
    <x v="1"/>
    <s v="South"/>
    <s v="Tablet"/>
    <s v="Paid Search"/>
    <s v="Free"/>
    <x v="1"/>
    <x v="0"/>
    <x v="0"/>
    <x v="0"/>
    <n v="0"/>
    <n v="1"/>
    <n v="0"/>
    <m/>
    <n v="55"/>
  </r>
  <r>
    <s v="USR-101199"/>
    <d v="2025-04-27T00:00:00"/>
    <x v="1"/>
    <s v="West"/>
    <s v="Mobile"/>
    <s v="Referral"/>
    <s v="Basic"/>
    <x v="1"/>
    <x v="1"/>
    <x v="1"/>
    <x v="0"/>
    <n v="0"/>
    <n v="0"/>
    <n v="0"/>
    <m/>
    <n v="76.400000000000006"/>
  </r>
  <r>
    <s v="USR-101200"/>
    <d v="2025-05-26T00:00:00"/>
    <x v="1"/>
    <s v="North"/>
    <s v="Mobile"/>
    <s v="Referral"/>
    <s v="Free"/>
    <x v="1"/>
    <x v="0"/>
    <x v="0"/>
    <x v="0"/>
    <n v="0"/>
    <n v="0"/>
    <n v="0"/>
    <m/>
    <n v="70.8"/>
  </r>
  <r>
    <s v="USR-101201"/>
    <d v="2025-03-06T00:00:00"/>
    <x v="1"/>
    <s v="East"/>
    <s v="Mobile"/>
    <s v="Paid Search"/>
    <s v="Basic"/>
    <x v="1"/>
    <x v="1"/>
    <x v="0"/>
    <x v="0"/>
    <n v="0"/>
    <n v="1"/>
    <n v="0"/>
    <m/>
    <n v="58"/>
  </r>
  <r>
    <s v="USR-101202"/>
    <d v="2025-04-03T00:00:00"/>
    <x v="1"/>
    <s v="West"/>
    <s v="Mobile"/>
    <s v="Organic"/>
    <s v="Basic"/>
    <x v="1"/>
    <x v="1"/>
    <x v="1"/>
    <x v="0"/>
    <n v="0"/>
    <n v="1"/>
    <n v="0"/>
    <m/>
    <n v="70.8"/>
  </r>
  <r>
    <s v="USR-101203"/>
    <d v="2025-02-01T00:00:00"/>
    <x v="1"/>
    <s v="East"/>
    <s v="Desktop"/>
    <s v="Paid Search"/>
    <s v="Free"/>
    <x v="1"/>
    <x v="0"/>
    <x v="0"/>
    <x v="0"/>
    <n v="0"/>
    <n v="3"/>
    <n v="0"/>
    <m/>
    <n v="60"/>
  </r>
  <r>
    <s v="USR-101204"/>
    <d v="2025-05-01T00:00:00"/>
    <x v="1"/>
    <s v="West"/>
    <s v="Mobile"/>
    <s v="Referral"/>
    <s v="Premium"/>
    <x v="1"/>
    <x v="1"/>
    <x v="1"/>
    <x v="0"/>
    <n v="0"/>
    <n v="3"/>
    <n v="0"/>
    <m/>
    <n v="58.1"/>
  </r>
  <r>
    <s v="USR-101205"/>
    <d v="2025-04-13T00:00:00"/>
    <x v="1"/>
    <s v="North"/>
    <s v="Mobile"/>
    <s v="Social"/>
    <s v="Premium"/>
    <x v="0"/>
    <x v="0"/>
    <x v="0"/>
    <x v="0"/>
    <n v="0"/>
    <n v="0"/>
    <n v="0"/>
    <m/>
    <n v="59.7"/>
  </r>
  <r>
    <s v="USR-101206"/>
    <d v="2025-01-25T00:00:00"/>
    <x v="1"/>
    <s v="East"/>
    <s v="Mobile"/>
    <s v="Social"/>
    <s v="Free"/>
    <x v="0"/>
    <x v="0"/>
    <x v="0"/>
    <x v="0"/>
    <n v="0"/>
    <n v="0"/>
    <n v="0"/>
    <m/>
    <n v="47.7"/>
  </r>
  <r>
    <s v="USR-101207"/>
    <d v="2025-03-17T00:00:00"/>
    <x v="1"/>
    <s v="North"/>
    <s v="Mobile"/>
    <s v="Organic"/>
    <s v="Free"/>
    <x v="0"/>
    <x v="0"/>
    <x v="0"/>
    <x v="0"/>
    <n v="0"/>
    <n v="0"/>
    <n v="0"/>
    <m/>
    <n v="59.1"/>
  </r>
  <r>
    <s v="USR-101208"/>
    <d v="2025-02-21T00:00:00"/>
    <x v="1"/>
    <s v="West"/>
    <s v="Desktop"/>
    <s v="Social"/>
    <s v="Basic"/>
    <x v="1"/>
    <x v="0"/>
    <x v="0"/>
    <x v="0"/>
    <n v="0"/>
    <n v="1"/>
    <n v="0"/>
    <m/>
    <n v="68.7"/>
  </r>
  <r>
    <s v="USR-101209"/>
    <d v="2025-04-08T00:00:00"/>
    <x v="1"/>
    <s v="East"/>
    <s v="Tablet"/>
    <s v="Organic"/>
    <s v="Basic"/>
    <x v="0"/>
    <x v="0"/>
    <x v="0"/>
    <x v="0"/>
    <n v="0"/>
    <n v="0"/>
    <n v="0"/>
    <m/>
    <n v="34.700000000000003"/>
  </r>
  <r>
    <s v="USR-101210"/>
    <d v="2025-02-24T00:00:00"/>
    <x v="1"/>
    <s v="West"/>
    <s v="Mobile"/>
    <s v="Organic"/>
    <s v="Basic"/>
    <x v="1"/>
    <x v="0"/>
    <x v="0"/>
    <x v="0"/>
    <n v="0"/>
    <n v="0"/>
    <n v="0"/>
    <m/>
    <n v="62"/>
  </r>
  <r>
    <s v="USR-101211"/>
    <d v="2025-05-29T00:00:00"/>
    <x v="1"/>
    <s v="South"/>
    <s v="Mobile"/>
    <s v="Organic"/>
    <s v="Free"/>
    <x v="1"/>
    <x v="1"/>
    <x v="0"/>
    <x v="0"/>
    <n v="0"/>
    <n v="0"/>
    <n v="0"/>
    <m/>
    <n v="56"/>
  </r>
  <r>
    <s v="USR-101212"/>
    <d v="2025-05-30T00:00:00"/>
    <x v="1"/>
    <s v="North"/>
    <s v="Mobile"/>
    <s v="Email"/>
    <s v="Basic"/>
    <x v="1"/>
    <x v="0"/>
    <x v="0"/>
    <x v="0"/>
    <n v="0"/>
    <n v="1"/>
    <n v="0"/>
    <m/>
    <n v="65.8"/>
  </r>
  <r>
    <s v="USR-101213"/>
    <d v="2025-01-24T00:00:00"/>
    <x v="1"/>
    <s v="North"/>
    <s v="Desktop"/>
    <s v="Organic"/>
    <s v="Premium"/>
    <x v="0"/>
    <x v="0"/>
    <x v="0"/>
    <x v="0"/>
    <n v="0"/>
    <n v="0"/>
    <n v="0"/>
    <m/>
    <n v="54.7"/>
  </r>
  <r>
    <s v="USR-101214"/>
    <d v="2025-05-12T00:00:00"/>
    <x v="1"/>
    <s v="South"/>
    <s v="Mobile"/>
    <s v="Organic"/>
    <s v="Basic"/>
    <x v="1"/>
    <x v="1"/>
    <x v="0"/>
    <x v="0"/>
    <n v="0"/>
    <n v="0"/>
    <n v="0"/>
    <m/>
    <n v="64.099999999999994"/>
  </r>
  <r>
    <s v="USR-101215"/>
    <d v="2025-03-28T00:00:00"/>
    <x v="1"/>
    <s v="South"/>
    <s v="Mobile"/>
    <s v="Organic"/>
    <s v="Basic"/>
    <x v="1"/>
    <x v="1"/>
    <x v="1"/>
    <x v="0"/>
    <n v="0"/>
    <n v="0"/>
    <n v="0"/>
    <m/>
    <n v="71.599999999999994"/>
  </r>
  <r>
    <s v="USR-101216"/>
    <d v="2025-04-14T00:00:00"/>
    <x v="1"/>
    <s v="North"/>
    <s v="Mobile"/>
    <s v="Referral"/>
    <s v="Basic"/>
    <x v="1"/>
    <x v="0"/>
    <x v="0"/>
    <x v="0"/>
    <n v="0"/>
    <n v="0"/>
    <n v="0"/>
    <m/>
    <n v="78.400000000000006"/>
  </r>
  <r>
    <s v="USR-101217"/>
    <d v="2025-01-28T00:00:00"/>
    <x v="1"/>
    <s v="East"/>
    <s v="Tablet"/>
    <s v="Referral"/>
    <s v="Basic"/>
    <x v="0"/>
    <x v="0"/>
    <x v="0"/>
    <x v="0"/>
    <n v="0"/>
    <n v="0"/>
    <n v="0"/>
    <m/>
    <n v="49.3"/>
  </r>
  <r>
    <s v="USR-101218"/>
    <d v="2025-05-21T00:00:00"/>
    <x v="1"/>
    <s v="North"/>
    <s v="Mobile"/>
    <s v="Organic"/>
    <s v="Basic"/>
    <x v="0"/>
    <x v="0"/>
    <x v="0"/>
    <x v="0"/>
    <n v="0"/>
    <n v="0"/>
    <n v="0"/>
    <m/>
    <n v="52.8"/>
  </r>
  <r>
    <s v="USR-101219"/>
    <d v="2025-05-11T00:00:00"/>
    <x v="1"/>
    <s v="West"/>
    <s v="Desktop"/>
    <s v="Organic"/>
    <s v="Free"/>
    <x v="0"/>
    <x v="0"/>
    <x v="0"/>
    <x v="0"/>
    <n v="0"/>
    <n v="0"/>
    <n v="0"/>
    <m/>
    <n v="58.5"/>
  </r>
  <r>
    <s v="USR-101220"/>
    <d v="2025-02-02T00:00:00"/>
    <x v="1"/>
    <s v="South"/>
    <s v="Mobile"/>
    <s v="Paid Search"/>
    <s v="Free"/>
    <x v="1"/>
    <x v="0"/>
    <x v="0"/>
    <x v="0"/>
    <n v="0"/>
    <n v="0"/>
    <n v="0"/>
    <m/>
    <n v="55.9"/>
  </r>
  <r>
    <s v="USR-101221"/>
    <d v="2025-02-26T00:00:00"/>
    <x v="1"/>
    <s v="North"/>
    <s v="Mobile"/>
    <s v="Social"/>
    <s v="Free"/>
    <x v="1"/>
    <x v="1"/>
    <x v="1"/>
    <x v="1"/>
    <n v="351.43"/>
    <n v="1"/>
    <n v="0"/>
    <n v="6"/>
    <n v="74.900000000000006"/>
  </r>
  <r>
    <s v="USR-101222"/>
    <d v="2025-02-27T00:00:00"/>
    <x v="1"/>
    <s v="South"/>
    <s v="Desktop"/>
    <s v="Referral"/>
    <s v="Free"/>
    <x v="1"/>
    <x v="1"/>
    <x v="1"/>
    <x v="1"/>
    <n v="352.42"/>
    <n v="0"/>
    <n v="0"/>
    <n v="4"/>
    <n v="58.5"/>
  </r>
  <r>
    <s v="USR-101223"/>
    <d v="2025-03-09T00:00:00"/>
    <x v="1"/>
    <s v="West"/>
    <s v="Mobile"/>
    <s v="Organic"/>
    <s v="Free"/>
    <x v="0"/>
    <x v="0"/>
    <x v="0"/>
    <x v="0"/>
    <n v="0"/>
    <n v="0"/>
    <n v="0"/>
    <m/>
    <n v="63.5"/>
  </r>
  <r>
    <s v="USR-101224"/>
    <d v="2025-02-07T00:00:00"/>
    <x v="1"/>
    <s v="North"/>
    <s v="Mobile"/>
    <s v="Paid Search"/>
    <s v="Basic"/>
    <x v="1"/>
    <x v="0"/>
    <x v="0"/>
    <x v="0"/>
    <n v="0"/>
    <n v="1"/>
    <n v="0"/>
    <m/>
    <n v="64.8"/>
  </r>
  <r>
    <s v="USR-101225"/>
    <d v="2025-01-31T00:00:00"/>
    <x v="1"/>
    <s v="West"/>
    <s v="Mobile"/>
    <s v="Social"/>
    <s v="Free"/>
    <x v="0"/>
    <x v="0"/>
    <x v="0"/>
    <x v="0"/>
    <n v="0"/>
    <n v="0"/>
    <n v="0"/>
    <m/>
    <n v="63.3"/>
  </r>
  <r>
    <s v="USR-101226"/>
    <d v="2025-02-14T00:00:00"/>
    <x v="1"/>
    <s v="North"/>
    <s v="Tablet"/>
    <s v="Paid Search"/>
    <s v="Basic"/>
    <x v="1"/>
    <x v="1"/>
    <x v="1"/>
    <x v="1"/>
    <n v="1074.1600000000001"/>
    <n v="0"/>
    <n v="0"/>
    <n v="8"/>
    <n v="83.7"/>
  </r>
  <r>
    <s v="USR-101227"/>
    <d v="2025-02-12T00:00:00"/>
    <x v="1"/>
    <s v="South"/>
    <s v="Desktop"/>
    <s v="Social"/>
    <s v="Basic"/>
    <x v="0"/>
    <x v="0"/>
    <x v="0"/>
    <x v="0"/>
    <n v="0"/>
    <n v="0"/>
    <n v="0"/>
    <m/>
    <n v="88.7"/>
  </r>
  <r>
    <s v="USR-101228"/>
    <d v="2025-03-23T00:00:00"/>
    <x v="1"/>
    <s v="East"/>
    <m/>
    <s v="Paid Search"/>
    <s v="Free"/>
    <x v="1"/>
    <x v="0"/>
    <x v="0"/>
    <x v="0"/>
    <n v="0"/>
    <n v="1"/>
    <n v="0"/>
    <m/>
    <n v="61.5"/>
  </r>
  <r>
    <s v="USR-101229"/>
    <d v="2025-03-18T00:00:00"/>
    <x v="1"/>
    <s v="West"/>
    <s v="Mobile"/>
    <s v="Paid Search"/>
    <s v="Free"/>
    <x v="0"/>
    <x v="0"/>
    <x v="0"/>
    <x v="0"/>
    <n v="0"/>
    <n v="0"/>
    <n v="0"/>
    <m/>
    <n v="45.3"/>
  </r>
  <r>
    <s v="USR-101230"/>
    <d v="2025-05-17T00:00:00"/>
    <x v="1"/>
    <s v="North"/>
    <s v="Mobile"/>
    <s v="Social"/>
    <s v="Free"/>
    <x v="1"/>
    <x v="0"/>
    <x v="0"/>
    <x v="0"/>
    <n v="0"/>
    <n v="0"/>
    <n v="0"/>
    <m/>
    <n v="37.299999999999997"/>
  </r>
  <r>
    <s v="USR-101231"/>
    <d v="2025-03-26T00:00:00"/>
    <x v="1"/>
    <s v="West"/>
    <s v="Desktop"/>
    <s v="Social"/>
    <s v="Premium"/>
    <x v="1"/>
    <x v="0"/>
    <x v="0"/>
    <x v="0"/>
    <n v="0"/>
    <n v="1"/>
    <n v="0"/>
    <m/>
    <n v="76.099999999999994"/>
  </r>
  <r>
    <s v="USR-101232"/>
    <d v="2025-03-30T00:00:00"/>
    <x v="1"/>
    <s v="East"/>
    <s v="Mobile"/>
    <s v="Organic"/>
    <s v="Free"/>
    <x v="1"/>
    <x v="1"/>
    <x v="1"/>
    <x v="0"/>
    <n v="0"/>
    <n v="1"/>
    <n v="0"/>
    <m/>
    <n v="72.5"/>
  </r>
  <r>
    <s v="USR-101233"/>
    <d v="2025-02-25T00:00:00"/>
    <x v="1"/>
    <s v="East"/>
    <s v="Desktop"/>
    <s v="Organic"/>
    <s v="Free"/>
    <x v="1"/>
    <x v="0"/>
    <x v="0"/>
    <x v="0"/>
    <n v="0"/>
    <n v="0"/>
    <n v="0"/>
    <m/>
    <n v="62.3"/>
  </r>
  <r>
    <s v="USR-101234"/>
    <d v="2025-03-01T00:00:00"/>
    <x v="1"/>
    <s v="East"/>
    <s v="Desktop"/>
    <s v="Social"/>
    <s v="Free"/>
    <x v="0"/>
    <x v="0"/>
    <x v="0"/>
    <x v="0"/>
    <n v="0"/>
    <n v="0"/>
    <n v="0"/>
    <m/>
    <n v="62.7"/>
  </r>
  <r>
    <s v="USR-101235"/>
    <d v="2025-05-27T00:00:00"/>
    <x v="1"/>
    <s v="North"/>
    <s v="Mobile"/>
    <s v="Paid Search"/>
    <s v="Basic"/>
    <x v="0"/>
    <x v="0"/>
    <x v="0"/>
    <x v="0"/>
    <n v="0"/>
    <n v="0"/>
    <n v="0"/>
    <m/>
    <n v="82.4"/>
  </r>
  <r>
    <s v="USR-101236"/>
    <d v="2025-02-05T00:00:00"/>
    <x v="1"/>
    <s v="West"/>
    <s v="Mobile"/>
    <m/>
    <s v="Premium"/>
    <x v="1"/>
    <x v="0"/>
    <x v="0"/>
    <x v="0"/>
    <n v="0"/>
    <n v="0"/>
    <n v="0"/>
    <m/>
    <n v="78.900000000000006"/>
  </r>
  <r>
    <s v="USR-101237"/>
    <d v="2025-01-25T00:00:00"/>
    <x v="1"/>
    <s v="West"/>
    <s v="Desktop"/>
    <s v="Email"/>
    <s v="Free"/>
    <x v="1"/>
    <x v="1"/>
    <x v="1"/>
    <x v="1"/>
    <n v="618.91"/>
    <n v="0"/>
    <n v="0"/>
    <n v="4"/>
    <n v="67.8"/>
  </r>
  <r>
    <s v="USR-101238"/>
    <d v="2025-04-10T00:00:00"/>
    <x v="1"/>
    <s v="East"/>
    <s v="Mobile"/>
    <s v="Organic"/>
    <s v="Premium"/>
    <x v="1"/>
    <x v="0"/>
    <x v="0"/>
    <x v="0"/>
    <n v="0"/>
    <n v="0"/>
    <n v="0"/>
    <m/>
    <n v="68.8"/>
  </r>
  <r>
    <s v="USR-101239"/>
    <d v="2025-01-10T00:00:00"/>
    <x v="1"/>
    <s v="East"/>
    <s v="Mobile"/>
    <s v="Organic"/>
    <s v="Premium"/>
    <x v="1"/>
    <x v="0"/>
    <x v="0"/>
    <x v="0"/>
    <n v="0"/>
    <n v="0"/>
    <n v="0"/>
    <m/>
    <n v="67.7"/>
  </r>
  <r>
    <s v="USR-101240"/>
    <d v="2025-02-23T00:00:00"/>
    <x v="1"/>
    <s v="East"/>
    <s v="Mobile"/>
    <m/>
    <s v="Free"/>
    <x v="0"/>
    <x v="0"/>
    <x v="0"/>
    <x v="0"/>
    <n v="0"/>
    <n v="0"/>
    <n v="0"/>
    <m/>
    <n v="88"/>
  </r>
  <r>
    <s v="USR-101241"/>
    <d v="2025-05-23T00:00:00"/>
    <x v="1"/>
    <s v="West"/>
    <s v="Desktop"/>
    <s v="Organic"/>
    <s v="Basic"/>
    <x v="1"/>
    <x v="1"/>
    <x v="0"/>
    <x v="0"/>
    <n v="0"/>
    <n v="0"/>
    <n v="0"/>
    <m/>
    <n v="80.099999999999994"/>
  </r>
  <r>
    <s v="USR-101242"/>
    <d v="2025-03-08T00:00:00"/>
    <x v="1"/>
    <s v="North"/>
    <s v="Tablet"/>
    <s v="Email"/>
    <s v="Basic"/>
    <x v="0"/>
    <x v="0"/>
    <x v="0"/>
    <x v="0"/>
    <n v="0"/>
    <n v="1"/>
    <n v="0"/>
    <m/>
    <n v="48.2"/>
  </r>
  <r>
    <s v="USR-101243"/>
    <d v="2025-05-21T00:00:00"/>
    <x v="1"/>
    <s v="East"/>
    <s v="Mobile"/>
    <s v="Organic"/>
    <s v="Basic"/>
    <x v="1"/>
    <x v="0"/>
    <x v="0"/>
    <x v="0"/>
    <n v="0"/>
    <n v="0"/>
    <n v="0"/>
    <m/>
    <n v="52.7"/>
  </r>
  <r>
    <s v="USR-101244"/>
    <d v="2025-04-22T00:00:00"/>
    <x v="1"/>
    <s v="North"/>
    <s v="Mobile"/>
    <s v="Email"/>
    <s v="Basic"/>
    <x v="1"/>
    <x v="1"/>
    <x v="0"/>
    <x v="0"/>
    <n v="0"/>
    <n v="0"/>
    <n v="0"/>
    <m/>
    <n v="59.9"/>
  </r>
  <r>
    <s v="USR-101245"/>
    <d v="2025-04-16T00:00:00"/>
    <x v="1"/>
    <s v="North"/>
    <s v="Mobile"/>
    <s v="Email"/>
    <s v="Premium"/>
    <x v="1"/>
    <x v="0"/>
    <x v="0"/>
    <x v="0"/>
    <n v="0"/>
    <n v="0"/>
    <n v="0"/>
    <m/>
    <n v="49.5"/>
  </r>
  <r>
    <s v="USR-101246"/>
    <d v="2025-05-08T00:00:00"/>
    <x v="1"/>
    <s v="North"/>
    <s v="Tablet"/>
    <s v="Organic"/>
    <s v="Free"/>
    <x v="1"/>
    <x v="0"/>
    <x v="0"/>
    <x v="0"/>
    <n v="0"/>
    <n v="0"/>
    <n v="0"/>
    <m/>
    <n v="41.5"/>
  </r>
  <r>
    <s v="USR-101247"/>
    <d v="2025-05-22T00:00:00"/>
    <x v="1"/>
    <s v="North"/>
    <s v="Mobile"/>
    <s v="Paid Search"/>
    <s v="Basic"/>
    <x v="1"/>
    <x v="0"/>
    <x v="0"/>
    <x v="0"/>
    <n v="0"/>
    <n v="0"/>
    <n v="0"/>
    <m/>
    <n v="71.2"/>
  </r>
  <r>
    <s v="USR-101248"/>
    <d v="2025-03-21T00:00:00"/>
    <x v="1"/>
    <s v="North"/>
    <s v="Mobile"/>
    <s v="Referral"/>
    <s v="Basic"/>
    <x v="1"/>
    <x v="1"/>
    <x v="1"/>
    <x v="0"/>
    <n v="0"/>
    <n v="0"/>
    <n v="0"/>
    <m/>
    <n v="65.8"/>
  </r>
  <r>
    <s v="USR-101249"/>
    <d v="2025-03-22T00:00:00"/>
    <x v="1"/>
    <s v="East"/>
    <s v="Mobile"/>
    <s v="Organic"/>
    <s v="Basic"/>
    <x v="1"/>
    <x v="0"/>
    <x v="0"/>
    <x v="0"/>
    <n v="0"/>
    <n v="1"/>
    <n v="0"/>
    <m/>
    <n v="55.1"/>
  </r>
  <r>
    <s v="USR-101250"/>
    <d v="2025-01-10T00:00:00"/>
    <x v="1"/>
    <s v="West"/>
    <s v="Desktop"/>
    <s v="Social"/>
    <s v="Free"/>
    <x v="1"/>
    <x v="0"/>
    <x v="0"/>
    <x v="0"/>
    <n v="0"/>
    <n v="0"/>
    <n v="0"/>
    <m/>
    <n v="54.6"/>
  </r>
  <r>
    <s v="USR-101251"/>
    <d v="2025-02-01T00:00:00"/>
    <x v="1"/>
    <s v="East"/>
    <s v="Mobile"/>
    <s v="Organic"/>
    <s v="Basic"/>
    <x v="1"/>
    <x v="1"/>
    <x v="1"/>
    <x v="1"/>
    <n v="923.67"/>
    <n v="0"/>
    <n v="0"/>
    <n v="4"/>
    <n v="81.900000000000006"/>
  </r>
  <r>
    <s v="USR-101252"/>
    <d v="2025-03-31T00:00:00"/>
    <x v="1"/>
    <s v="South"/>
    <s v="Mobile"/>
    <s v="Paid Search"/>
    <s v="Basic"/>
    <x v="1"/>
    <x v="1"/>
    <x v="0"/>
    <x v="0"/>
    <n v="0"/>
    <n v="3"/>
    <n v="0"/>
    <m/>
    <n v="63.2"/>
  </r>
  <r>
    <s v="USR-101253"/>
    <d v="2025-04-25T00:00:00"/>
    <x v="1"/>
    <s v="North"/>
    <s v="Mobile"/>
    <s v="Paid Search"/>
    <s v="Free"/>
    <x v="1"/>
    <x v="0"/>
    <x v="0"/>
    <x v="0"/>
    <n v="0"/>
    <n v="0"/>
    <n v="0"/>
    <m/>
    <n v="55.4"/>
  </r>
  <r>
    <s v="USR-101254"/>
    <d v="2025-05-02T00:00:00"/>
    <x v="1"/>
    <s v="West"/>
    <s v="Mobile"/>
    <s v="Social"/>
    <s v="Basic"/>
    <x v="0"/>
    <x v="0"/>
    <x v="0"/>
    <x v="0"/>
    <n v="0"/>
    <n v="0"/>
    <n v="0"/>
    <m/>
    <n v="87.5"/>
  </r>
  <r>
    <s v="USR-101255"/>
    <d v="2025-03-08T00:00:00"/>
    <x v="1"/>
    <s v="South"/>
    <s v="Desktop"/>
    <s v="Social"/>
    <s v="Basic"/>
    <x v="1"/>
    <x v="0"/>
    <x v="0"/>
    <x v="0"/>
    <n v="0"/>
    <n v="0"/>
    <n v="0"/>
    <m/>
    <n v="48.5"/>
  </r>
  <r>
    <s v="USR-101256"/>
    <d v="2025-01-27T00:00:00"/>
    <x v="1"/>
    <s v="East"/>
    <s v="Desktop"/>
    <m/>
    <s v="Free"/>
    <x v="1"/>
    <x v="1"/>
    <x v="1"/>
    <x v="1"/>
    <n v="420.27"/>
    <n v="0"/>
    <n v="0"/>
    <n v="6"/>
    <n v="58.4"/>
  </r>
  <r>
    <s v="USR-101257"/>
    <d v="2025-04-27T00:00:00"/>
    <x v="1"/>
    <s v="West"/>
    <s v="Mobile"/>
    <s v="Paid Search"/>
    <s v="Free"/>
    <x v="0"/>
    <x v="0"/>
    <x v="0"/>
    <x v="0"/>
    <n v="0"/>
    <n v="0"/>
    <n v="0"/>
    <m/>
    <n v="59.5"/>
  </r>
  <r>
    <s v="USR-101258"/>
    <d v="2025-01-16T00:00:00"/>
    <x v="1"/>
    <s v="West"/>
    <s v="Desktop"/>
    <s v="Paid Search"/>
    <s v="Basic"/>
    <x v="1"/>
    <x v="0"/>
    <x v="0"/>
    <x v="0"/>
    <n v="0"/>
    <n v="0"/>
    <n v="0"/>
    <m/>
    <n v="93.2"/>
  </r>
  <r>
    <s v="USR-101259"/>
    <d v="2025-01-18T00:00:00"/>
    <x v="1"/>
    <s v="West"/>
    <s v="Desktop"/>
    <s v="Paid Search"/>
    <s v="Basic"/>
    <x v="1"/>
    <x v="0"/>
    <x v="0"/>
    <x v="0"/>
    <n v="0"/>
    <n v="0"/>
    <n v="0"/>
    <m/>
    <n v="59"/>
  </r>
  <r>
    <s v="USR-101260"/>
    <d v="2025-03-21T00:00:00"/>
    <x v="1"/>
    <s v="North"/>
    <s v="Mobile"/>
    <s v="Organic"/>
    <s v="Free"/>
    <x v="1"/>
    <x v="0"/>
    <x v="0"/>
    <x v="0"/>
    <n v="0"/>
    <n v="0"/>
    <n v="0"/>
    <m/>
    <n v="37"/>
  </r>
  <r>
    <s v="USR-101261"/>
    <d v="2025-04-02T00:00:00"/>
    <x v="1"/>
    <s v="North"/>
    <s v="Desktop"/>
    <s v="Paid Search"/>
    <s v="Free"/>
    <x v="1"/>
    <x v="0"/>
    <x v="0"/>
    <x v="0"/>
    <n v="0"/>
    <n v="0"/>
    <n v="0"/>
    <m/>
    <n v="47.5"/>
  </r>
  <r>
    <s v="USR-101262"/>
    <d v="2025-02-16T00:00:00"/>
    <x v="1"/>
    <s v="West"/>
    <s v="Desktop"/>
    <s v="Organic"/>
    <s v="Free"/>
    <x v="1"/>
    <x v="1"/>
    <x v="1"/>
    <x v="0"/>
    <n v="0"/>
    <n v="0"/>
    <n v="0"/>
    <m/>
    <n v="78.7"/>
  </r>
  <r>
    <s v="USR-101263"/>
    <d v="2025-02-18T00:00:00"/>
    <x v="1"/>
    <s v="North"/>
    <s v="Mobile"/>
    <s v="Social"/>
    <s v="Free"/>
    <x v="1"/>
    <x v="0"/>
    <x v="0"/>
    <x v="0"/>
    <n v="0"/>
    <n v="0"/>
    <n v="0"/>
    <m/>
    <n v="49.6"/>
  </r>
  <r>
    <s v="USR-101264"/>
    <d v="2025-01-09T00:00:00"/>
    <x v="1"/>
    <s v="East"/>
    <s v="Mobile"/>
    <s v="Organic"/>
    <s v="Free"/>
    <x v="1"/>
    <x v="0"/>
    <x v="0"/>
    <x v="0"/>
    <n v="0"/>
    <n v="0"/>
    <n v="0"/>
    <m/>
    <n v="58"/>
  </r>
  <r>
    <s v="USR-101265"/>
    <d v="2025-02-18T00:00:00"/>
    <x v="1"/>
    <s v="North"/>
    <s v="Desktop"/>
    <s v="Paid Search"/>
    <s v="Free"/>
    <x v="1"/>
    <x v="0"/>
    <x v="0"/>
    <x v="0"/>
    <n v="0"/>
    <n v="1"/>
    <n v="0"/>
    <m/>
    <n v="54.4"/>
  </r>
  <r>
    <s v="USR-101266"/>
    <d v="2025-01-10T00:00:00"/>
    <x v="1"/>
    <s v="East"/>
    <s v="Mobile"/>
    <s v="Referral"/>
    <s v="Free"/>
    <x v="0"/>
    <x v="0"/>
    <x v="0"/>
    <x v="0"/>
    <n v="0"/>
    <n v="0"/>
    <n v="0"/>
    <m/>
    <n v="33.700000000000003"/>
  </r>
  <r>
    <s v="USR-101267"/>
    <d v="2025-03-08T00:00:00"/>
    <x v="1"/>
    <s v="West"/>
    <s v="Mobile"/>
    <s v="Email"/>
    <s v="Free"/>
    <x v="1"/>
    <x v="0"/>
    <x v="0"/>
    <x v="0"/>
    <n v="0"/>
    <n v="0"/>
    <n v="0"/>
    <m/>
    <n v="72.7"/>
  </r>
  <r>
    <s v="USR-101268"/>
    <d v="2025-04-16T00:00:00"/>
    <x v="1"/>
    <s v="East"/>
    <s v="Desktop"/>
    <s v="Paid Search"/>
    <s v="Basic"/>
    <x v="0"/>
    <x v="0"/>
    <x v="0"/>
    <x v="0"/>
    <n v="0"/>
    <n v="0"/>
    <n v="0"/>
    <m/>
    <n v="64.7"/>
  </r>
  <r>
    <s v="USR-101269"/>
    <d v="2025-02-19T00:00:00"/>
    <x v="1"/>
    <s v="West"/>
    <s v="Desktop"/>
    <s v="Paid Search"/>
    <s v="Premium"/>
    <x v="0"/>
    <x v="0"/>
    <x v="0"/>
    <x v="0"/>
    <n v="0"/>
    <n v="1"/>
    <n v="0"/>
    <m/>
    <n v="48.6"/>
  </r>
  <r>
    <s v="USR-101270"/>
    <d v="2025-03-16T00:00:00"/>
    <x v="1"/>
    <s v="East"/>
    <s v="Desktop"/>
    <s v="Social"/>
    <s v="Free"/>
    <x v="1"/>
    <x v="1"/>
    <x v="0"/>
    <x v="0"/>
    <n v="0"/>
    <n v="0"/>
    <n v="0"/>
    <m/>
    <n v="66.2"/>
  </r>
  <r>
    <s v="USR-101271"/>
    <d v="2025-02-03T00:00:00"/>
    <x v="1"/>
    <s v="West"/>
    <m/>
    <s v="Referral"/>
    <s v="Basic"/>
    <x v="1"/>
    <x v="0"/>
    <x v="0"/>
    <x v="0"/>
    <n v="0"/>
    <n v="1"/>
    <n v="0"/>
    <m/>
    <n v="60.7"/>
  </r>
  <r>
    <s v="USR-101272"/>
    <d v="2025-03-12T00:00:00"/>
    <x v="1"/>
    <s v="West"/>
    <s v="Mobile"/>
    <s v="Paid Search"/>
    <s v="Basic"/>
    <x v="1"/>
    <x v="0"/>
    <x v="0"/>
    <x v="0"/>
    <n v="0"/>
    <n v="0"/>
    <n v="0"/>
    <m/>
    <n v="36.5"/>
  </r>
  <r>
    <s v="USR-101273"/>
    <d v="2025-05-09T00:00:00"/>
    <x v="1"/>
    <s v="West"/>
    <s v="Mobile"/>
    <s v="Social"/>
    <s v="Free"/>
    <x v="1"/>
    <x v="1"/>
    <x v="1"/>
    <x v="0"/>
    <n v="0"/>
    <n v="3"/>
    <n v="0"/>
    <m/>
    <n v="69.7"/>
  </r>
  <r>
    <s v="USR-101274"/>
    <d v="2025-01-19T00:00:00"/>
    <x v="1"/>
    <s v="South"/>
    <s v="Desktop"/>
    <s v="Social"/>
    <s v="Premium"/>
    <x v="1"/>
    <x v="0"/>
    <x v="0"/>
    <x v="0"/>
    <n v="0"/>
    <n v="0"/>
    <n v="0"/>
    <m/>
    <n v="81.8"/>
  </r>
  <r>
    <s v="USR-101275"/>
    <d v="2025-01-24T00:00:00"/>
    <x v="1"/>
    <s v="West"/>
    <s v="Mobile"/>
    <s v="Referral"/>
    <s v="Free"/>
    <x v="1"/>
    <x v="1"/>
    <x v="1"/>
    <x v="0"/>
    <n v="0"/>
    <n v="1"/>
    <n v="0"/>
    <m/>
    <n v="78.3"/>
  </r>
  <r>
    <s v="USR-101276"/>
    <d v="2025-03-03T00:00:00"/>
    <x v="1"/>
    <s v="East"/>
    <s v="Mobile"/>
    <s v="Referral"/>
    <s v="Free"/>
    <x v="1"/>
    <x v="1"/>
    <x v="0"/>
    <x v="0"/>
    <n v="0"/>
    <n v="0"/>
    <n v="0"/>
    <m/>
    <n v="79.400000000000006"/>
  </r>
  <r>
    <s v="USR-101277"/>
    <d v="2025-05-27T00:00:00"/>
    <x v="1"/>
    <s v="North"/>
    <s v="Desktop"/>
    <s v="Referral"/>
    <s v="Free"/>
    <x v="1"/>
    <x v="1"/>
    <x v="1"/>
    <x v="0"/>
    <n v="0"/>
    <n v="0"/>
    <n v="0"/>
    <m/>
    <n v="54.9"/>
  </r>
  <r>
    <s v="USR-101278"/>
    <d v="2025-04-23T00:00:00"/>
    <x v="1"/>
    <s v="West"/>
    <s v="Desktop"/>
    <s v="Organic"/>
    <s v="Basic"/>
    <x v="1"/>
    <x v="0"/>
    <x v="0"/>
    <x v="0"/>
    <n v="0"/>
    <n v="0"/>
    <n v="0"/>
    <m/>
    <n v="54.9"/>
  </r>
  <r>
    <s v="USR-101279"/>
    <d v="2025-02-10T00:00:00"/>
    <x v="1"/>
    <s v="East"/>
    <s v="Desktop"/>
    <s v="Social"/>
    <s v="Free"/>
    <x v="0"/>
    <x v="0"/>
    <x v="0"/>
    <x v="0"/>
    <n v="0"/>
    <n v="0"/>
    <n v="0"/>
    <m/>
    <n v="28.7"/>
  </r>
  <r>
    <s v="USR-101280"/>
    <d v="2025-02-11T00:00:00"/>
    <x v="1"/>
    <s v="North"/>
    <s v="Mobile"/>
    <s v="Organic"/>
    <s v="Free"/>
    <x v="0"/>
    <x v="0"/>
    <x v="0"/>
    <x v="0"/>
    <n v="0"/>
    <n v="0"/>
    <n v="0"/>
    <m/>
    <n v="68.8"/>
  </r>
  <r>
    <s v="USR-101281"/>
    <d v="2025-01-21T00:00:00"/>
    <x v="1"/>
    <s v="East"/>
    <s v="Desktop"/>
    <s v="Paid Search"/>
    <s v="Free"/>
    <x v="1"/>
    <x v="1"/>
    <x v="1"/>
    <x v="0"/>
    <n v="0"/>
    <n v="0"/>
    <n v="0"/>
    <m/>
    <n v="43.5"/>
  </r>
  <r>
    <s v="USR-101282"/>
    <d v="2025-02-02T00:00:00"/>
    <x v="1"/>
    <s v="West"/>
    <s v="Desktop"/>
    <s v="Social"/>
    <s v="Free"/>
    <x v="1"/>
    <x v="1"/>
    <x v="0"/>
    <x v="0"/>
    <n v="0"/>
    <n v="0"/>
    <n v="0"/>
    <m/>
    <n v="62.6"/>
  </r>
  <r>
    <s v="USR-101283"/>
    <d v="2025-02-02T00:00:00"/>
    <x v="1"/>
    <s v="West"/>
    <s v="Mobile"/>
    <s v="Organic"/>
    <s v="Free"/>
    <x v="0"/>
    <x v="0"/>
    <x v="0"/>
    <x v="0"/>
    <n v="0"/>
    <n v="1"/>
    <n v="0"/>
    <m/>
    <n v="54.1"/>
  </r>
  <r>
    <s v="USR-101284"/>
    <d v="2025-02-26T00:00:00"/>
    <x v="1"/>
    <s v="West"/>
    <s v="Tablet"/>
    <s v="Social"/>
    <s v="Free"/>
    <x v="1"/>
    <x v="1"/>
    <x v="1"/>
    <x v="0"/>
    <n v="0"/>
    <n v="0"/>
    <n v="0"/>
    <m/>
    <n v="80.099999999999994"/>
  </r>
  <r>
    <s v="USR-101285"/>
    <d v="2025-04-22T00:00:00"/>
    <x v="1"/>
    <s v="North"/>
    <s v="Mobile"/>
    <s v="Social"/>
    <s v="Premium"/>
    <x v="1"/>
    <x v="0"/>
    <x v="0"/>
    <x v="0"/>
    <n v="0"/>
    <n v="0"/>
    <n v="0"/>
    <m/>
    <n v="69.5"/>
  </r>
  <r>
    <s v="USR-101286"/>
    <d v="2025-03-11T00:00:00"/>
    <x v="1"/>
    <s v="North"/>
    <s v="Desktop"/>
    <s v="Organic"/>
    <s v="Basic"/>
    <x v="0"/>
    <x v="0"/>
    <x v="0"/>
    <x v="0"/>
    <n v="0"/>
    <n v="2"/>
    <n v="0"/>
    <m/>
    <n v="46.6"/>
  </r>
  <r>
    <s v="USR-101287"/>
    <d v="2025-05-08T00:00:00"/>
    <x v="1"/>
    <s v="South"/>
    <s v="Mobile"/>
    <s v="Organic"/>
    <s v="Premium"/>
    <x v="1"/>
    <x v="0"/>
    <x v="0"/>
    <x v="0"/>
    <n v="0"/>
    <n v="1"/>
    <n v="0"/>
    <m/>
    <n v="54.9"/>
  </r>
  <r>
    <s v="USR-101288"/>
    <d v="2025-03-10T00:00:00"/>
    <x v="1"/>
    <s v="East"/>
    <s v="Desktop"/>
    <s v="Organic"/>
    <s v="Free"/>
    <x v="0"/>
    <x v="0"/>
    <x v="0"/>
    <x v="0"/>
    <n v="0"/>
    <n v="0"/>
    <n v="0"/>
    <m/>
    <n v="100"/>
  </r>
  <r>
    <s v="USR-101289"/>
    <d v="2025-04-16T00:00:00"/>
    <x v="1"/>
    <s v="East"/>
    <s v="Desktop"/>
    <s v="Paid Search"/>
    <s v="Free"/>
    <x v="1"/>
    <x v="1"/>
    <x v="1"/>
    <x v="0"/>
    <n v="0"/>
    <n v="1"/>
    <n v="0"/>
    <m/>
    <n v="80.5"/>
  </r>
  <r>
    <s v="USR-101290"/>
    <d v="2025-03-01T00:00:00"/>
    <x v="1"/>
    <s v="West"/>
    <s v="Tablet"/>
    <s v="Organic"/>
    <s v="Basic"/>
    <x v="1"/>
    <x v="0"/>
    <x v="0"/>
    <x v="0"/>
    <n v="0"/>
    <n v="0"/>
    <n v="0"/>
    <m/>
    <n v="51.2"/>
  </r>
  <r>
    <s v="USR-101291"/>
    <d v="2025-01-18T00:00:00"/>
    <x v="1"/>
    <s v="South"/>
    <s v="Desktop"/>
    <s v="Organic"/>
    <s v="Premium"/>
    <x v="1"/>
    <x v="0"/>
    <x v="0"/>
    <x v="0"/>
    <n v="0"/>
    <n v="0"/>
    <n v="0"/>
    <m/>
    <n v="42.5"/>
  </r>
  <r>
    <s v="USR-101292"/>
    <d v="2025-03-30T00:00:00"/>
    <x v="1"/>
    <s v="North"/>
    <s v="Mobile"/>
    <s v="Paid Search"/>
    <s v="Free"/>
    <x v="0"/>
    <x v="0"/>
    <x v="0"/>
    <x v="0"/>
    <n v="0"/>
    <n v="0"/>
    <n v="0"/>
    <m/>
    <n v="72.5"/>
  </r>
  <r>
    <s v="USR-101293"/>
    <d v="2025-05-26T00:00:00"/>
    <x v="1"/>
    <s v="West"/>
    <s v="Mobile"/>
    <s v="Social"/>
    <s v="Premium"/>
    <x v="0"/>
    <x v="0"/>
    <x v="0"/>
    <x v="0"/>
    <n v="0"/>
    <n v="0"/>
    <n v="0"/>
    <m/>
    <n v="74.400000000000006"/>
  </r>
  <r>
    <s v="USR-101294"/>
    <d v="2025-03-19T00:00:00"/>
    <x v="1"/>
    <s v="East"/>
    <s v="Desktop"/>
    <s v="Social"/>
    <s v="Free"/>
    <x v="0"/>
    <x v="0"/>
    <x v="0"/>
    <x v="0"/>
    <n v="0"/>
    <n v="0"/>
    <n v="0"/>
    <m/>
    <n v="78.400000000000006"/>
  </r>
  <r>
    <s v="USR-101295"/>
    <d v="2025-03-28T00:00:00"/>
    <x v="1"/>
    <s v="North"/>
    <s v="Desktop"/>
    <s v="Referral"/>
    <s v="Free"/>
    <x v="1"/>
    <x v="0"/>
    <x v="0"/>
    <x v="0"/>
    <n v="0"/>
    <n v="0"/>
    <n v="0"/>
    <m/>
    <n v="71.5"/>
  </r>
  <r>
    <s v="USR-101296"/>
    <d v="2025-05-28T00:00:00"/>
    <x v="1"/>
    <s v="South"/>
    <s v="Desktop"/>
    <s v="Social"/>
    <s v="Free"/>
    <x v="1"/>
    <x v="0"/>
    <x v="0"/>
    <x v="0"/>
    <n v="0"/>
    <n v="0"/>
    <n v="0"/>
    <m/>
    <n v="66.7"/>
  </r>
  <r>
    <s v="USR-101297"/>
    <d v="2025-05-31T00:00:00"/>
    <x v="1"/>
    <s v="South"/>
    <s v="Desktop"/>
    <s v="Referral"/>
    <s v="Premium"/>
    <x v="1"/>
    <x v="1"/>
    <x v="1"/>
    <x v="1"/>
    <n v="1496.09"/>
    <n v="0"/>
    <n v="0"/>
    <n v="7"/>
    <n v="60.4"/>
  </r>
  <r>
    <s v="USR-101298"/>
    <d v="2025-05-10T00:00:00"/>
    <x v="1"/>
    <s v="North"/>
    <s v="Mobile"/>
    <s v="Referral"/>
    <s v="Free"/>
    <x v="0"/>
    <x v="0"/>
    <x v="0"/>
    <x v="0"/>
    <n v="0"/>
    <n v="1"/>
    <n v="0"/>
    <m/>
    <n v="72.900000000000006"/>
  </r>
  <r>
    <s v="USR-101299"/>
    <d v="2025-05-17T00:00:00"/>
    <x v="1"/>
    <s v="West"/>
    <s v="Mobile"/>
    <s v="Organic"/>
    <s v="Free"/>
    <x v="0"/>
    <x v="0"/>
    <x v="0"/>
    <x v="0"/>
    <n v="0"/>
    <n v="3"/>
    <n v="0"/>
    <m/>
    <m/>
  </r>
  <r>
    <s v="USR-101300"/>
    <d v="2025-01-18T00:00:00"/>
    <x v="1"/>
    <s v="South"/>
    <s v="Mobile"/>
    <s v="Organic"/>
    <s v="Premium"/>
    <x v="1"/>
    <x v="0"/>
    <x v="0"/>
    <x v="0"/>
    <n v="0"/>
    <n v="0"/>
    <n v="0"/>
    <m/>
    <n v="55.2"/>
  </r>
  <r>
    <s v="USR-101301"/>
    <d v="2025-05-04T00:00:00"/>
    <x v="1"/>
    <s v="West"/>
    <s v="Mobile"/>
    <s v="Social"/>
    <s v="Free"/>
    <x v="1"/>
    <x v="0"/>
    <x v="0"/>
    <x v="0"/>
    <n v="0"/>
    <n v="0"/>
    <n v="0"/>
    <m/>
    <n v="67.8"/>
  </r>
  <r>
    <s v="USR-101302"/>
    <d v="2025-03-25T00:00:00"/>
    <x v="1"/>
    <s v="North"/>
    <s v="Mobile"/>
    <s v="Organic"/>
    <s v="Free"/>
    <x v="1"/>
    <x v="0"/>
    <x v="0"/>
    <x v="0"/>
    <n v="0"/>
    <n v="2"/>
    <n v="0"/>
    <m/>
    <n v="70"/>
  </r>
  <r>
    <s v="USR-101303"/>
    <d v="2025-02-27T00:00:00"/>
    <x v="1"/>
    <s v="North"/>
    <s v="Mobile"/>
    <s v="Social"/>
    <s v="Basic"/>
    <x v="1"/>
    <x v="1"/>
    <x v="1"/>
    <x v="0"/>
    <n v="0"/>
    <n v="0"/>
    <n v="0"/>
    <m/>
    <n v="51.1"/>
  </r>
  <r>
    <s v="USR-101304"/>
    <d v="2025-01-14T00:00:00"/>
    <x v="1"/>
    <s v="West"/>
    <s v="Mobile"/>
    <s v="Paid Search"/>
    <s v="Basic"/>
    <x v="1"/>
    <x v="1"/>
    <x v="1"/>
    <x v="0"/>
    <n v="0"/>
    <n v="0"/>
    <n v="0"/>
    <m/>
    <n v="57"/>
  </r>
  <r>
    <s v="USR-101305"/>
    <d v="2025-04-11T00:00:00"/>
    <x v="1"/>
    <s v="East"/>
    <s v="Mobile"/>
    <s v="Social"/>
    <s v="Free"/>
    <x v="0"/>
    <x v="0"/>
    <x v="0"/>
    <x v="0"/>
    <n v="0"/>
    <n v="1"/>
    <n v="0"/>
    <m/>
    <n v="47.1"/>
  </r>
  <r>
    <s v="USR-101306"/>
    <d v="2025-03-26T00:00:00"/>
    <x v="1"/>
    <s v="East"/>
    <s v="Desktop"/>
    <s v="Social"/>
    <s v="Basic"/>
    <x v="0"/>
    <x v="0"/>
    <x v="0"/>
    <x v="0"/>
    <n v="0"/>
    <n v="0"/>
    <n v="0"/>
    <m/>
    <n v="30.7"/>
  </r>
  <r>
    <s v="USR-101307"/>
    <d v="2025-02-12T00:00:00"/>
    <x v="1"/>
    <s v="West"/>
    <s v="Desktop"/>
    <s v="Social"/>
    <s v="Free"/>
    <x v="1"/>
    <x v="0"/>
    <x v="0"/>
    <x v="0"/>
    <n v="0"/>
    <n v="0"/>
    <n v="0"/>
    <m/>
    <n v="57.3"/>
  </r>
  <r>
    <s v="USR-101308"/>
    <d v="2025-02-18T00:00:00"/>
    <x v="1"/>
    <s v="West"/>
    <s v="Tablet"/>
    <s v="Paid Search"/>
    <s v="Basic"/>
    <x v="1"/>
    <x v="0"/>
    <x v="0"/>
    <x v="0"/>
    <n v="0"/>
    <n v="0"/>
    <n v="0"/>
    <m/>
    <n v="70"/>
  </r>
  <r>
    <s v="USR-101309"/>
    <d v="2025-05-25T00:00:00"/>
    <x v="1"/>
    <s v="East"/>
    <s v="Desktop"/>
    <s v="Social"/>
    <s v="Free"/>
    <x v="1"/>
    <x v="1"/>
    <x v="1"/>
    <x v="0"/>
    <n v="0"/>
    <n v="0"/>
    <n v="0"/>
    <m/>
    <n v="59.7"/>
  </r>
  <r>
    <s v="USR-101310"/>
    <d v="2025-05-23T00:00:00"/>
    <x v="1"/>
    <s v="East"/>
    <s v="Desktop"/>
    <s v="Paid Search"/>
    <s v="Basic"/>
    <x v="1"/>
    <x v="0"/>
    <x v="0"/>
    <x v="0"/>
    <n v="0"/>
    <n v="0"/>
    <n v="0"/>
    <m/>
    <n v="68.8"/>
  </r>
  <r>
    <s v="USR-101311"/>
    <d v="2025-01-16T00:00:00"/>
    <x v="1"/>
    <s v="North"/>
    <s v="Desktop"/>
    <s v="Organic"/>
    <s v="Free"/>
    <x v="1"/>
    <x v="1"/>
    <x v="1"/>
    <x v="1"/>
    <n v="428.37"/>
    <n v="0"/>
    <n v="0"/>
    <n v="9"/>
    <n v="88.3"/>
  </r>
  <r>
    <s v="USR-101312"/>
    <d v="2025-01-19T00:00:00"/>
    <x v="1"/>
    <s v="West"/>
    <s v="Desktop"/>
    <s v="Email"/>
    <s v="Basic"/>
    <x v="0"/>
    <x v="0"/>
    <x v="0"/>
    <x v="0"/>
    <n v="0"/>
    <n v="0"/>
    <n v="0"/>
    <m/>
    <n v="83.4"/>
  </r>
  <r>
    <s v="USR-101313"/>
    <d v="2025-05-18T00:00:00"/>
    <x v="1"/>
    <s v="South"/>
    <s v="Mobile"/>
    <s v="Referral"/>
    <s v="Free"/>
    <x v="0"/>
    <x v="0"/>
    <x v="0"/>
    <x v="0"/>
    <n v="0"/>
    <n v="1"/>
    <n v="0"/>
    <m/>
    <n v="81.599999999999994"/>
  </r>
  <r>
    <s v="USR-101314"/>
    <d v="2025-01-23T00:00:00"/>
    <x v="1"/>
    <s v="East"/>
    <s v="Tablet"/>
    <s v="Social"/>
    <s v="Premium"/>
    <x v="1"/>
    <x v="0"/>
    <x v="0"/>
    <x v="0"/>
    <n v="0"/>
    <n v="0"/>
    <n v="0"/>
    <m/>
    <n v="91.6"/>
  </r>
  <r>
    <s v="USR-101315"/>
    <d v="2025-01-08T00:00:00"/>
    <x v="1"/>
    <s v="East"/>
    <s v="Tablet"/>
    <m/>
    <s v="Premium"/>
    <x v="1"/>
    <x v="1"/>
    <x v="1"/>
    <x v="0"/>
    <n v="0"/>
    <n v="1"/>
    <n v="0"/>
    <m/>
    <n v="61.5"/>
  </r>
  <r>
    <s v="USR-101316"/>
    <d v="2025-02-19T00:00:00"/>
    <x v="1"/>
    <s v="North"/>
    <s v="Mobile"/>
    <s v="Organic"/>
    <s v="Premium"/>
    <x v="0"/>
    <x v="0"/>
    <x v="0"/>
    <x v="0"/>
    <n v="0"/>
    <n v="0"/>
    <n v="0"/>
    <m/>
    <m/>
  </r>
  <r>
    <s v="USR-101317"/>
    <d v="2025-02-10T00:00:00"/>
    <x v="1"/>
    <s v="South"/>
    <s v="Mobile"/>
    <s v="Organic"/>
    <s v="Free"/>
    <x v="1"/>
    <x v="0"/>
    <x v="0"/>
    <x v="0"/>
    <n v="0"/>
    <n v="0"/>
    <n v="0"/>
    <m/>
    <n v="32.6"/>
  </r>
  <r>
    <s v="USR-101318"/>
    <d v="2025-04-13T00:00:00"/>
    <x v="1"/>
    <s v="South"/>
    <s v="Mobile"/>
    <s v="Paid Search"/>
    <s v="Free"/>
    <x v="1"/>
    <x v="0"/>
    <x v="0"/>
    <x v="0"/>
    <n v="0"/>
    <n v="0"/>
    <n v="0"/>
    <m/>
    <n v="73.900000000000006"/>
  </r>
  <r>
    <s v="USR-101319"/>
    <d v="2025-05-20T00:00:00"/>
    <x v="1"/>
    <s v="East"/>
    <s v="Mobile"/>
    <s v="Organic"/>
    <s v="Free"/>
    <x v="1"/>
    <x v="1"/>
    <x v="1"/>
    <x v="1"/>
    <n v="444.06"/>
    <n v="0"/>
    <n v="0"/>
    <n v="9"/>
    <n v="99.9"/>
  </r>
  <r>
    <s v="USR-101320"/>
    <d v="2025-05-13T00:00:00"/>
    <x v="1"/>
    <s v="South"/>
    <s v="Mobile"/>
    <s v="Paid Search"/>
    <s v="Basic"/>
    <x v="1"/>
    <x v="1"/>
    <x v="0"/>
    <x v="0"/>
    <n v="0"/>
    <n v="1"/>
    <n v="0"/>
    <m/>
    <n v="62.4"/>
  </r>
  <r>
    <s v="USR-101321"/>
    <d v="2025-05-28T00:00:00"/>
    <x v="1"/>
    <s v="South"/>
    <s v="Desktop"/>
    <s v="Paid Search"/>
    <s v="Basic"/>
    <x v="1"/>
    <x v="0"/>
    <x v="0"/>
    <x v="0"/>
    <n v="0"/>
    <n v="0"/>
    <n v="0"/>
    <m/>
    <n v="46.1"/>
  </r>
  <r>
    <s v="USR-101322"/>
    <d v="2025-03-19T00:00:00"/>
    <x v="1"/>
    <s v="West"/>
    <s v="Mobile"/>
    <s v="Organic"/>
    <s v="Free"/>
    <x v="1"/>
    <x v="1"/>
    <x v="1"/>
    <x v="1"/>
    <n v="2660.21"/>
    <n v="0"/>
    <n v="0"/>
    <n v="3"/>
    <n v="73.900000000000006"/>
  </r>
  <r>
    <s v="USR-101323"/>
    <d v="2025-02-03T00:00:00"/>
    <x v="1"/>
    <s v="North"/>
    <s v="Mobile"/>
    <s v="Email"/>
    <s v="Premium"/>
    <x v="0"/>
    <x v="0"/>
    <x v="0"/>
    <x v="0"/>
    <n v="0"/>
    <n v="0"/>
    <n v="0"/>
    <m/>
    <n v="90"/>
  </r>
  <r>
    <s v="USR-101324"/>
    <d v="2025-02-26T00:00:00"/>
    <x v="1"/>
    <s v="South"/>
    <s v="Mobile"/>
    <s v="Email"/>
    <s v="Basic"/>
    <x v="1"/>
    <x v="0"/>
    <x v="0"/>
    <x v="0"/>
    <n v="0"/>
    <n v="1"/>
    <n v="0"/>
    <m/>
    <n v="68.8"/>
  </r>
  <r>
    <s v="USR-101325"/>
    <d v="2025-01-26T00:00:00"/>
    <x v="1"/>
    <s v="West"/>
    <s v="Mobile"/>
    <s v="Paid Search"/>
    <s v="Free"/>
    <x v="1"/>
    <x v="0"/>
    <x v="0"/>
    <x v="0"/>
    <n v="0"/>
    <n v="0"/>
    <n v="0"/>
    <m/>
    <n v="66.599999999999994"/>
  </r>
  <r>
    <s v="USR-101326"/>
    <d v="2025-05-13T00:00:00"/>
    <x v="1"/>
    <s v="North"/>
    <s v="Mobile"/>
    <s v="Organic"/>
    <s v="Premium"/>
    <x v="1"/>
    <x v="0"/>
    <x v="0"/>
    <x v="0"/>
    <n v="0"/>
    <n v="0"/>
    <n v="0"/>
    <m/>
    <n v="49.7"/>
  </r>
  <r>
    <s v="USR-101327"/>
    <d v="2025-02-02T00:00:00"/>
    <x v="1"/>
    <s v="South"/>
    <s v="Mobile"/>
    <s v="Paid Search"/>
    <s v="Basic"/>
    <x v="0"/>
    <x v="0"/>
    <x v="0"/>
    <x v="0"/>
    <n v="0"/>
    <n v="0"/>
    <n v="0"/>
    <m/>
    <n v="67.900000000000006"/>
  </r>
  <r>
    <s v="USR-101328"/>
    <d v="2025-04-30T00:00:00"/>
    <x v="1"/>
    <s v="West"/>
    <s v="Mobile"/>
    <m/>
    <s v="Basic"/>
    <x v="0"/>
    <x v="0"/>
    <x v="0"/>
    <x v="0"/>
    <n v="0"/>
    <n v="0"/>
    <n v="0"/>
    <m/>
    <n v="66.900000000000006"/>
  </r>
  <r>
    <s v="USR-101329"/>
    <d v="2025-03-29T00:00:00"/>
    <x v="1"/>
    <s v="East"/>
    <s v="Mobile"/>
    <s v="Organic"/>
    <s v="Free"/>
    <x v="0"/>
    <x v="0"/>
    <x v="0"/>
    <x v="0"/>
    <n v="0"/>
    <n v="0"/>
    <n v="0"/>
    <m/>
    <n v="46.1"/>
  </r>
  <r>
    <s v="USR-101330"/>
    <d v="2025-04-09T00:00:00"/>
    <x v="1"/>
    <s v="West"/>
    <s v="Desktop"/>
    <s v="Referral"/>
    <s v="Premium"/>
    <x v="1"/>
    <x v="0"/>
    <x v="0"/>
    <x v="0"/>
    <n v="0"/>
    <n v="0"/>
    <n v="0"/>
    <m/>
    <n v="85.6"/>
  </r>
  <r>
    <s v="USR-101331"/>
    <d v="2025-01-22T00:00:00"/>
    <x v="1"/>
    <s v="South"/>
    <s v="Tablet"/>
    <s v="Organic"/>
    <s v="Free"/>
    <x v="0"/>
    <x v="0"/>
    <x v="0"/>
    <x v="0"/>
    <n v="0"/>
    <n v="0"/>
    <n v="0"/>
    <m/>
    <n v="39.6"/>
  </r>
  <r>
    <s v="USR-101332"/>
    <d v="2025-01-27T00:00:00"/>
    <x v="1"/>
    <s v="South"/>
    <s v="Mobile"/>
    <s v="Organic"/>
    <s v="Basic"/>
    <x v="1"/>
    <x v="0"/>
    <x v="0"/>
    <x v="0"/>
    <n v="0"/>
    <n v="0"/>
    <n v="0"/>
    <m/>
    <n v="52.5"/>
  </r>
  <r>
    <s v="USR-101333"/>
    <d v="2025-01-22T00:00:00"/>
    <x v="1"/>
    <s v="East"/>
    <s v="Mobile"/>
    <s v="Social"/>
    <s v="Premium"/>
    <x v="1"/>
    <x v="0"/>
    <x v="0"/>
    <x v="0"/>
    <n v="0"/>
    <n v="0"/>
    <n v="0"/>
    <m/>
    <n v="73.5"/>
  </r>
  <r>
    <s v="USR-101334"/>
    <d v="2025-01-06T00:00:00"/>
    <x v="1"/>
    <s v="West"/>
    <s v="Desktop"/>
    <s v="Paid Search"/>
    <s v="Free"/>
    <x v="0"/>
    <x v="0"/>
    <x v="0"/>
    <x v="0"/>
    <n v="0"/>
    <n v="0"/>
    <n v="0"/>
    <m/>
    <n v="62.5"/>
  </r>
  <r>
    <s v="USR-101335"/>
    <d v="2025-04-16T00:00:00"/>
    <x v="1"/>
    <s v="South"/>
    <m/>
    <s v="Organic"/>
    <s v="Free"/>
    <x v="1"/>
    <x v="0"/>
    <x v="0"/>
    <x v="0"/>
    <n v="0"/>
    <n v="0"/>
    <n v="0"/>
    <m/>
    <n v="76.900000000000006"/>
  </r>
  <r>
    <s v="USR-101336"/>
    <d v="2025-04-14T00:00:00"/>
    <x v="1"/>
    <s v="South"/>
    <s v="Mobile"/>
    <s v="Organic"/>
    <s v="Free"/>
    <x v="1"/>
    <x v="0"/>
    <x v="0"/>
    <x v="0"/>
    <n v="0"/>
    <n v="0"/>
    <n v="0"/>
    <m/>
    <n v="51.4"/>
  </r>
  <r>
    <s v="USR-101337"/>
    <d v="2025-02-22T00:00:00"/>
    <x v="1"/>
    <s v="West"/>
    <s v="Mobile"/>
    <s v="Paid Search"/>
    <s v="Basic"/>
    <x v="1"/>
    <x v="0"/>
    <x v="0"/>
    <x v="0"/>
    <n v="0"/>
    <n v="0"/>
    <n v="0"/>
    <m/>
    <n v="59.3"/>
  </r>
  <r>
    <s v="USR-101338"/>
    <d v="2025-03-09T00:00:00"/>
    <x v="1"/>
    <s v="North"/>
    <s v="Mobile"/>
    <s v="Organic"/>
    <s v="Basic"/>
    <x v="0"/>
    <x v="0"/>
    <x v="0"/>
    <x v="0"/>
    <n v="0"/>
    <n v="0"/>
    <n v="0"/>
    <m/>
    <n v="74.900000000000006"/>
  </r>
  <r>
    <s v="USR-101339"/>
    <d v="2025-04-20T00:00:00"/>
    <x v="1"/>
    <s v="West"/>
    <s v="Desktop"/>
    <s v="Organic"/>
    <s v="Free"/>
    <x v="1"/>
    <x v="0"/>
    <x v="0"/>
    <x v="0"/>
    <n v="0"/>
    <n v="0"/>
    <n v="0"/>
    <m/>
    <n v="67"/>
  </r>
  <r>
    <s v="USR-101340"/>
    <d v="2025-03-10T00:00:00"/>
    <x v="1"/>
    <s v="South"/>
    <s v="Mobile"/>
    <s v="Email"/>
    <s v="Free"/>
    <x v="0"/>
    <x v="0"/>
    <x v="0"/>
    <x v="0"/>
    <n v="0"/>
    <n v="0"/>
    <n v="0"/>
    <m/>
    <n v="63.6"/>
  </r>
  <r>
    <s v="USR-101341"/>
    <d v="2025-02-21T00:00:00"/>
    <x v="1"/>
    <s v="South"/>
    <s v="Mobile"/>
    <s v="Email"/>
    <s v="Free"/>
    <x v="1"/>
    <x v="1"/>
    <x v="0"/>
    <x v="0"/>
    <n v="0"/>
    <n v="1"/>
    <n v="0"/>
    <m/>
    <n v="58.4"/>
  </r>
  <r>
    <s v="USR-101342"/>
    <d v="2025-01-06T00:00:00"/>
    <x v="1"/>
    <s v="North"/>
    <s v="Desktop"/>
    <s v="Social"/>
    <s v="Free"/>
    <x v="1"/>
    <x v="0"/>
    <x v="0"/>
    <x v="0"/>
    <n v="0"/>
    <n v="0"/>
    <n v="0"/>
    <m/>
    <n v="36.799999999999997"/>
  </r>
  <r>
    <s v="USR-101343"/>
    <d v="2025-04-17T00:00:00"/>
    <x v="1"/>
    <s v="South"/>
    <s v="Mobile"/>
    <s v="Organic"/>
    <s v="Premium"/>
    <x v="1"/>
    <x v="0"/>
    <x v="0"/>
    <x v="0"/>
    <n v="0"/>
    <n v="0"/>
    <n v="0"/>
    <m/>
    <n v="71.599999999999994"/>
  </r>
  <r>
    <s v="USR-101344"/>
    <d v="2025-05-23T00:00:00"/>
    <x v="1"/>
    <s v="South"/>
    <s v="Mobile"/>
    <s v="Email"/>
    <s v="Basic"/>
    <x v="1"/>
    <x v="1"/>
    <x v="0"/>
    <x v="0"/>
    <n v="0"/>
    <n v="1"/>
    <n v="0"/>
    <m/>
    <n v="79.7"/>
  </r>
  <r>
    <s v="USR-101345"/>
    <d v="2025-03-14T00:00:00"/>
    <x v="1"/>
    <s v="West"/>
    <s v="Desktop"/>
    <s v="Organic"/>
    <s v="Basic"/>
    <x v="1"/>
    <x v="0"/>
    <x v="0"/>
    <x v="0"/>
    <n v="0"/>
    <n v="1"/>
    <n v="0"/>
    <m/>
    <n v="56.5"/>
  </r>
  <r>
    <s v="USR-101346"/>
    <d v="2025-04-21T00:00:00"/>
    <x v="1"/>
    <s v="North"/>
    <s v="Mobile"/>
    <s v="Social"/>
    <s v="Premium"/>
    <x v="1"/>
    <x v="0"/>
    <x v="0"/>
    <x v="0"/>
    <n v="0"/>
    <n v="0"/>
    <n v="0"/>
    <m/>
    <n v="44.7"/>
  </r>
  <r>
    <s v="USR-101347"/>
    <d v="2025-01-03T00:00:00"/>
    <x v="1"/>
    <s v="South"/>
    <s v="Mobile"/>
    <s v="Social"/>
    <s v="Free"/>
    <x v="1"/>
    <x v="1"/>
    <x v="1"/>
    <x v="0"/>
    <n v="0"/>
    <n v="1"/>
    <n v="0"/>
    <m/>
    <n v="66"/>
  </r>
  <r>
    <s v="USR-101348"/>
    <d v="2025-05-09T00:00:00"/>
    <x v="1"/>
    <s v="North"/>
    <s v="Desktop"/>
    <s v="Organic"/>
    <s v="Basic"/>
    <x v="1"/>
    <x v="0"/>
    <x v="0"/>
    <x v="0"/>
    <n v="0"/>
    <n v="0"/>
    <n v="0"/>
    <m/>
    <n v="73"/>
  </r>
  <r>
    <s v="USR-101349"/>
    <d v="2025-05-22T00:00:00"/>
    <x v="1"/>
    <s v="South"/>
    <s v="Mobile"/>
    <s v="Organic"/>
    <s v="Basic"/>
    <x v="1"/>
    <x v="1"/>
    <x v="1"/>
    <x v="0"/>
    <n v="0"/>
    <n v="1"/>
    <n v="0"/>
    <m/>
    <n v="72.5"/>
  </r>
  <r>
    <s v="USR-101350"/>
    <d v="2025-05-07T00:00:00"/>
    <x v="1"/>
    <s v="South"/>
    <s v="Desktop"/>
    <s v="Paid Search"/>
    <s v="Free"/>
    <x v="1"/>
    <x v="1"/>
    <x v="1"/>
    <x v="1"/>
    <n v="323.60000000000002"/>
    <n v="0"/>
    <n v="0"/>
    <n v="6"/>
    <n v="100"/>
  </r>
  <r>
    <s v="USR-101351"/>
    <d v="2025-02-08T00:00:00"/>
    <x v="1"/>
    <s v="East"/>
    <s v="Mobile"/>
    <s v="Social"/>
    <s v="Free"/>
    <x v="0"/>
    <x v="0"/>
    <x v="0"/>
    <x v="0"/>
    <n v="0"/>
    <n v="1"/>
    <n v="0"/>
    <m/>
    <n v="90.5"/>
  </r>
  <r>
    <s v="USR-101352"/>
    <d v="2025-04-03T00:00:00"/>
    <x v="1"/>
    <s v="North"/>
    <s v="Tablet"/>
    <s v="Social"/>
    <s v="Basic"/>
    <x v="1"/>
    <x v="0"/>
    <x v="0"/>
    <x v="0"/>
    <n v="0"/>
    <n v="0"/>
    <n v="0"/>
    <m/>
    <n v="70.2"/>
  </r>
  <r>
    <s v="USR-101353"/>
    <d v="2025-04-17T00:00:00"/>
    <x v="1"/>
    <s v="East"/>
    <s v="Desktop"/>
    <s v="Paid Search"/>
    <s v="Free"/>
    <x v="1"/>
    <x v="0"/>
    <x v="0"/>
    <x v="0"/>
    <n v="0"/>
    <n v="1"/>
    <n v="0"/>
    <m/>
    <n v="67.099999999999994"/>
  </r>
  <r>
    <s v="USR-101354"/>
    <d v="2025-05-04T00:00:00"/>
    <x v="1"/>
    <s v="East"/>
    <s v="Mobile"/>
    <s v="Organic"/>
    <s v="Free"/>
    <x v="0"/>
    <x v="0"/>
    <x v="0"/>
    <x v="0"/>
    <n v="0"/>
    <n v="0"/>
    <n v="0"/>
    <m/>
    <n v="54.5"/>
  </r>
  <r>
    <s v="USR-101355"/>
    <d v="2025-05-11T00:00:00"/>
    <x v="1"/>
    <s v="West"/>
    <s v="Desktop"/>
    <s v="Organic"/>
    <s v="Free"/>
    <x v="1"/>
    <x v="0"/>
    <x v="0"/>
    <x v="0"/>
    <n v="0"/>
    <n v="0"/>
    <n v="0"/>
    <m/>
    <n v="63.4"/>
  </r>
  <r>
    <s v="USR-101356"/>
    <d v="2025-03-01T00:00:00"/>
    <x v="1"/>
    <s v="North"/>
    <s v="Desktop"/>
    <m/>
    <s v="Free"/>
    <x v="1"/>
    <x v="1"/>
    <x v="1"/>
    <x v="0"/>
    <n v="0"/>
    <n v="0"/>
    <n v="0"/>
    <m/>
    <n v="84.3"/>
  </r>
  <r>
    <s v="USR-101357"/>
    <d v="2025-02-20T00:00:00"/>
    <x v="1"/>
    <s v="West"/>
    <s v="Desktop"/>
    <s v="Organic"/>
    <s v="Free"/>
    <x v="1"/>
    <x v="0"/>
    <x v="0"/>
    <x v="0"/>
    <n v="0"/>
    <n v="1"/>
    <n v="0"/>
    <m/>
    <n v="55"/>
  </r>
  <r>
    <s v="USR-101358"/>
    <d v="2025-05-09T00:00:00"/>
    <x v="1"/>
    <s v="West"/>
    <s v="Mobile"/>
    <s v="Social"/>
    <s v="Free"/>
    <x v="1"/>
    <x v="0"/>
    <x v="0"/>
    <x v="0"/>
    <n v="0"/>
    <n v="0"/>
    <n v="0"/>
    <m/>
    <n v="63.6"/>
  </r>
  <r>
    <s v="USR-101359"/>
    <d v="2025-04-30T00:00:00"/>
    <x v="1"/>
    <s v="West"/>
    <s v="Mobile"/>
    <s v="Organic"/>
    <s v="Free"/>
    <x v="1"/>
    <x v="0"/>
    <x v="0"/>
    <x v="0"/>
    <n v="0"/>
    <n v="0"/>
    <n v="0"/>
    <m/>
    <n v="55.5"/>
  </r>
  <r>
    <s v="USR-101360"/>
    <d v="2025-01-07T00:00:00"/>
    <x v="1"/>
    <s v="South"/>
    <s v="Mobile"/>
    <s v="Social"/>
    <s v="Basic"/>
    <x v="0"/>
    <x v="0"/>
    <x v="0"/>
    <x v="0"/>
    <n v="0"/>
    <n v="0"/>
    <n v="0"/>
    <m/>
    <n v="50.5"/>
  </r>
  <r>
    <s v="USR-101361"/>
    <d v="2025-04-30T00:00:00"/>
    <x v="1"/>
    <s v="North"/>
    <s v="Mobile"/>
    <s v="Social"/>
    <s v="Basic"/>
    <x v="1"/>
    <x v="0"/>
    <x v="0"/>
    <x v="0"/>
    <n v="0"/>
    <n v="0"/>
    <n v="0"/>
    <m/>
    <n v="45.3"/>
  </r>
  <r>
    <s v="USR-101362"/>
    <d v="2025-05-23T00:00:00"/>
    <x v="1"/>
    <s v="East"/>
    <s v="Mobile"/>
    <s v="Organic"/>
    <s v="Basic"/>
    <x v="1"/>
    <x v="0"/>
    <x v="0"/>
    <x v="0"/>
    <n v="0"/>
    <n v="0"/>
    <n v="0"/>
    <m/>
    <n v="33.6"/>
  </r>
  <r>
    <s v="USR-101363"/>
    <d v="2025-03-12T00:00:00"/>
    <x v="1"/>
    <s v="South"/>
    <s v="Mobile"/>
    <s v="Paid Search"/>
    <s v="Premium"/>
    <x v="1"/>
    <x v="1"/>
    <x v="1"/>
    <x v="0"/>
    <n v="0"/>
    <n v="0"/>
    <n v="0"/>
    <m/>
    <n v="88.2"/>
  </r>
  <r>
    <s v="USR-101364"/>
    <d v="2025-02-17T00:00:00"/>
    <x v="1"/>
    <s v="North"/>
    <s v="Mobile"/>
    <s v="Organic"/>
    <s v="Premium"/>
    <x v="1"/>
    <x v="0"/>
    <x v="0"/>
    <x v="0"/>
    <n v="0"/>
    <n v="0"/>
    <n v="0"/>
    <m/>
    <n v="51.8"/>
  </r>
  <r>
    <s v="USR-101365"/>
    <d v="2025-05-27T00:00:00"/>
    <x v="1"/>
    <s v="North"/>
    <s v="Desktop"/>
    <s v="Organic"/>
    <s v="Basic"/>
    <x v="0"/>
    <x v="0"/>
    <x v="0"/>
    <x v="0"/>
    <n v="0"/>
    <n v="0"/>
    <n v="0"/>
    <m/>
    <n v="87.9"/>
  </r>
  <r>
    <s v="USR-101366"/>
    <d v="2025-05-10T00:00:00"/>
    <x v="1"/>
    <s v="South"/>
    <s v="Mobile"/>
    <s v="Social"/>
    <s v="Premium"/>
    <x v="1"/>
    <x v="0"/>
    <x v="0"/>
    <x v="0"/>
    <n v="0"/>
    <n v="2"/>
    <n v="0"/>
    <m/>
    <n v="70.5"/>
  </r>
  <r>
    <s v="USR-101367"/>
    <d v="2025-01-20T00:00:00"/>
    <x v="1"/>
    <s v="North"/>
    <s v="Mobile"/>
    <s v="Organic"/>
    <s v="Basic"/>
    <x v="1"/>
    <x v="1"/>
    <x v="0"/>
    <x v="0"/>
    <n v="0"/>
    <n v="2"/>
    <n v="0"/>
    <m/>
    <n v="58.5"/>
  </r>
  <r>
    <s v="USR-101368"/>
    <d v="2025-01-19T00:00:00"/>
    <x v="1"/>
    <s v="East"/>
    <s v="Mobile"/>
    <s v="Referral"/>
    <s v="Free"/>
    <x v="1"/>
    <x v="0"/>
    <x v="0"/>
    <x v="0"/>
    <n v="0"/>
    <n v="0"/>
    <n v="0"/>
    <m/>
    <n v="65.599999999999994"/>
  </r>
  <r>
    <s v="USR-101369"/>
    <d v="2025-03-07T00:00:00"/>
    <x v="1"/>
    <s v="West"/>
    <s v="Desktop"/>
    <s v="Paid Search"/>
    <s v="Basic"/>
    <x v="1"/>
    <x v="1"/>
    <x v="0"/>
    <x v="0"/>
    <n v="0"/>
    <n v="0"/>
    <n v="0"/>
    <m/>
    <n v="62.7"/>
  </r>
  <r>
    <s v="USR-101370"/>
    <d v="2025-02-02T00:00:00"/>
    <x v="1"/>
    <s v="East"/>
    <s v="Mobile"/>
    <s v="Organic"/>
    <s v="Free"/>
    <x v="0"/>
    <x v="0"/>
    <x v="0"/>
    <x v="0"/>
    <n v="0"/>
    <n v="1"/>
    <n v="0"/>
    <m/>
    <n v="50.9"/>
  </r>
  <r>
    <s v="USR-101371"/>
    <d v="2025-03-07T00:00:00"/>
    <x v="1"/>
    <s v="North"/>
    <s v="Mobile"/>
    <s v="Organic"/>
    <s v="Free"/>
    <x v="0"/>
    <x v="0"/>
    <x v="0"/>
    <x v="0"/>
    <n v="0"/>
    <n v="1"/>
    <n v="0"/>
    <m/>
    <n v="60.6"/>
  </r>
  <r>
    <s v="USR-101372"/>
    <d v="2025-03-30T00:00:00"/>
    <x v="1"/>
    <s v="East"/>
    <s v="Desktop"/>
    <s v="Organic"/>
    <s v="Free"/>
    <x v="1"/>
    <x v="1"/>
    <x v="1"/>
    <x v="0"/>
    <n v="0"/>
    <n v="0"/>
    <n v="0"/>
    <m/>
    <n v="76.599999999999994"/>
  </r>
  <r>
    <s v="USR-101373"/>
    <d v="2025-05-05T00:00:00"/>
    <x v="1"/>
    <s v="East"/>
    <s v="Desktop"/>
    <s v="Paid Search"/>
    <s v="Free"/>
    <x v="1"/>
    <x v="1"/>
    <x v="1"/>
    <x v="0"/>
    <n v="0"/>
    <n v="0"/>
    <n v="0"/>
    <m/>
    <n v="54.4"/>
  </r>
  <r>
    <s v="USR-101374"/>
    <d v="2025-04-11T00:00:00"/>
    <x v="1"/>
    <s v="South"/>
    <s v="Mobile"/>
    <s v="Social"/>
    <s v="Free"/>
    <x v="1"/>
    <x v="0"/>
    <x v="0"/>
    <x v="0"/>
    <n v="0"/>
    <n v="0"/>
    <n v="0"/>
    <m/>
    <n v="31.2"/>
  </r>
  <r>
    <s v="USR-101375"/>
    <d v="2025-03-25T00:00:00"/>
    <x v="1"/>
    <s v="West"/>
    <s v="Desktop"/>
    <s v="Email"/>
    <s v="Premium"/>
    <x v="1"/>
    <x v="0"/>
    <x v="0"/>
    <x v="0"/>
    <n v="0"/>
    <n v="0"/>
    <n v="0"/>
    <m/>
    <n v="72.400000000000006"/>
  </r>
  <r>
    <s v="USR-101376"/>
    <d v="2025-03-24T00:00:00"/>
    <x v="1"/>
    <s v="North"/>
    <s v="Mobile"/>
    <s v="Organic"/>
    <s v="Premium"/>
    <x v="1"/>
    <x v="0"/>
    <x v="0"/>
    <x v="0"/>
    <n v="0"/>
    <n v="0"/>
    <n v="0"/>
    <m/>
    <n v="74.5"/>
  </r>
  <r>
    <s v="USR-101377"/>
    <d v="2025-04-27T00:00:00"/>
    <x v="1"/>
    <s v="East"/>
    <s v="Mobile"/>
    <s v="Organic"/>
    <s v="Basic"/>
    <x v="0"/>
    <x v="0"/>
    <x v="0"/>
    <x v="0"/>
    <n v="0"/>
    <n v="0"/>
    <n v="0"/>
    <m/>
    <n v="52.6"/>
  </r>
  <r>
    <s v="USR-101378"/>
    <d v="2025-01-25T00:00:00"/>
    <x v="1"/>
    <s v="North"/>
    <s v="Desktop"/>
    <s v="Paid Search"/>
    <s v="Free"/>
    <x v="1"/>
    <x v="0"/>
    <x v="0"/>
    <x v="0"/>
    <n v="0"/>
    <n v="0"/>
    <n v="0"/>
    <m/>
    <n v="75.400000000000006"/>
  </r>
  <r>
    <s v="USR-101379"/>
    <d v="2025-02-17T00:00:00"/>
    <x v="1"/>
    <s v="North"/>
    <s v="Tablet"/>
    <s v="Social"/>
    <s v="Basic"/>
    <x v="1"/>
    <x v="1"/>
    <x v="1"/>
    <x v="1"/>
    <n v="751.33"/>
    <n v="0"/>
    <n v="0"/>
    <n v="9"/>
    <n v="34"/>
  </r>
  <r>
    <s v="USR-101380"/>
    <d v="2025-04-13T00:00:00"/>
    <x v="1"/>
    <s v="South"/>
    <s v="Desktop"/>
    <s v="Organic"/>
    <s v="Free"/>
    <x v="1"/>
    <x v="0"/>
    <x v="0"/>
    <x v="0"/>
    <n v="0"/>
    <n v="0"/>
    <n v="0"/>
    <m/>
    <n v="67.099999999999994"/>
  </r>
  <r>
    <s v="USR-101381"/>
    <d v="2025-05-03T00:00:00"/>
    <x v="1"/>
    <s v="West"/>
    <s v="Desktop"/>
    <s v="Paid Search"/>
    <s v="Premium"/>
    <x v="1"/>
    <x v="0"/>
    <x v="0"/>
    <x v="0"/>
    <n v="0"/>
    <n v="0"/>
    <n v="0"/>
    <m/>
    <n v="37.299999999999997"/>
  </r>
  <r>
    <s v="USR-101382"/>
    <d v="2025-04-29T00:00:00"/>
    <x v="1"/>
    <s v="West"/>
    <s v="Mobile"/>
    <s v="Email"/>
    <s v="Free"/>
    <x v="1"/>
    <x v="0"/>
    <x v="0"/>
    <x v="0"/>
    <n v="0"/>
    <n v="0"/>
    <n v="0"/>
    <m/>
    <n v="54.7"/>
  </r>
  <r>
    <s v="USR-101383"/>
    <d v="2025-05-03T00:00:00"/>
    <x v="1"/>
    <s v="East"/>
    <s v="Desktop"/>
    <s v="Paid Search"/>
    <s v="Free"/>
    <x v="1"/>
    <x v="0"/>
    <x v="0"/>
    <x v="0"/>
    <n v="0"/>
    <n v="0"/>
    <n v="0"/>
    <m/>
    <n v="51.8"/>
  </r>
  <r>
    <s v="USR-101384"/>
    <d v="2025-04-28T00:00:00"/>
    <x v="1"/>
    <s v="West"/>
    <s v="Mobile"/>
    <s v="Paid Search"/>
    <s v="Free"/>
    <x v="0"/>
    <x v="0"/>
    <x v="0"/>
    <x v="0"/>
    <n v="0"/>
    <n v="0"/>
    <n v="0"/>
    <m/>
    <n v="49.2"/>
  </r>
  <r>
    <s v="USR-101385"/>
    <d v="2025-01-21T00:00:00"/>
    <x v="1"/>
    <s v="West"/>
    <s v="Mobile"/>
    <s v="Organic"/>
    <s v="Free"/>
    <x v="1"/>
    <x v="0"/>
    <x v="0"/>
    <x v="0"/>
    <n v="0"/>
    <n v="2"/>
    <n v="0"/>
    <m/>
    <n v="58.8"/>
  </r>
  <r>
    <s v="USR-101386"/>
    <d v="2025-01-21T00:00:00"/>
    <x v="1"/>
    <s v="North"/>
    <s v="Tablet"/>
    <s v="Paid Search"/>
    <s v="Basic"/>
    <x v="0"/>
    <x v="0"/>
    <x v="0"/>
    <x v="0"/>
    <n v="0"/>
    <n v="1"/>
    <n v="0"/>
    <m/>
    <n v="59.1"/>
  </r>
  <r>
    <s v="USR-101387"/>
    <d v="2025-05-21T00:00:00"/>
    <x v="1"/>
    <s v="West"/>
    <s v="Desktop"/>
    <s v="Paid Search"/>
    <s v="Free"/>
    <x v="1"/>
    <x v="0"/>
    <x v="0"/>
    <x v="0"/>
    <n v="0"/>
    <n v="2"/>
    <n v="0"/>
    <m/>
    <n v="49.6"/>
  </r>
  <r>
    <s v="USR-101388"/>
    <d v="2025-01-05T00:00:00"/>
    <x v="1"/>
    <s v="North"/>
    <s v="Mobile"/>
    <s v="Referral"/>
    <s v="Free"/>
    <x v="0"/>
    <x v="0"/>
    <x v="0"/>
    <x v="0"/>
    <n v="0"/>
    <n v="0"/>
    <n v="0"/>
    <m/>
    <n v="58.2"/>
  </r>
  <r>
    <s v="USR-101389"/>
    <d v="2025-03-06T00:00:00"/>
    <x v="1"/>
    <s v="South"/>
    <s v="Desktop"/>
    <s v="Organic"/>
    <s v="Free"/>
    <x v="1"/>
    <x v="0"/>
    <x v="0"/>
    <x v="0"/>
    <n v="0"/>
    <n v="0"/>
    <n v="0"/>
    <m/>
    <n v="66.8"/>
  </r>
  <r>
    <s v="USR-101390"/>
    <d v="2025-04-18T00:00:00"/>
    <x v="1"/>
    <s v="North"/>
    <s v="Mobile"/>
    <s v="Paid Search"/>
    <s v="Free"/>
    <x v="1"/>
    <x v="0"/>
    <x v="0"/>
    <x v="0"/>
    <n v="0"/>
    <n v="3"/>
    <n v="0"/>
    <m/>
    <n v="58.3"/>
  </r>
  <r>
    <s v="USR-101391"/>
    <d v="2025-04-15T00:00:00"/>
    <x v="1"/>
    <s v="West"/>
    <s v="Mobile"/>
    <s v="Organic"/>
    <s v="Basic"/>
    <x v="1"/>
    <x v="1"/>
    <x v="1"/>
    <x v="0"/>
    <n v="0"/>
    <n v="0"/>
    <n v="0"/>
    <m/>
    <n v="38.5"/>
  </r>
  <r>
    <s v="USR-101392"/>
    <d v="2025-02-10T00:00:00"/>
    <x v="1"/>
    <s v="East"/>
    <s v="Mobile"/>
    <s v="Paid Search"/>
    <s v="Free"/>
    <x v="1"/>
    <x v="0"/>
    <x v="0"/>
    <x v="0"/>
    <n v="0"/>
    <n v="0"/>
    <n v="0"/>
    <m/>
    <n v="76.900000000000006"/>
  </r>
  <r>
    <s v="USR-101393"/>
    <d v="2025-05-08T00:00:00"/>
    <x v="1"/>
    <s v="East"/>
    <s v="Mobile"/>
    <s v="Organic"/>
    <s v="Free"/>
    <x v="1"/>
    <x v="0"/>
    <x v="0"/>
    <x v="0"/>
    <n v="0"/>
    <n v="0"/>
    <n v="0"/>
    <m/>
    <n v="54"/>
  </r>
  <r>
    <s v="USR-101394"/>
    <d v="2025-05-28T00:00:00"/>
    <x v="1"/>
    <s v="East"/>
    <s v="Tablet"/>
    <s v="Organic"/>
    <s v="Free"/>
    <x v="1"/>
    <x v="0"/>
    <x v="0"/>
    <x v="0"/>
    <n v="0"/>
    <n v="0"/>
    <n v="0"/>
    <m/>
    <n v="70.599999999999994"/>
  </r>
  <r>
    <s v="USR-101395"/>
    <d v="2025-04-25T00:00:00"/>
    <x v="1"/>
    <s v="North"/>
    <s v="Tablet"/>
    <s v="Referral"/>
    <s v="Premium"/>
    <x v="1"/>
    <x v="1"/>
    <x v="1"/>
    <x v="0"/>
    <n v="0"/>
    <n v="1"/>
    <n v="0"/>
    <m/>
    <n v="69.400000000000006"/>
  </r>
  <r>
    <s v="USR-101396"/>
    <d v="2025-02-11T00:00:00"/>
    <x v="1"/>
    <s v="South"/>
    <s v="Mobile"/>
    <m/>
    <s v="Premium"/>
    <x v="1"/>
    <x v="1"/>
    <x v="1"/>
    <x v="1"/>
    <n v="1009.9"/>
    <n v="0"/>
    <n v="0"/>
    <n v="6"/>
    <n v="89.7"/>
  </r>
  <r>
    <s v="USR-101397"/>
    <d v="2025-04-14T00:00:00"/>
    <x v="1"/>
    <s v="West"/>
    <s v="Mobile"/>
    <s v="Organic"/>
    <s v="Free"/>
    <x v="1"/>
    <x v="0"/>
    <x v="0"/>
    <x v="0"/>
    <n v="0"/>
    <n v="0"/>
    <n v="0"/>
    <m/>
    <n v="62.4"/>
  </r>
  <r>
    <s v="USR-101398"/>
    <d v="2025-02-04T00:00:00"/>
    <x v="1"/>
    <s v="West"/>
    <s v="Tablet"/>
    <s v="Organic"/>
    <s v="Premium"/>
    <x v="0"/>
    <x v="0"/>
    <x v="0"/>
    <x v="0"/>
    <n v="0"/>
    <n v="0"/>
    <n v="0"/>
    <m/>
    <n v="67.3"/>
  </r>
  <r>
    <s v="USR-101399"/>
    <d v="2025-03-22T00:00:00"/>
    <x v="1"/>
    <s v="East"/>
    <s v="Mobile"/>
    <s v="Referral"/>
    <s v="Free"/>
    <x v="1"/>
    <x v="0"/>
    <x v="0"/>
    <x v="0"/>
    <n v="0"/>
    <n v="0"/>
    <n v="0"/>
    <m/>
    <n v="54.9"/>
  </r>
  <r>
    <s v="USR-101400"/>
    <d v="2025-04-18T00:00:00"/>
    <x v="1"/>
    <s v="East"/>
    <s v="Desktop"/>
    <s v="Social"/>
    <s v="Free"/>
    <x v="0"/>
    <x v="0"/>
    <x v="0"/>
    <x v="0"/>
    <n v="0"/>
    <n v="0"/>
    <n v="0"/>
    <m/>
    <n v="55.7"/>
  </r>
  <r>
    <s v="USR-100917"/>
    <d v="2025-02-23T00:00:00"/>
    <x v="1"/>
    <s v="West"/>
    <s v="Desktop"/>
    <s v="Social"/>
    <s v="Basic"/>
    <x v="1"/>
    <x v="1"/>
    <x v="1"/>
    <x v="0"/>
    <n v="0"/>
    <n v="0"/>
    <n v="0"/>
    <m/>
    <n v="70.599999999999994"/>
  </r>
  <r>
    <s v="USR-100433"/>
    <d v="2025-02-03T00:00:00"/>
    <x v="0"/>
    <s v="North"/>
    <s v="Tablet"/>
    <s v="Email"/>
    <s v="Basic"/>
    <x v="1"/>
    <x v="0"/>
    <x v="0"/>
    <x v="0"/>
    <n v="0"/>
    <n v="0"/>
    <n v="0"/>
    <m/>
    <n v="60.9"/>
  </r>
  <r>
    <s v="USR-101362"/>
    <d v="2025-05-23T00:00:00"/>
    <x v="1"/>
    <s v="East"/>
    <s v="Mobile"/>
    <s v="Organic"/>
    <s v="Basic"/>
    <x v="1"/>
    <x v="0"/>
    <x v="0"/>
    <x v="0"/>
    <n v="0"/>
    <n v="0"/>
    <n v="0"/>
    <m/>
    <n v="33.6"/>
  </r>
  <r>
    <s v="USR-100096"/>
    <d v="2025-02-05T00:00:00"/>
    <x v="0"/>
    <s v="East"/>
    <s v="Mobile"/>
    <s v="Social"/>
    <s v="Free"/>
    <x v="0"/>
    <x v="0"/>
    <x v="0"/>
    <x v="0"/>
    <n v="0"/>
    <n v="0"/>
    <n v="0"/>
    <m/>
    <n v="68"/>
  </r>
  <r>
    <s v="USR-101210"/>
    <d v="2025-02-24T00:00:00"/>
    <x v="1"/>
    <s v="West"/>
    <s v="Mobile"/>
    <s v="Organic"/>
    <s v="Basic"/>
    <x v="1"/>
    <x v="0"/>
    <x v="0"/>
    <x v="0"/>
    <n v="0"/>
    <n v="0"/>
    <n v="0"/>
    <m/>
    <n v="62"/>
  </r>
  <r>
    <s v="USR-101232"/>
    <d v="2025-03-30T00:00:00"/>
    <x v="1"/>
    <s v="East"/>
    <s v="Mobile"/>
    <s v="Organic"/>
    <s v="Free"/>
    <x v="1"/>
    <x v="1"/>
    <x v="1"/>
    <x v="0"/>
    <n v="0"/>
    <n v="1"/>
    <n v="0"/>
    <m/>
    <n v="72.5"/>
  </r>
  <r>
    <s v="USR-101059"/>
    <d v="2025-05-16T00:00:00"/>
    <x v="1"/>
    <s v="South"/>
    <s v="Mobile"/>
    <s v="Organic"/>
    <s v="Free"/>
    <x v="1"/>
    <x v="0"/>
    <x v="0"/>
    <x v="0"/>
    <n v="0"/>
    <n v="0"/>
    <n v="0"/>
    <m/>
    <n v="70.3"/>
  </r>
  <r>
    <s v="USR-100541"/>
    <d v="2025-05-22T00:00:00"/>
    <x v="0"/>
    <s v="North"/>
    <s v="Mobile"/>
    <s v="Paid Search"/>
    <s v="Basic"/>
    <x v="1"/>
    <x v="1"/>
    <x v="0"/>
    <x v="0"/>
    <n v="0"/>
    <n v="0"/>
    <n v="0"/>
    <m/>
    <n v="39.9"/>
  </r>
  <r>
    <m/>
    <m/>
    <x v="2"/>
    <m/>
    <m/>
    <m/>
    <m/>
    <x v="2"/>
    <x v="2"/>
    <x v="2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23934-D586-4412-B20F-239ED044BDAC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E21" firstHeaderRow="0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tarted_trial" fld="8" subtotal="average" baseField="2" baseItem="1"/>
    <dataField name="Average of visited_landing_page" fld="7" subtotal="average" baseField="2" baseItem="1"/>
    <dataField name="Average of converted_to_paid" fld="10" subtotal="average" baseField="2" baseItem="1"/>
    <dataField name="Average of completed_onboarding" fld="9" subtotal="average" baseField="2" baseItem="1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11"/>
  <sheetViews>
    <sheetView tabSelected="1" zoomScale="98" workbookViewId="0">
      <selection activeCell="J1" sqref="J1:J1048576"/>
    </sheetView>
  </sheetViews>
  <sheetFormatPr defaultRowHeight="13.8"/>
  <cols>
    <col min="1" max="16" width="16" customWidth="1"/>
    <col min="18" max="18" width="17.3984375" customWidth="1"/>
    <col min="19" max="19" width="23" customWidth="1"/>
    <col min="20" max="20" width="24.3984375" customWidth="1"/>
    <col min="21" max="21" width="27.09765625" customWidth="1"/>
    <col min="22" max="22" width="18.19921875" customWidth="1"/>
    <col min="23" max="23" width="19.296875" bestFit="1" customWidth="1"/>
    <col min="24" max="24" width="26.3984375" customWidth="1"/>
    <col min="25" max="25" width="26.69921875" customWidth="1"/>
    <col min="26" max="26" width="22.296875" bestFit="1" customWidth="1"/>
    <col min="27" max="27" width="25" bestFit="1" customWidth="1"/>
  </cols>
  <sheetData>
    <row r="1" spans="1:28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s="32" t="s">
        <v>1469</v>
      </c>
      <c r="S1" s="33" t="s">
        <v>1468</v>
      </c>
      <c r="T1" s="50" t="s">
        <v>1481</v>
      </c>
      <c r="U1" s="50" t="s">
        <v>1486</v>
      </c>
      <c r="V1" s="50" t="s">
        <v>1482</v>
      </c>
      <c r="W1" s="50" t="s">
        <v>1483</v>
      </c>
      <c r="X1" s="50" t="s">
        <v>1485</v>
      </c>
      <c r="Y1" s="50" t="s">
        <v>1484</v>
      </c>
      <c r="Z1" s="50" t="s">
        <v>1489</v>
      </c>
      <c r="AA1" s="50" t="s">
        <v>1490</v>
      </c>
    </row>
    <row r="2" spans="1:28">
      <c r="A2" t="s">
        <v>16</v>
      </c>
      <c r="B2" s="3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>
        <v>0</v>
      </c>
      <c r="T2">
        <v>0</v>
      </c>
      <c r="V2">
        <v>0</v>
      </c>
      <c r="X2">
        <v>0</v>
      </c>
      <c r="Z2">
        <v>0</v>
      </c>
      <c r="AB2">
        <f>COUNTA(U2:U1409)</f>
        <v>715</v>
      </c>
    </row>
    <row r="3" spans="1:28">
      <c r="A3" t="s">
        <v>22</v>
      </c>
      <c r="B3" s="3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>
        <v>0</v>
      </c>
      <c r="T3">
        <v>1</v>
      </c>
      <c r="V3">
        <v>0</v>
      </c>
      <c r="X3">
        <v>0</v>
      </c>
      <c r="Z3">
        <v>0</v>
      </c>
    </row>
    <row r="4" spans="1:28">
      <c r="A4" t="s">
        <v>27</v>
      </c>
      <c r="B4" s="3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>
        <v>0</v>
      </c>
      <c r="T4">
        <v>1</v>
      </c>
      <c r="V4">
        <v>0</v>
      </c>
      <c r="X4">
        <v>0</v>
      </c>
      <c r="Z4">
        <v>1</v>
      </c>
    </row>
    <row r="5" spans="1:28">
      <c r="A5" t="s">
        <v>31</v>
      </c>
      <c r="B5" s="3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>
        <v>0</v>
      </c>
      <c r="T5">
        <v>1</v>
      </c>
      <c r="V5">
        <v>0</v>
      </c>
      <c r="X5">
        <v>0</v>
      </c>
      <c r="Z5">
        <v>0</v>
      </c>
    </row>
    <row r="6" spans="1:28">
      <c r="A6" t="s">
        <v>33</v>
      </c>
      <c r="B6" s="3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>
        <v>0</v>
      </c>
      <c r="T6">
        <v>0</v>
      </c>
      <c r="V6">
        <v>0</v>
      </c>
      <c r="X6">
        <v>0</v>
      </c>
      <c r="Z6">
        <v>0</v>
      </c>
    </row>
    <row r="7" spans="1:28">
      <c r="A7" t="s">
        <v>35</v>
      </c>
      <c r="B7" s="3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>
        <v>0</v>
      </c>
      <c r="T7">
        <v>1</v>
      </c>
      <c r="V7">
        <v>0</v>
      </c>
      <c r="X7">
        <v>0</v>
      </c>
      <c r="Z7">
        <v>0</v>
      </c>
    </row>
    <row r="8" spans="1:28">
      <c r="A8" t="s">
        <v>36</v>
      </c>
      <c r="B8" s="3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>
        <v>0</v>
      </c>
      <c r="T8">
        <v>1</v>
      </c>
      <c r="V8">
        <v>1</v>
      </c>
      <c r="X8">
        <v>0</v>
      </c>
      <c r="Z8">
        <v>0</v>
      </c>
    </row>
    <row r="9" spans="1:28">
      <c r="A9" t="s">
        <v>37</v>
      </c>
      <c r="B9" s="3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>
        <v>0</v>
      </c>
      <c r="T9">
        <v>0</v>
      </c>
      <c r="V9">
        <v>0</v>
      </c>
      <c r="X9">
        <v>0</v>
      </c>
      <c r="Z9">
        <v>0</v>
      </c>
    </row>
    <row r="10" spans="1:28">
      <c r="A10" t="s">
        <v>38</v>
      </c>
      <c r="B10" s="3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>
        <v>0</v>
      </c>
      <c r="T10">
        <v>0</v>
      </c>
      <c r="V10">
        <v>0</v>
      </c>
      <c r="X10">
        <v>0</v>
      </c>
      <c r="Z10">
        <v>0</v>
      </c>
    </row>
    <row r="11" spans="1:28">
      <c r="A11" t="s">
        <v>40</v>
      </c>
      <c r="B11" s="3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>
        <v>0</v>
      </c>
      <c r="T11">
        <v>1</v>
      </c>
      <c r="V11">
        <v>0</v>
      </c>
      <c r="X11">
        <v>0</v>
      </c>
      <c r="Z11">
        <v>0</v>
      </c>
    </row>
    <row r="12" spans="1:28">
      <c r="A12" t="s">
        <v>42</v>
      </c>
      <c r="B12" s="3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>
        <v>0</v>
      </c>
      <c r="T12">
        <v>1</v>
      </c>
      <c r="V12">
        <v>1</v>
      </c>
      <c r="X12">
        <v>1</v>
      </c>
      <c r="Z12">
        <v>0</v>
      </c>
    </row>
    <row r="13" spans="1:28">
      <c r="A13" t="s">
        <v>43</v>
      </c>
      <c r="B13" s="3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>
        <v>0</v>
      </c>
      <c r="T13">
        <v>1</v>
      </c>
      <c r="V13">
        <v>1</v>
      </c>
      <c r="X13">
        <v>1</v>
      </c>
      <c r="Z13">
        <v>1</v>
      </c>
    </row>
    <row r="14" spans="1:28">
      <c r="A14" t="s">
        <v>44</v>
      </c>
      <c r="B14" s="3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>
        <v>0</v>
      </c>
      <c r="T14">
        <v>1</v>
      </c>
      <c r="V14">
        <v>0</v>
      </c>
      <c r="X14">
        <v>0</v>
      </c>
      <c r="Z14">
        <v>0</v>
      </c>
    </row>
    <row r="15" spans="1:28">
      <c r="A15" t="s">
        <v>45</v>
      </c>
      <c r="B15" s="3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>
        <v>0</v>
      </c>
      <c r="T15">
        <v>1</v>
      </c>
      <c r="V15">
        <v>0</v>
      </c>
      <c r="X15">
        <v>0</v>
      </c>
      <c r="Z15">
        <v>0</v>
      </c>
    </row>
    <row r="16" spans="1:28">
      <c r="A16" t="s">
        <v>46</v>
      </c>
      <c r="B16" s="3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R16">
        <v>0</v>
      </c>
      <c r="T16">
        <v>0</v>
      </c>
      <c r="V16">
        <v>0</v>
      </c>
      <c r="X16">
        <v>0</v>
      </c>
      <c r="Z16">
        <v>0</v>
      </c>
    </row>
    <row r="17" spans="1:26">
      <c r="A17" t="s">
        <v>47</v>
      </c>
      <c r="B17" s="3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R17">
        <v>0</v>
      </c>
      <c r="T17">
        <v>1</v>
      </c>
      <c r="V17">
        <v>0</v>
      </c>
      <c r="X17">
        <v>0</v>
      </c>
      <c r="Z17">
        <v>0</v>
      </c>
    </row>
    <row r="18" spans="1:26">
      <c r="A18" t="s">
        <v>48</v>
      </c>
      <c r="B18" s="3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R18">
        <v>0</v>
      </c>
      <c r="T18">
        <v>1</v>
      </c>
      <c r="V18">
        <v>1</v>
      </c>
      <c r="X18">
        <v>1</v>
      </c>
      <c r="Z18">
        <v>0</v>
      </c>
    </row>
    <row r="19" spans="1:26">
      <c r="A19" t="s">
        <v>49</v>
      </c>
      <c r="B19" s="3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6">
      <c r="A20" t="s">
        <v>50</v>
      </c>
      <c r="B20" s="3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R20">
        <v>0</v>
      </c>
      <c r="T20">
        <v>0</v>
      </c>
      <c r="V20">
        <v>0</v>
      </c>
      <c r="X20">
        <v>0</v>
      </c>
      <c r="Z20">
        <v>0</v>
      </c>
    </row>
    <row r="21" spans="1:26">
      <c r="A21" t="s">
        <v>51</v>
      </c>
      <c r="B21" s="3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R21">
        <v>0</v>
      </c>
      <c r="T21">
        <v>0</v>
      </c>
      <c r="V21">
        <v>0</v>
      </c>
      <c r="X21">
        <v>0</v>
      </c>
      <c r="Z21">
        <v>2</v>
      </c>
    </row>
    <row r="22" spans="1:26">
      <c r="A22" t="s">
        <v>52</v>
      </c>
      <c r="B22" s="3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R22">
        <v>0</v>
      </c>
      <c r="T22">
        <v>1</v>
      </c>
      <c r="V22">
        <v>0</v>
      </c>
      <c r="X22">
        <v>0</v>
      </c>
      <c r="Z22">
        <v>0</v>
      </c>
    </row>
    <row r="23" spans="1:26">
      <c r="A23" t="s">
        <v>53</v>
      </c>
      <c r="B23" s="3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R23">
        <v>0</v>
      </c>
      <c r="T23">
        <v>0</v>
      </c>
      <c r="V23">
        <v>0</v>
      </c>
      <c r="X23">
        <v>0</v>
      </c>
      <c r="Z23">
        <v>0</v>
      </c>
    </row>
    <row r="24" spans="1:26">
      <c r="A24" t="s">
        <v>54</v>
      </c>
      <c r="B24" s="3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R24">
        <v>0</v>
      </c>
      <c r="T24">
        <v>0</v>
      </c>
      <c r="V24">
        <v>0</v>
      </c>
      <c r="X24">
        <v>0</v>
      </c>
      <c r="Z24">
        <v>0</v>
      </c>
    </row>
    <row r="25" spans="1:26">
      <c r="A25" t="s">
        <v>55</v>
      </c>
      <c r="B25" s="3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R25">
        <v>0</v>
      </c>
      <c r="T25">
        <v>1</v>
      </c>
      <c r="V25">
        <v>1</v>
      </c>
      <c r="X25">
        <v>0</v>
      </c>
      <c r="Z25">
        <v>0</v>
      </c>
    </row>
    <row r="26" spans="1:26">
      <c r="A26" t="s">
        <v>56</v>
      </c>
      <c r="B26" s="3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R26">
        <v>0</v>
      </c>
      <c r="T26">
        <v>0</v>
      </c>
      <c r="V26">
        <v>0</v>
      </c>
      <c r="X26">
        <v>0</v>
      </c>
      <c r="Z26">
        <v>2</v>
      </c>
    </row>
    <row r="27" spans="1:26">
      <c r="A27" t="s">
        <v>57</v>
      </c>
      <c r="B27" s="3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R27">
        <v>0</v>
      </c>
      <c r="T27">
        <v>0</v>
      </c>
      <c r="V27">
        <v>0</v>
      </c>
      <c r="X27">
        <v>0</v>
      </c>
      <c r="Z27">
        <v>0</v>
      </c>
    </row>
    <row r="28" spans="1:26">
      <c r="A28" t="s">
        <v>58</v>
      </c>
      <c r="B28" s="3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R28">
        <v>0</v>
      </c>
      <c r="T28">
        <v>0</v>
      </c>
      <c r="V28">
        <v>0</v>
      </c>
      <c r="X28">
        <v>0</v>
      </c>
      <c r="Z28">
        <v>0</v>
      </c>
    </row>
    <row r="29" spans="1:26">
      <c r="A29" t="s">
        <v>59</v>
      </c>
      <c r="B29" s="3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R29">
        <v>0</v>
      </c>
      <c r="T29">
        <v>1</v>
      </c>
      <c r="V29">
        <v>0</v>
      </c>
      <c r="X29">
        <v>0</v>
      </c>
      <c r="Z29">
        <v>0</v>
      </c>
    </row>
    <row r="30" spans="1:26">
      <c r="A30" t="s">
        <v>60</v>
      </c>
      <c r="B30" s="3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R30">
        <v>0</v>
      </c>
      <c r="T30">
        <v>0</v>
      </c>
      <c r="V30">
        <v>0</v>
      </c>
      <c r="X30">
        <v>0</v>
      </c>
      <c r="Z30">
        <v>0</v>
      </c>
    </row>
    <row r="31" spans="1:26">
      <c r="A31" t="s">
        <v>61</v>
      </c>
      <c r="B31" s="3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R31">
        <v>0</v>
      </c>
      <c r="T31">
        <v>1</v>
      </c>
      <c r="V31">
        <v>1</v>
      </c>
      <c r="X31">
        <v>1</v>
      </c>
      <c r="Z31">
        <v>0</v>
      </c>
    </row>
    <row r="32" spans="1:26">
      <c r="A32" t="s">
        <v>62</v>
      </c>
      <c r="B32" s="3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R32">
        <v>0</v>
      </c>
      <c r="T32">
        <v>1</v>
      </c>
      <c r="V32">
        <v>0</v>
      </c>
      <c r="X32">
        <v>0</v>
      </c>
      <c r="Z32">
        <v>0</v>
      </c>
    </row>
    <row r="33" spans="1:26">
      <c r="A33" t="s">
        <v>63</v>
      </c>
      <c r="B33" s="3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R33">
        <v>0</v>
      </c>
      <c r="T33">
        <v>0</v>
      </c>
      <c r="V33">
        <v>0</v>
      </c>
      <c r="X33">
        <v>0</v>
      </c>
      <c r="Z33">
        <v>0</v>
      </c>
    </row>
    <row r="34" spans="1:26">
      <c r="A34" t="s">
        <v>64</v>
      </c>
      <c r="B34" s="3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R34">
        <v>0</v>
      </c>
      <c r="T34">
        <v>0</v>
      </c>
      <c r="V34">
        <v>0</v>
      </c>
      <c r="X34">
        <v>0</v>
      </c>
      <c r="Z34">
        <v>0</v>
      </c>
    </row>
    <row r="35" spans="1:26">
      <c r="A35" t="s">
        <v>65</v>
      </c>
      <c r="B35" s="3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R35">
        <v>0</v>
      </c>
      <c r="T35">
        <v>1</v>
      </c>
      <c r="V35">
        <v>1</v>
      </c>
      <c r="X35">
        <v>0</v>
      </c>
      <c r="Z35">
        <v>0</v>
      </c>
    </row>
    <row r="36" spans="1:26">
      <c r="A36" t="s">
        <v>66</v>
      </c>
      <c r="B36" s="3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R36">
        <v>0</v>
      </c>
      <c r="T36">
        <v>1</v>
      </c>
      <c r="V36">
        <v>0</v>
      </c>
      <c r="X36">
        <v>0</v>
      </c>
      <c r="Z36">
        <v>0</v>
      </c>
    </row>
    <row r="37" spans="1:26">
      <c r="A37" t="s">
        <v>67</v>
      </c>
      <c r="B37" s="3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R37">
        <v>0</v>
      </c>
      <c r="T37">
        <v>1</v>
      </c>
      <c r="V37">
        <v>0</v>
      </c>
      <c r="X37">
        <v>0</v>
      </c>
      <c r="Z37">
        <v>0</v>
      </c>
    </row>
    <row r="38" spans="1:26">
      <c r="A38" t="s">
        <v>68</v>
      </c>
      <c r="B38" s="3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R38">
        <v>0</v>
      </c>
      <c r="T38">
        <v>1</v>
      </c>
      <c r="V38">
        <v>0</v>
      </c>
      <c r="X38">
        <v>0</v>
      </c>
      <c r="Z38">
        <v>1</v>
      </c>
    </row>
    <row r="39" spans="1:26">
      <c r="A39" t="s">
        <v>69</v>
      </c>
      <c r="B39" s="3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R39">
        <v>0</v>
      </c>
      <c r="T39">
        <v>1</v>
      </c>
      <c r="V39">
        <v>1</v>
      </c>
      <c r="X39">
        <v>1</v>
      </c>
      <c r="Z39">
        <v>3</v>
      </c>
    </row>
    <row r="40" spans="1:26">
      <c r="A40" t="s">
        <v>70</v>
      </c>
      <c r="B40" s="3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R40">
        <v>0</v>
      </c>
      <c r="T40">
        <v>1</v>
      </c>
      <c r="V40">
        <v>0</v>
      </c>
      <c r="X40">
        <v>0</v>
      </c>
      <c r="Z40">
        <v>0</v>
      </c>
    </row>
    <row r="41" spans="1:26">
      <c r="A41" t="s">
        <v>71</v>
      </c>
      <c r="B41" s="3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R41">
        <v>0</v>
      </c>
      <c r="T41">
        <v>1</v>
      </c>
      <c r="V41">
        <v>0</v>
      </c>
      <c r="X41">
        <v>0</v>
      </c>
      <c r="Z41">
        <v>0</v>
      </c>
    </row>
    <row r="42" spans="1:26">
      <c r="A42" t="s">
        <v>72</v>
      </c>
      <c r="B42" s="3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R42">
        <v>0</v>
      </c>
      <c r="T42">
        <v>0</v>
      </c>
      <c r="V42">
        <v>0</v>
      </c>
      <c r="X42">
        <v>0</v>
      </c>
      <c r="Z42">
        <v>0</v>
      </c>
    </row>
    <row r="43" spans="1:26">
      <c r="A43" t="s">
        <v>73</v>
      </c>
      <c r="B43" s="3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R43">
        <v>0</v>
      </c>
      <c r="T43">
        <v>0</v>
      </c>
      <c r="V43">
        <v>0</v>
      </c>
      <c r="X43">
        <v>0</v>
      </c>
      <c r="Z43">
        <v>0</v>
      </c>
    </row>
    <row r="44" spans="1:26">
      <c r="A44" t="s">
        <v>74</v>
      </c>
      <c r="B44" s="3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R44">
        <v>0</v>
      </c>
      <c r="T44">
        <v>0</v>
      </c>
      <c r="V44">
        <v>0</v>
      </c>
      <c r="X44">
        <v>0</v>
      </c>
      <c r="Z44">
        <v>0</v>
      </c>
    </row>
    <row r="45" spans="1:26">
      <c r="A45" t="s">
        <v>75</v>
      </c>
      <c r="B45" s="3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R45">
        <v>0</v>
      </c>
      <c r="T45">
        <v>1</v>
      </c>
      <c r="V45">
        <v>0</v>
      </c>
      <c r="X45">
        <v>0</v>
      </c>
      <c r="Z45">
        <v>0</v>
      </c>
    </row>
    <row r="46" spans="1:26">
      <c r="A46" t="s">
        <v>76</v>
      </c>
      <c r="B46" s="3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R46">
        <v>0</v>
      </c>
      <c r="T46">
        <v>1</v>
      </c>
      <c r="V46">
        <v>0</v>
      </c>
      <c r="X46">
        <v>0</v>
      </c>
      <c r="Z46">
        <v>4</v>
      </c>
    </row>
    <row r="47" spans="1:26">
      <c r="A47" t="s">
        <v>77</v>
      </c>
      <c r="B47" s="3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R47">
        <v>0</v>
      </c>
      <c r="T47">
        <v>1</v>
      </c>
      <c r="V47">
        <v>0</v>
      </c>
      <c r="X47">
        <v>0</v>
      </c>
      <c r="Z47">
        <v>0</v>
      </c>
    </row>
    <row r="48" spans="1:26">
      <c r="A48" t="s">
        <v>78</v>
      </c>
      <c r="B48" s="3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R48">
        <v>0</v>
      </c>
      <c r="T48">
        <v>1</v>
      </c>
      <c r="V48">
        <v>1</v>
      </c>
      <c r="X48">
        <v>1</v>
      </c>
      <c r="Z48">
        <v>0</v>
      </c>
    </row>
    <row r="49" spans="1:26">
      <c r="A49" t="s">
        <v>79</v>
      </c>
      <c r="B49" s="3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R49">
        <v>0</v>
      </c>
      <c r="T49">
        <v>1</v>
      </c>
      <c r="V49">
        <v>1</v>
      </c>
      <c r="X49">
        <v>1</v>
      </c>
      <c r="Z49">
        <v>0</v>
      </c>
    </row>
    <row r="50" spans="1:26">
      <c r="A50" t="s">
        <v>80</v>
      </c>
      <c r="B50" s="3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R50">
        <v>0</v>
      </c>
      <c r="T50">
        <v>1</v>
      </c>
      <c r="V50">
        <v>1</v>
      </c>
      <c r="X50">
        <v>0</v>
      </c>
      <c r="Z50">
        <v>0</v>
      </c>
    </row>
    <row r="51" spans="1:26">
      <c r="A51" t="s">
        <v>81</v>
      </c>
      <c r="B51" s="3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R51">
        <v>0</v>
      </c>
      <c r="T51">
        <v>1</v>
      </c>
      <c r="V51">
        <v>0</v>
      </c>
      <c r="X51">
        <v>0</v>
      </c>
      <c r="Z51">
        <v>0</v>
      </c>
    </row>
    <row r="52" spans="1:26">
      <c r="A52" t="s">
        <v>82</v>
      </c>
      <c r="B52" s="3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R52">
        <v>0</v>
      </c>
      <c r="T52">
        <v>0</v>
      </c>
      <c r="V52">
        <v>0</v>
      </c>
      <c r="X52">
        <v>0</v>
      </c>
      <c r="Z52">
        <v>0</v>
      </c>
    </row>
    <row r="53" spans="1:26">
      <c r="A53" t="s">
        <v>83</v>
      </c>
      <c r="B53" s="3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R53">
        <v>0</v>
      </c>
      <c r="T53">
        <v>1</v>
      </c>
      <c r="V53">
        <v>0</v>
      </c>
      <c r="X53">
        <v>0</v>
      </c>
      <c r="Z53">
        <v>0</v>
      </c>
    </row>
    <row r="54" spans="1:26">
      <c r="A54" t="s">
        <v>84</v>
      </c>
      <c r="B54" s="3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R54">
        <v>0</v>
      </c>
      <c r="T54">
        <v>0</v>
      </c>
      <c r="V54">
        <v>0</v>
      </c>
      <c r="X54">
        <v>0</v>
      </c>
      <c r="Z54">
        <v>0</v>
      </c>
    </row>
    <row r="55" spans="1:26">
      <c r="A55" t="s">
        <v>85</v>
      </c>
      <c r="B55" s="3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R55">
        <v>0</v>
      </c>
      <c r="T55">
        <v>0</v>
      </c>
      <c r="V55">
        <v>0</v>
      </c>
      <c r="X55">
        <v>0</v>
      </c>
      <c r="Z55">
        <v>0</v>
      </c>
    </row>
    <row r="56" spans="1:26">
      <c r="A56" t="s">
        <v>86</v>
      </c>
      <c r="B56" s="3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R56">
        <v>0</v>
      </c>
      <c r="T56">
        <v>0</v>
      </c>
      <c r="V56">
        <v>0</v>
      </c>
      <c r="X56">
        <v>0</v>
      </c>
      <c r="Z56">
        <v>0</v>
      </c>
    </row>
    <row r="57" spans="1:26">
      <c r="A57" t="s">
        <v>87</v>
      </c>
      <c r="B57" s="3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R57">
        <v>0</v>
      </c>
      <c r="T57">
        <v>1</v>
      </c>
      <c r="V57">
        <v>0</v>
      </c>
      <c r="X57">
        <v>0</v>
      </c>
      <c r="Z57">
        <v>2</v>
      </c>
    </row>
    <row r="58" spans="1:26">
      <c r="A58" t="s">
        <v>88</v>
      </c>
      <c r="B58" s="3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R58">
        <v>0</v>
      </c>
      <c r="T58">
        <v>0</v>
      </c>
      <c r="V58">
        <v>0</v>
      </c>
      <c r="X58">
        <v>0</v>
      </c>
      <c r="Z58">
        <v>0</v>
      </c>
    </row>
    <row r="59" spans="1:26">
      <c r="A59" t="s">
        <v>89</v>
      </c>
      <c r="B59" s="3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R59">
        <v>0</v>
      </c>
      <c r="T59">
        <v>1</v>
      </c>
      <c r="V59">
        <v>0</v>
      </c>
      <c r="X59">
        <v>0</v>
      </c>
      <c r="Z59">
        <v>0</v>
      </c>
    </row>
    <row r="60" spans="1:26">
      <c r="A60" t="s">
        <v>90</v>
      </c>
      <c r="B60" s="3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R60">
        <v>0</v>
      </c>
      <c r="T60">
        <v>0</v>
      </c>
      <c r="V60">
        <v>0</v>
      </c>
      <c r="X60">
        <v>0</v>
      </c>
      <c r="Z60">
        <v>2</v>
      </c>
    </row>
    <row r="61" spans="1:26">
      <c r="A61" t="s">
        <v>91</v>
      </c>
      <c r="B61" s="3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R61">
        <v>1</v>
      </c>
      <c r="T61">
        <v>1</v>
      </c>
      <c r="V61">
        <v>1</v>
      </c>
      <c r="X61">
        <v>1</v>
      </c>
      <c r="Z61">
        <v>0</v>
      </c>
    </row>
    <row r="62" spans="1:26">
      <c r="A62" t="s">
        <v>92</v>
      </c>
      <c r="B62" s="3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R62">
        <v>0</v>
      </c>
      <c r="T62">
        <v>1</v>
      </c>
      <c r="V62">
        <v>0</v>
      </c>
      <c r="X62">
        <v>0</v>
      </c>
      <c r="Z62">
        <v>0</v>
      </c>
    </row>
    <row r="63" spans="1:26">
      <c r="A63" t="s">
        <v>93</v>
      </c>
      <c r="B63" s="3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R63">
        <v>0</v>
      </c>
      <c r="T63">
        <v>0</v>
      </c>
      <c r="V63">
        <v>0</v>
      </c>
      <c r="X63">
        <v>0</v>
      </c>
      <c r="Z63">
        <v>0</v>
      </c>
    </row>
    <row r="64" spans="1:26">
      <c r="A64" t="s">
        <v>94</v>
      </c>
      <c r="B64" s="3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R64">
        <v>0</v>
      </c>
      <c r="T64">
        <v>1</v>
      </c>
      <c r="V64">
        <v>0</v>
      </c>
      <c r="X64">
        <v>0</v>
      </c>
      <c r="Z64">
        <v>0</v>
      </c>
    </row>
    <row r="65" spans="1:26">
      <c r="A65" t="s">
        <v>95</v>
      </c>
      <c r="B65" s="3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R65">
        <v>0</v>
      </c>
      <c r="T65">
        <v>1</v>
      </c>
      <c r="V65">
        <v>0</v>
      </c>
      <c r="X65">
        <v>0</v>
      </c>
      <c r="Z65">
        <v>0</v>
      </c>
    </row>
    <row r="66" spans="1:26">
      <c r="A66" t="s">
        <v>96</v>
      </c>
      <c r="B66" s="3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R66">
        <v>0</v>
      </c>
      <c r="T66">
        <v>1</v>
      </c>
      <c r="V66">
        <v>0</v>
      </c>
      <c r="X66">
        <v>0</v>
      </c>
      <c r="Z66">
        <v>0</v>
      </c>
    </row>
    <row r="67" spans="1:26">
      <c r="A67" t="s">
        <v>97</v>
      </c>
      <c r="B67" s="3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R67">
        <v>0</v>
      </c>
      <c r="T67">
        <v>0</v>
      </c>
      <c r="V67">
        <v>0</v>
      </c>
      <c r="X67">
        <v>0</v>
      </c>
      <c r="Z67">
        <v>0</v>
      </c>
    </row>
    <row r="68" spans="1:26">
      <c r="A68" t="s">
        <v>98</v>
      </c>
      <c r="B68" s="3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R68">
        <v>0</v>
      </c>
      <c r="T68">
        <v>1</v>
      </c>
      <c r="V68">
        <v>0</v>
      </c>
      <c r="X68">
        <v>0</v>
      </c>
      <c r="Z68">
        <v>1</v>
      </c>
    </row>
    <row r="69" spans="1:26">
      <c r="A69" t="s">
        <v>99</v>
      </c>
      <c r="B69" s="3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R69">
        <v>0</v>
      </c>
      <c r="T69">
        <v>0</v>
      </c>
      <c r="V69">
        <v>0</v>
      </c>
      <c r="X69">
        <v>0</v>
      </c>
      <c r="Z69">
        <v>0</v>
      </c>
    </row>
    <row r="70" spans="1:26">
      <c r="A70" t="s">
        <v>100</v>
      </c>
      <c r="B70" s="3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R70">
        <v>0</v>
      </c>
      <c r="T70">
        <v>1</v>
      </c>
      <c r="V70">
        <v>1</v>
      </c>
      <c r="X70">
        <v>1</v>
      </c>
      <c r="Z70">
        <v>0</v>
      </c>
    </row>
    <row r="71" spans="1:26">
      <c r="A71" t="s">
        <v>101</v>
      </c>
      <c r="B71" s="3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R71">
        <v>0</v>
      </c>
      <c r="T71">
        <v>0</v>
      </c>
      <c r="V71">
        <v>0</v>
      </c>
      <c r="X71">
        <v>0</v>
      </c>
      <c r="Z71">
        <v>0</v>
      </c>
    </row>
    <row r="72" spans="1:26">
      <c r="A72" t="s">
        <v>102</v>
      </c>
      <c r="B72" s="3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R72">
        <v>0</v>
      </c>
      <c r="T72">
        <v>0</v>
      </c>
      <c r="V72">
        <v>0</v>
      </c>
      <c r="X72">
        <v>0</v>
      </c>
      <c r="Z72">
        <v>0</v>
      </c>
    </row>
    <row r="73" spans="1:26">
      <c r="A73" t="s">
        <v>103</v>
      </c>
      <c r="B73" s="3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R73">
        <v>0</v>
      </c>
      <c r="T73">
        <v>1</v>
      </c>
      <c r="V73">
        <v>0</v>
      </c>
      <c r="X73">
        <v>0</v>
      </c>
      <c r="Z73">
        <v>0</v>
      </c>
    </row>
    <row r="74" spans="1:26">
      <c r="A74" t="s">
        <v>104</v>
      </c>
      <c r="B74" s="3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R74">
        <v>0</v>
      </c>
      <c r="T74">
        <v>0</v>
      </c>
      <c r="V74">
        <v>0</v>
      </c>
      <c r="X74">
        <v>0</v>
      </c>
      <c r="Z74">
        <v>0</v>
      </c>
    </row>
    <row r="75" spans="1:26">
      <c r="A75" t="s">
        <v>105</v>
      </c>
      <c r="B75" s="3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R75">
        <v>0</v>
      </c>
      <c r="T75">
        <v>0</v>
      </c>
      <c r="V75">
        <v>0</v>
      </c>
      <c r="X75">
        <v>0</v>
      </c>
      <c r="Z75">
        <v>0</v>
      </c>
    </row>
    <row r="76" spans="1:26">
      <c r="A76" t="s">
        <v>106</v>
      </c>
      <c r="B76" s="3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R76">
        <v>0</v>
      </c>
      <c r="T76">
        <v>0</v>
      </c>
      <c r="V76">
        <v>0</v>
      </c>
      <c r="X76">
        <v>0</v>
      </c>
      <c r="Z76">
        <v>0</v>
      </c>
    </row>
    <row r="77" spans="1:26">
      <c r="A77" t="s">
        <v>107</v>
      </c>
      <c r="B77" s="3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R77">
        <v>0</v>
      </c>
      <c r="T77">
        <v>0</v>
      </c>
      <c r="V77">
        <v>0</v>
      </c>
      <c r="X77">
        <v>0</v>
      </c>
      <c r="Z77">
        <v>0</v>
      </c>
    </row>
    <row r="78" spans="1:26">
      <c r="A78" t="s">
        <v>108</v>
      </c>
      <c r="B78" s="3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R78">
        <v>0</v>
      </c>
      <c r="T78">
        <v>0</v>
      </c>
      <c r="V78">
        <v>0</v>
      </c>
      <c r="X78">
        <v>0</v>
      </c>
      <c r="Z78">
        <v>1</v>
      </c>
    </row>
    <row r="79" spans="1:26">
      <c r="A79" t="s">
        <v>109</v>
      </c>
      <c r="B79" s="3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R79">
        <v>0</v>
      </c>
      <c r="T79">
        <v>0</v>
      </c>
      <c r="V79">
        <v>0</v>
      </c>
      <c r="X79">
        <v>0</v>
      </c>
      <c r="Z79">
        <v>2</v>
      </c>
    </row>
    <row r="80" spans="1:26">
      <c r="A80" t="s">
        <v>110</v>
      </c>
      <c r="B80" s="3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R80">
        <v>1</v>
      </c>
      <c r="T80">
        <v>1</v>
      </c>
      <c r="V80">
        <v>1</v>
      </c>
      <c r="X80">
        <v>1</v>
      </c>
      <c r="Z80">
        <v>0</v>
      </c>
    </row>
    <row r="81" spans="1:26">
      <c r="A81" t="s">
        <v>111</v>
      </c>
      <c r="B81" s="3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R81">
        <v>0</v>
      </c>
      <c r="T81">
        <v>1</v>
      </c>
      <c r="V81">
        <v>0</v>
      </c>
      <c r="X81">
        <v>0</v>
      </c>
      <c r="Z81">
        <v>0</v>
      </c>
    </row>
    <row r="82" spans="1:26">
      <c r="A82" t="s">
        <v>112</v>
      </c>
      <c r="B82" s="3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R82">
        <v>0</v>
      </c>
      <c r="T82">
        <v>1</v>
      </c>
      <c r="V82">
        <v>1</v>
      </c>
      <c r="X82">
        <v>1</v>
      </c>
      <c r="Z82">
        <v>0</v>
      </c>
    </row>
    <row r="83" spans="1:26">
      <c r="A83" t="s">
        <v>113</v>
      </c>
      <c r="B83" s="3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R83">
        <v>0</v>
      </c>
      <c r="T83">
        <v>1</v>
      </c>
      <c r="V83">
        <v>1</v>
      </c>
      <c r="X83">
        <v>0</v>
      </c>
      <c r="Z83">
        <v>0</v>
      </c>
    </row>
    <row r="84" spans="1:26">
      <c r="A84" t="s">
        <v>114</v>
      </c>
      <c r="B84" s="3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R84">
        <v>0</v>
      </c>
      <c r="T84">
        <v>0</v>
      </c>
      <c r="V84">
        <v>0</v>
      </c>
      <c r="X84">
        <v>0</v>
      </c>
      <c r="Z84">
        <v>0</v>
      </c>
    </row>
    <row r="85" spans="1:26">
      <c r="A85" t="s">
        <v>115</v>
      </c>
      <c r="B85" s="3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R85">
        <v>0</v>
      </c>
      <c r="T85">
        <v>0</v>
      </c>
      <c r="V85">
        <v>0</v>
      </c>
      <c r="X85">
        <v>0</v>
      </c>
      <c r="Z85">
        <v>0</v>
      </c>
    </row>
    <row r="86" spans="1:26">
      <c r="A86" t="s">
        <v>116</v>
      </c>
      <c r="B86" s="3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R86">
        <v>0</v>
      </c>
      <c r="T86">
        <v>0</v>
      </c>
      <c r="V86">
        <v>0</v>
      </c>
      <c r="X86">
        <v>0</v>
      </c>
      <c r="Z86">
        <v>0</v>
      </c>
    </row>
    <row r="87" spans="1:26">
      <c r="A87" t="s">
        <v>117</v>
      </c>
      <c r="B87" s="3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R87">
        <v>0</v>
      </c>
      <c r="T87">
        <v>1</v>
      </c>
      <c r="V87">
        <v>0</v>
      </c>
      <c r="X87">
        <v>0</v>
      </c>
      <c r="Z87">
        <v>0</v>
      </c>
    </row>
    <row r="88" spans="1:26">
      <c r="A88" t="s">
        <v>118</v>
      </c>
      <c r="B88" s="3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R88">
        <v>0</v>
      </c>
      <c r="T88">
        <v>0</v>
      </c>
      <c r="V88">
        <v>0</v>
      </c>
      <c r="X88">
        <v>0</v>
      </c>
      <c r="Z88">
        <v>0</v>
      </c>
    </row>
    <row r="89" spans="1:26">
      <c r="A89" t="s">
        <v>119</v>
      </c>
      <c r="B89" s="3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R89">
        <v>0</v>
      </c>
      <c r="T89">
        <v>0</v>
      </c>
      <c r="V89">
        <v>0</v>
      </c>
      <c r="X89">
        <v>0</v>
      </c>
      <c r="Z89">
        <v>0</v>
      </c>
    </row>
    <row r="90" spans="1:26">
      <c r="A90" t="s">
        <v>120</v>
      </c>
      <c r="B90" s="3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R90">
        <v>0</v>
      </c>
      <c r="T90">
        <v>1</v>
      </c>
      <c r="V90">
        <v>0</v>
      </c>
      <c r="X90">
        <v>0</v>
      </c>
      <c r="Z90">
        <v>0</v>
      </c>
    </row>
    <row r="91" spans="1:26">
      <c r="A91" t="s">
        <v>121</v>
      </c>
      <c r="B91" s="3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R91">
        <v>0</v>
      </c>
      <c r="T91">
        <v>1</v>
      </c>
      <c r="V91">
        <v>0</v>
      </c>
      <c r="X91">
        <v>0</v>
      </c>
      <c r="Z91">
        <v>0</v>
      </c>
    </row>
    <row r="92" spans="1:26">
      <c r="A92" t="s">
        <v>122</v>
      </c>
      <c r="B92" s="3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R92">
        <v>0</v>
      </c>
      <c r="T92">
        <v>1</v>
      </c>
      <c r="V92">
        <v>0</v>
      </c>
      <c r="X92">
        <v>0</v>
      </c>
      <c r="Z92">
        <v>0</v>
      </c>
    </row>
    <row r="93" spans="1:26">
      <c r="A93" t="s">
        <v>123</v>
      </c>
      <c r="B93" s="3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R93">
        <v>0</v>
      </c>
      <c r="T93">
        <v>1</v>
      </c>
      <c r="V93">
        <v>0</v>
      </c>
      <c r="X93">
        <v>0</v>
      </c>
      <c r="Z93">
        <v>0</v>
      </c>
    </row>
    <row r="94" spans="1:26">
      <c r="A94" t="s">
        <v>124</v>
      </c>
      <c r="B94" s="3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R94">
        <v>0</v>
      </c>
      <c r="T94">
        <v>1</v>
      </c>
      <c r="V94">
        <v>0</v>
      </c>
      <c r="X94">
        <v>0</v>
      </c>
      <c r="Z94">
        <v>0</v>
      </c>
    </row>
    <row r="95" spans="1:26">
      <c r="A95" t="s">
        <v>125</v>
      </c>
      <c r="B95" s="3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R95">
        <v>0</v>
      </c>
      <c r="T95">
        <v>1</v>
      </c>
      <c r="V95">
        <v>1</v>
      </c>
      <c r="X95">
        <v>1</v>
      </c>
      <c r="Z95">
        <v>1</v>
      </c>
    </row>
    <row r="96" spans="1:26">
      <c r="A96" t="s">
        <v>126</v>
      </c>
      <c r="B96" s="3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R96">
        <v>0</v>
      </c>
      <c r="T96">
        <v>0</v>
      </c>
      <c r="V96">
        <v>0</v>
      </c>
      <c r="X96">
        <v>0</v>
      </c>
      <c r="Z96">
        <v>0</v>
      </c>
    </row>
    <row r="97" spans="1:26">
      <c r="A97" t="s">
        <v>127</v>
      </c>
      <c r="B97" s="3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R97">
        <v>0</v>
      </c>
      <c r="T97">
        <v>0</v>
      </c>
      <c r="V97">
        <v>0</v>
      </c>
      <c r="X97">
        <v>0</v>
      </c>
      <c r="Z97">
        <v>0</v>
      </c>
    </row>
    <row r="98" spans="1:26">
      <c r="A98" t="s">
        <v>128</v>
      </c>
      <c r="B98" s="3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R98">
        <v>0</v>
      </c>
      <c r="T98">
        <v>1</v>
      </c>
      <c r="V98">
        <v>0</v>
      </c>
      <c r="X98">
        <v>0</v>
      </c>
      <c r="Z98">
        <v>0</v>
      </c>
    </row>
    <row r="99" spans="1:26">
      <c r="A99" t="s">
        <v>129</v>
      </c>
      <c r="B99" s="3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R99">
        <v>0</v>
      </c>
      <c r="T99">
        <v>1</v>
      </c>
      <c r="V99">
        <v>0</v>
      </c>
      <c r="X99">
        <v>0</v>
      </c>
      <c r="Z99">
        <v>0</v>
      </c>
    </row>
    <row r="100" spans="1:26">
      <c r="A100" t="s">
        <v>130</v>
      </c>
      <c r="B100" s="3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R100">
        <v>1</v>
      </c>
      <c r="T100">
        <v>1</v>
      </c>
      <c r="V100">
        <v>1</v>
      </c>
      <c r="X100">
        <v>1</v>
      </c>
      <c r="Z100">
        <v>0</v>
      </c>
    </row>
    <row r="101" spans="1:26">
      <c r="A101" t="s">
        <v>131</v>
      </c>
      <c r="B101" s="3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R101">
        <v>0</v>
      </c>
      <c r="T101">
        <v>1</v>
      </c>
      <c r="V101">
        <v>0</v>
      </c>
      <c r="X101">
        <v>0</v>
      </c>
      <c r="Z101">
        <v>0</v>
      </c>
    </row>
    <row r="102" spans="1:26">
      <c r="A102" t="s">
        <v>132</v>
      </c>
      <c r="B102" s="3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R102">
        <v>0</v>
      </c>
      <c r="T102">
        <v>1</v>
      </c>
      <c r="V102">
        <v>0</v>
      </c>
      <c r="X102">
        <v>0</v>
      </c>
      <c r="Z102">
        <v>0</v>
      </c>
    </row>
    <row r="103" spans="1:26">
      <c r="A103" t="s">
        <v>133</v>
      </c>
      <c r="B103" s="3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R103">
        <v>0</v>
      </c>
      <c r="T103">
        <v>1</v>
      </c>
      <c r="V103">
        <v>0</v>
      </c>
      <c r="X103">
        <v>0</v>
      </c>
      <c r="Z103">
        <v>0</v>
      </c>
    </row>
    <row r="104" spans="1:26">
      <c r="A104" t="s">
        <v>134</v>
      </c>
      <c r="B104" s="3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R104">
        <v>1</v>
      </c>
      <c r="T104">
        <v>1</v>
      </c>
      <c r="V104">
        <v>1</v>
      </c>
      <c r="X104">
        <v>1</v>
      </c>
      <c r="Z104">
        <v>0</v>
      </c>
    </row>
    <row r="105" spans="1:26">
      <c r="A105" t="s">
        <v>135</v>
      </c>
      <c r="B105" s="3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R105">
        <v>0</v>
      </c>
      <c r="T105">
        <v>1</v>
      </c>
      <c r="V105">
        <v>0</v>
      </c>
      <c r="X105">
        <v>0</v>
      </c>
      <c r="Z105">
        <v>1</v>
      </c>
    </row>
    <row r="106" spans="1:26">
      <c r="A106" t="s">
        <v>136</v>
      </c>
      <c r="B106" s="3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R106">
        <v>0</v>
      </c>
      <c r="T106">
        <v>1</v>
      </c>
      <c r="V106">
        <v>1</v>
      </c>
      <c r="X106">
        <v>1</v>
      </c>
      <c r="Z106">
        <v>0</v>
      </c>
    </row>
    <row r="107" spans="1:26">
      <c r="A107" t="s">
        <v>137</v>
      </c>
      <c r="B107" s="3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R107">
        <v>1</v>
      </c>
      <c r="T107">
        <v>1</v>
      </c>
      <c r="V107">
        <v>1</v>
      </c>
      <c r="X107">
        <v>1</v>
      </c>
      <c r="Z107">
        <v>0</v>
      </c>
    </row>
    <row r="108" spans="1:26">
      <c r="A108" t="s">
        <v>138</v>
      </c>
      <c r="B108" s="3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R108">
        <v>0</v>
      </c>
      <c r="T108">
        <v>1</v>
      </c>
      <c r="V108">
        <v>1</v>
      </c>
      <c r="X108">
        <v>1</v>
      </c>
      <c r="Z108">
        <v>4</v>
      </c>
    </row>
    <row r="109" spans="1:26">
      <c r="A109" t="s">
        <v>139</v>
      </c>
      <c r="B109" s="3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R109">
        <v>0</v>
      </c>
      <c r="T109">
        <v>1</v>
      </c>
      <c r="V109">
        <v>0</v>
      </c>
      <c r="X109">
        <v>0</v>
      </c>
      <c r="Z109">
        <v>0</v>
      </c>
    </row>
    <row r="110" spans="1:26">
      <c r="A110" t="s">
        <v>140</v>
      </c>
      <c r="B110" s="3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R110">
        <v>0</v>
      </c>
      <c r="T110">
        <v>0</v>
      </c>
      <c r="V110">
        <v>0</v>
      </c>
      <c r="X110">
        <v>0</v>
      </c>
      <c r="Z110">
        <v>0</v>
      </c>
    </row>
    <row r="111" spans="1:26">
      <c r="A111" t="s">
        <v>141</v>
      </c>
      <c r="B111" s="3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R111">
        <v>0</v>
      </c>
      <c r="T111">
        <v>1</v>
      </c>
      <c r="V111">
        <v>0</v>
      </c>
      <c r="X111">
        <v>0</v>
      </c>
      <c r="Z111">
        <v>1</v>
      </c>
    </row>
    <row r="112" spans="1:26">
      <c r="A112" t="s">
        <v>142</v>
      </c>
      <c r="B112" s="3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R112">
        <v>0</v>
      </c>
      <c r="T112">
        <v>1</v>
      </c>
      <c r="V112">
        <v>0</v>
      </c>
      <c r="X112">
        <v>0</v>
      </c>
      <c r="Z112">
        <v>0</v>
      </c>
    </row>
    <row r="113" spans="1:26">
      <c r="A113" t="s">
        <v>143</v>
      </c>
      <c r="B113" s="3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R113">
        <v>0</v>
      </c>
      <c r="T113">
        <v>1</v>
      </c>
      <c r="V113">
        <v>0</v>
      </c>
      <c r="X113">
        <v>0</v>
      </c>
      <c r="Z113">
        <v>0</v>
      </c>
    </row>
    <row r="114" spans="1:26">
      <c r="A114" t="s">
        <v>144</v>
      </c>
      <c r="B114" s="3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R114">
        <v>0</v>
      </c>
      <c r="T114">
        <v>0</v>
      </c>
      <c r="V114">
        <v>0</v>
      </c>
      <c r="X114">
        <v>0</v>
      </c>
      <c r="Z114">
        <v>0</v>
      </c>
    </row>
    <row r="115" spans="1:26">
      <c r="A115" t="s">
        <v>145</v>
      </c>
      <c r="B115" s="3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R115">
        <v>0</v>
      </c>
      <c r="T115">
        <v>1</v>
      </c>
      <c r="V115">
        <v>1</v>
      </c>
      <c r="X115">
        <v>0</v>
      </c>
      <c r="Z115">
        <v>0</v>
      </c>
    </row>
    <row r="116" spans="1:26">
      <c r="A116" t="s">
        <v>146</v>
      </c>
      <c r="B116" s="3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R116">
        <v>0</v>
      </c>
      <c r="T116">
        <v>1</v>
      </c>
      <c r="V116">
        <v>0</v>
      </c>
      <c r="X116">
        <v>0</v>
      </c>
      <c r="Z116">
        <v>0</v>
      </c>
    </row>
    <row r="117" spans="1:26">
      <c r="A117" t="s">
        <v>147</v>
      </c>
      <c r="B117" s="3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R117">
        <v>0</v>
      </c>
      <c r="T117">
        <v>0</v>
      </c>
      <c r="V117">
        <v>0</v>
      </c>
      <c r="X117">
        <v>0</v>
      </c>
      <c r="Z117">
        <v>0</v>
      </c>
    </row>
    <row r="118" spans="1:26">
      <c r="A118" t="s">
        <v>148</v>
      </c>
      <c r="B118" s="3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R118">
        <v>0</v>
      </c>
      <c r="T118">
        <v>0</v>
      </c>
      <c r="V118">
        <v>0</v>
      </c>
      <c r="X118">
        <v>0</v>
      </c>
      <c r="Z118">
        <v>0</v>
      </c>
    </row>
    <row r="119" spans="1:26">
      <c r="A119" t="s">
        <v>149</v>
      </c>
      <c r="B119" s="3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R119">
        <v>0</v>
      </c>
      <c r="T119">
        <v>1</v>
      </c>
      <c r="V119">
        <v>0</v>
      </c>
      <c r="X119">
        <v>0</v>
      </c>
      <c r="Z119">
        <v>0</v>
      </c>
    </row>
    <row r="120" spans="1:26">
      <c r="A120" t="s">
        <v>150</v>
      </c>
      <c r="B120" s="3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R120">
        <v>0</v>
      </c>
      <c r="T120">
        <v>1</v>
      </c>
      <c r="V120">
        <v>1</v>
      </c>
      <c r="X120">
        <v>1</v>
      </c>
      <c r="Z120">
        <v>0</v>
      </c>
    </row>
    <row r="121" spans="1:26">
      <c r="A121" t="s">
        <v>151</v>
      </c>
      <c r="B121" s="3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R121">
        <v>0</v>
      </c>
      <c r="T121">
        <v>1</v>
      </c>
      <c r="V121">
        <v>0</v>
      </c>
      <c r="X121">
        <v>0</v>
      </c>
      <c r="Z121">
        <v>0</v>
      </c>
    </row>
    <row r="122" spans="1:26">
      <c r="A122" t="s">
        <v>152</v>
      </c>
      <c r="B122" s="3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R122">
        <v>0</v>
      </c>
      <c r="T122">
        <v>1</v>
      </c>
      <c r="V122">
        <v>0</v>
      </c>
      <c r="X122">
        <v>0</v>
      </c>
      <c r="Z122">
        <v>0</v>
      </c>
    </row>
    <row r="123" spans="1:26">
      <c r="A123" t="s">
        <v>153</v>
      </c>
      <c r="B123" s="3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R123">
        <v>0</v>
      </c>
      <c r="T123">
        <v>1</v>
      </c>
      <c r="V123">
        <v>1</v>
      </c>
      <c r="X123">
        <v>0</v>
      </c>
      <c r="Z123">
        <v>0</v>
      </c>
    </row>
    <row r="124" spans="1:26">
      <c r="A124" t="s">
        <v>154</v>
      </c>
      <c r="B124" s="3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R124">
        <v>0</v>
      </c>
      <c r="T124">
        <v>0</v>
      </c>
      <c r="V124">
        <v>0</v>
      </c>
      <c r="X124">
        <v>0</v>
      </c>
      <c r="Z124">
        <v>0</v>
      </c>
    </row>
    <row r="125" spans="1:26">
      <c r="A125" t="s">
        <v>155</v>
      </c>
      <c r="B125" s="3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R125">
        <v>0</v>
      </c>
      <c r="T125">
        <v>1</v>
      </c>
      <c r="V125">
        <v>1</v>
      </c>
      <c r="X125">
        <v>0</v>
      </c>
      <c r="Z125">
        <v>0</v>
      </c>
    </row>
    <row r="126" spans="1:26">
      <c r="A126" t="s">
        <v>156</v>
      </c>
      <c r="B126" s="3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R126">
        <v>0</v>
      </c>
      <c r="T126">
        <v>1</v>
      </c>
      <c r="V126">
        <v>0</v>
      </c>
      <c r="X126">
        <v>0</v>
      </c>
      <c r="Z126">
        <v>0</v>
      </c>
    </row>
    <row r="127" spans="1:26">
      <c r="A127" t="s">
        <v>157</v>
      </c>
      <c r="B127" s="3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R127">
        <v>0</v>
      </c>
      <c r="T127">
        <v>1</v>
      </c>
      <c r="V127">
        <v>0</v>
      </c>
      <c r="X127">
        <v>0</v>
      </c>
      <c r="Z127">
        <v>0</v>
      </c>
    </row>
    <row r="128" spans="1:26">
      <c r="A128" t="s">
        <v>158</v>
      </c>
      <c r="B128" s="3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R128">
        <v>0</v>
      </c>
      <c r="T128">
        <v>0</v>
      </c>
      <c r="V128">
        <v>0</v>
      </c>
      <c r="X128">
        <v>0</v>
      </c>
      <c r="Z128">
        <v>0</v>
      </c>
    </row>
    <row r="129" spans="1:26">
      <c r="A129" t="s">
        <v>159</v>
      </c>
      <c r="B129" s="3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R129">
        <v>0</v>
      </c>
      <c r="T129">
        <v>1</v>
      </c>
      <c r="V129">
        <v>1</v>
      </c>
      <c r="X129">
        <v>1</v>
      </c>
      <c r="Z129">
        <v>0</v>
      </c>
    </row>
    <row r="130" spans="1:26">
      <c r="A130" t="s">
        <v>160</v>
      </c>
      <c r="B130" s="3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R130">
        <v>0</v>
      </c>
      <c r="T130">
        <v>1</v>
      </c>
      <c r="V130">
        <v>1</v>
      </c>
      <c r="X130">
        <v>1</v>
      </c>
      <c r="Z130">
        <v>0</v>
      </c>
    </row>
    <row r="131" spans="1:26">
      <c r="A131" t="s">
        <v>161</v>
      </c>
      <c r="B131" s="3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R131">
        <v>0</v>
      </c>
      <c r="T131">
        <v>1</v>
      </c>
      <c r="V131">
        <v>0</v>
      </c>
      <c r="X131">
        <v>0</v>
      </c>
      <c r="Z131">
        <v>1</v>
      </c>
    </row>
    <row r="132" spans="1:26">
      <c r="A132" t="s">
        <v>162</v>
      </c>
      <c r="B132" s="3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R132">
        <v>0</v>
      </c>
      <c r="T132">
        <v>0</v>
      </c>
      <c r="V132">
        <v>0</v>
      </c>
      <c r="X132">
        <v>0</v>
      </c>
      <c r="Z132">
        <v>0</v>
      </c>
    </row>
    <row r="133" spans="1:26">
      <c r="A133" t="s">
        <v>163</v>
      </c>
      <c r="B133" s="3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R133">
        <v>0</v>
      </c>
      <c r="T133">
        <v>1</v>
      </c>
      <c r="V133">
        <v>0</v>
      </c>
      <c r="X133">
        <v>0</v>
      </c>
      <c r="Z133">
        <v>0</v>
      </c>
    </row>
    <row r="134" spans="1:26">
      <c r="A134" t="s">
        <v>164</v>
      </c>
      <c r="B134" s="3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R134">
        <v>0</v>
      </c>
      <c r="T134">
        <v>0</v>
      </c>
      <c r="V134">
        <v>0</v>
      </c>
      <c r="X134">
        <v>0</v>
      </c>
      <c r="Z134">
        <v>0</v>
      </c>
    </row>
    <row r="135" spans="1:26">
      <c r="A135" t="s">
        <v>165</v>
      </c>
      <c r="B135" s="3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R135">
        <v>0</v>
      </c>
      <c r="T135">
        <v>1</v>
      </c>
      <c r="V135">
        <v>1</v>
      </c>
      <c r="X135">
        <v>1</v>
      </c>
      <c r="Z135">
        <v>0</v>
      </c>
    </row>
    <row r="136" spans="1:26">
      <c r="A136" t="s">
        <v>166</v>
      </c>
      <c r="B136" s="3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R136">
        <v>0</v>
      </c>
      <c r="T136">
        <v>0</v>
      </c>
      <c r="V136">
        <v>0</v>
      </c>
      <c r="X136">
        <v>0</v>
      </c>
      <c r="Z136">
        <v>0</v>
      </c>
    </row>
    <row r="137" spans="1:26">
      <c r="A137" t="s">
        <v>167</v>
      </c>
      <c r="B137" s="3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R137">
        <v>0</v>
      </c>
      <c r="T137">
        <v>0</v>
      </c>
      <c r="V137">
        <v>0</v>
      </c>
      <c r="X137">
        <v>0</v>
      </c>
      <c r="Z137">
        <v>0</v>
      </c>
    </row>
    <row r="138" spans="1:26">
      <c r="A138" t="s">
        <v>168</v>
      </c>
      <c r="B138" s="3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R138">
        <v>0</v>
      </c>
      <c r="T138">
        <v>0</v>
      </c>
      <c r="V138">
        <v>0</v>
      </c>
      <c r="X138">
        <v>0</v>
      </c>
      <c r="Z138">
        <v>3</v>
      </c>
    </row>
    <row r="139" spans="1:26">
      <c r="A139" t="s">
        <v>169</v>
      </c>
      <c r="B139" s="3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R139">
        <v>0</v>
      </c>
      <c r="T139">
        <v>1</v>
      </c>
      <c r="V139">
        <v>0</v>
      </c>
      <c r="X139">
        <v>0</v>
      </c>
      <c r="Z139">
        <v>0</v>
      </c>
    </row>
    <row r="140" spans="1:26">
      <c r="A140" t="s">
        <v>170</v>
      </c>
      <c r="B140" s="3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R140">
        <v>0</v>
      </c>
      <c r="T140">
        <v>1</v>
      </c>
      <c r="V140">
        <v>1</v>
      </c>
      <c r="X140">
        <v>1</v>
      </c>
      <c r="Z140">
        <v>0</v>
      </c>
    </row>
    <row r="141" spans="1:26">
      <c r="A141" t="s">
        <v>171</v>
      </c>
      <c r="B141" s="3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R141">
        <v>0</v>
      </c>
      <c r="T141">
        <v>0</v>
      </c>
      <c r="V141">
        <v>0</v>
      </c>
      <c r="X141">
        <v>0</v>
      </c>
      <c r="Z141">
        <v>0</v>
      </c>
    </row>
    <row r="142" spans="1:26">
      <c r="A142" t="s">
        <v>172</v>
      </c>
      <c r="B142" s="3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R142">
        <v>0</v>
      </c>
      <c r="T142">
        <v>0</v>
      </c>
      <c r="V142">
        <v>0</v>
      </c>
      <c r="X142">
        <v>0</v>
      </c>
      <c r="Z142">
        <v>0</v>
      </c>
    </row>
    <row r="143" spans="1:26">
      <c r="A143" t="s">
        <v>173</v>
      </c>
      <c r="B143" s="3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R143">
        <v>1</v>
      </c>
      <c r="T143">
        <v>1</v>
      </c>
      <c r="V143">
        <v>1</v>
      </c>
      <c r="X143">
        <v>1</v>
      </c>
      <c r="Z143">
        <v>0</v>
      </c>
    </row>
    <row r="144" spans="1:26">
      <c r="A144" t="s">
        <v>174</v>
      </c>
      <c r="B144" s="3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R144">
        <v>0</v>
      </c>
      <c r="T144">
        <v>1</v>
      </c>
      <c r="V144">
        <v>0</v>
      </c>
      <c r="X144">
        <v>0</v>
      </c>
      <c r="Z144">
        <v>0</v>
      </c>
    </row>
    <row r="145" spans="1:26">
      <c r="A145" t="s">
        <v>175</v>
      </c>
      <c r="B145" s="3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R145">
        <v>0</v>
      </c>
      <c r="T145">
        <v>1</v>
      </c>
      <c r="V145">
        <v>1</v>
      </c>
      <c r="X145">
        <v>0</v>
      </c>
      <c r="Z145">
        <v>0</v>
      </c>
    </row>
    <row r="146" spans="1:26">
      <c r="A146" t="s">
        <v>176</v>
      </c>
      <c r="B146" s="3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R146">
        <v>0</v>
      </c>
      <c r="T146">
        <v>1</v>
      </c>
      <c r="V146">
        <v>0</v>
      </c>
      <c r="X146">
        <v>0</v>
      </c>
      <c r="Z146">
        <v>1</v>
      </c>
    </row>
    <row r="147" spans="1:26">
      <c r="A147" t="s">
        <v>177</v>
      </c>
      <c r="B147" s="3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R147">
        <v>0</v>
      </c>
      <c r="T147">
        <v>1</v>
      </c>
      <c r="V147">
        <v>0</v>
      </c>
      <c r="X147">
        <v>0</v>
      </c>
      <c r="Z147">
        <v>0</v>
      </c>
    </row>
    <row r="148" spans="1:26">
      <c r="A148" t="s">
        <v>178</v>
      </c>
      <c r="B148" s="3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R148">
        <v>0</v>
      </c>
      <c r="T148">
        <v>1</v>
      </c>
      <c r="V148">
        <v>1</v>
      </c>
      <c r="X148">
        <v>0</v>
      </c>
      <c r="Z148">
        <v>0</v>
      </c>
    </row>
    <row r="149" spans="1:26">
      <c r="A149" t="s">
        <v>179</v>
      </c>
      <c r="B149" s="3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R149">
        <v>0</v>
      </c>
      <c r="T149">
        <v>1</v>
      </c>
      <c r="V149">
        <v>0</v>
      </c>
      <c r="X149">
        <v>0</v>
      </c>
      <c r="Z149">
        <v>0</v>
      </c>
    </row>
    <row r="150" spans="1:26">
      <c r="A150" t="s">
        <v>180</v>
      </c>
      <c r="B150" s="3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R150">
        <v>1</v>
      </c>
      <c r="T150">
        <v>1</v>
      </c>
      <c r="V150">
        <v>1</v>
      </c>
      <c r="X150">
        <v>1</v>
      </c>
      <c r="Z150">
        <v>0</v>
      </c>
    </row>
    <row r="151" spans="1:26">
      <c r="A151" t="s">
        <v>181</v>
      </c>
      <c r="B151" s="3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R151">
        <v>0</v>
      </c>
      <c r="T151">
        <v>0</v>
      </c>
      <c r="V151">
        <v>0</v>
      </c>
      <c r="X151">
        <v>0</v>
      </c>
      <c r="Z151">
        <v>1</v>
      </c>
    </row>
    <row r="152" spans="1:26">
      <c r="A152" t="s">
        <v>182</v>
      </c>
      <c r="B152" s="3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R152">
        <v>0</v>
      </c>
      <c r="T152">
        <v>1</v>
      </c>
      <c r="V152">
        <v>0</v>
      </c>
      <c r="X152">
        <v>0</v>
      </c>
      <c r="Z152">
        <v>0</v>
      </c>
    </row>
    <row r="153" spans="1:26">
      <c r="A153" t="s">
        <v>183</v>
      </c>
      <c r="B153" s="3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R153">
        <v>0</v>
      </c>
      <c r="T153">
        <v>1</v>
      </c>
      <c r="V153">
        <v>0</v>
      </c>
      <c r="X153">
        <v>0</v>
      </c>
      <c r="Z153">
        <v>0</v>
      </c>
    </row>
    <row r="154" spans="1:26">
      <c r="A154" t="s">
        <v>184</v>
      </c>
      <c r="B154" s="3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R154">
        <v>0</v>
      </c>
      <c r="T154">
        <v>1</v>
      </c>
      <c r="V154">
        <v>0</v>
      </c>
      <c r="X154">
        <v>0</v>
      </c>
      <c r="Z154">
        <v>0</v>
      </c>
    </row>
    <row r="155" spans="1:26">
      <c r="A155" t="s">
        <v>185</v>
      </c>
      <c r="B155" s="3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R155">
        <v>0</v>
      </c>
      <c r="T155">
        <v>1</v>
      </c>
      <c r="V155">
        <v>1</v>
      </c>
      <c r="X155">
        <v>0</v>
      </c>
      <c r="Z155">
        <v>0</v>
      </c>
    </row>
    <row r="156" spans="1:26">
      <c r="A156" t="s">
        <v>186</v>
      </c>
      <c r="B156" s="3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R156">
        <v>0</v>
      </c>
      <c r="T156">
        <v>1</v>
      </c>
      <c r="V156">
        <v>1</v>
      </c>
      <c r="X156">
        <v>0</v>
      </c>
      <c r="Z156">
        <v>0</v>
      </c>
    </row>
    <row r="157" spans="1:26">
      <c r="A157" t="s">
        <v>187</v>
      </c>
      <c r="B157" s="3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R157">
        <v>0</v>
      </c>
      <c r="T157">
        <v>0</v>
      </c>
      <c r="V157">
        <v>0</v>
      </c>
      <c r="X157">
        <v>0</v>
      </c>
      <c r="Z157">
        <v>0</v>
      </c>
    </row>
    <row r="158" spans="1:26">
      <c r="A158" t="s">
        <v>188</v>
      </c>
      <c r="B158" s="3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R158">
        <v>0</v>
      </c>
      <c r="T158">
        <v>0</v>
      </c>
      <c r="V158">
        <v>0</v>
      </c>
      <c r="X158">
        <v>0</v>
      </c>
      <c r="Z158">
        <v>0</v>
      </c>
    </row>
    <row r="159" spans="1:26">
      <c r="A159" t="s">
        <v>189</v>
      </c>
      <c r="B159" s="3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R159">
        <v>0</v>
      </c>
      <c r="T159">
        <v>0</v>
      </c>
      <c r="V159">
        <v>0</v>
      </c>
      <c r="X159">
        <v>0</v>
      </c>
      <c r="Z159">
        <v>0</v>
      </c>
    </row>
    <row r="160" spans="1:26">
      <c r="A160" t="s">
        <v>190</v>
      </c>
      <c r="B160" s="3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R160">
        <v>0</v>
      </c>
      <c r="T160">
        <v>0</v>
      </c>
      <c r="V160">
        <v>0</v>
      </c>
      <c r="X160">
        <v>0</v>
      </c>
      <c r="Z160">
        <v>2</v>
      </c>
    </row>
    <row r="161" spans="1:26">
      <c r="A161" t="s">
        <v>191</v>
      </c>
      <c r="B161" s="3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R161">
        <v>0</v>
      </c>
      <c r="T161">
        <v>0</v>
      </c>
      <c r="V161">
        <v>0</v>
      </c>
      <c r="X161">
        <v>0</v>
      </c>
      <c r="Z161">
        <v>0</v>
      </c>
    </row>
    <row r="162" spans="1:26">
      <c r="A162" t="s">
        <v>192</v>
      </c>
      <c r="B162" s="3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R162">
        <v>0</v>
      </c>
      <c r="T162">
        <v>0</v>
      </c>
      <c r="V162">
        <v>0</v>
      </c>
      <c r="X162">
        <v>0</v>
      </c>
      <c r="Z162">
        <v>0</v>
      </c>
    </row>
    <row r="163" spans="1:26">
      <c r="A163" t="s">
        <v>193</v>
      </c>
      <c r="B163" s="3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R163">
        <v>0</v>
      </c>
      <c r="T163">
        <v>0</v>
      </c>
      <c r="V163">
        <v>0</v>
      </c>
      <c r="X163">
        <v>0</v>
      </c>
      <c r="Z163">
        <v>0</v>
      </c>
    </row>
    <row r="164" spans="1:26">
      <c r="A164" t="s">
        <v>194</v>
      </c>
      <c r="B164" s="3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R164">
        <v>0</v>
      </c>
      <c r="T164">
        <v>0</v>
      </c>
      <c r="V164">
        <v>0</v>
      </c>
      <c r="X164">
        <v>0</v>
      </c>
      <c r="Z164">
        <v>1</v>
      </c>
    </row>
    <row r="165" spans="1:26">
      <c r="A165" t="s">
        <v>195</v>
      </c>
      <c r="B165" s="3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R165">
        <v>0</v>
      </c>
      <c r="T165">
        <v>0</v>
      </c>
      <c r="V165">
        <v>0</v>
      </c>
      <c r="X165">
        <v>0</v>
      </c>
      <c r="Z165">
        <v>0</v>
      </c>
    </row>
    <row r="166" spans="1:26">
      <c r="A166" t="s">
        <v>196</v>
      </c>
      <c r="B166" s="3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R166">
        <v>0</v>
      </c>
      <c r="T166">
        <v>1</v>
      </c>
      <c r="V166">
        <v>0</v>
      </c>
      <c r="X166">
        <v>0</v>
      </c>
      <c r="Z166">
        <v>0</v>
      </c>
    </row>
    <row r="167" spans="1:26">
      <c r="A167" t="s">
        <v>197</v>
      </c>
      <c r="B167" s="3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R167">
        <v>1</v>
      </c>
      <c r="T167">
        <v>1</v>
      </c>
      <c r="V167">
        <v>1</v>
      </c>
      <c r="X167">
        <v>1</v>
      </c>
      <c r="Z167">
        <v>1</v>
      </c>
    </row>
    <row r="168" spans="1:26">
      <c r="A168" t="s">
        <v>198</v>
      </c>
      <c r="B168" s="3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R168">
        <v>0</v>
      </c>
      <c r="T168">
        <v>1</v>
      </c>
      <c r="V168">
        <v>0</v>
      </c>
      <c r="X168">
        <v>0</v>
      </c>
      <c r="Z168">
        <v>0</v>
      </c>
    </row>
    <row r="169" spans="1:26">
      <c r="A169" t="s">
        <v>199</v>
      </c>
      <c r="B169" s="3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R169">
        <v>0</v>
      </c>
      <c r="T169">
        <v>1</v>
      </c>
      <c r="V169">
        <v>0</v>
      </c>
      <c r="X169">
        <v>0</v>
      </c>
      <c r="Z169">
        <v>1</v>
      </c>
    </row>
    <row r="170" spans="1:26">
      <c r="A170" t="s">
        <v>200</v>
      </c>
      <c r="B170" s="3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R170">
        <v>0</v>
      </c>
      <c r="T170">
        <v>0</v>
      </c>
      <c r="V170">
        <v>0</v>
      </c>
      <c r="X170">
        <v>0</v>
      </c>
      <c r="Z170">
        <v>0</v>
      </c>
    </row>
    <row r="171" spans="1:26">
      <c r="A171" t="s">
        <v>201</v>
      </c>
      <c r="B171" s="3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R171">
        <v>0</v>
      </c>
      <c r="T171">
        <v>1</v>
      </c>
      <c r="V171">
        <v>0</v>
      </c>
      <c r="X171">
        <v>0</v>
      </c>
      <c r="Z171">
        <v>0</v>
      </c>
    </row>
    <row r="172" spans="1:26">
      <c r="A172" t="s">
        <v>202</v>
      </c>
      <c r="B172" s="3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R172">
        <v>0</v>
      </c>
      <c r="T172">
        <v>1</v>
      </c>
      <c r="V172">
        <v>1</v>
      </c>
      <c r="X172">
        <v>1</v>
      </c>
      <c r="Z172">
        <v>0</v>
      </c>
    </row>
    <row r="173" spans="1:26">
      <c r="A173" t="s">
        <v>203</v>
      </c>
      <c r="B173" s="3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R173">
        <v>0</v>
      </c>
      <c r="T173">
        <v>1</v>
      </c>
      <c r="V173">
        <v>0</v>
      </c>
      <c r="X173">
        <v>0</v>
      </c>
      <c r="Z173">
        <v>0</v>
      </c>
    </row>
    <row r="174" spans="1:26">
      <c r="A174" t="s">
        <v>204</v>
      </c>
      <c r="B174" s="3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R174">
        <v>0</v>
      </c>
      <c r="T174">
        <v>0</v>
      </c>
      <c r="V174">
        <v>0</v>
      </c>
      <c r="X174">
        <v>0</v>
      </c>
      <c r="Z174">
        <v>1</v>
      </c>
    </row>
    <row r="175" spans="1:26">
      <c r="A175" t="s">
        <v>205</v>
      </c>
      <c r="B175" s="3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R175">
        <v>0</v>
      </c>
      <c r="T175">
        <v>1</v>
      </c>
      <c r="V175">
        <v>0</v>
      </c>
      <c r="X175">
        <v>0</v>
      </c>
      <c r="Z175">
        <v>2</v>
      </c>
    </row>
    <row r="176" spans="1:26">
      <c r="A176" t="s">
        <v>206</v>
      </c>
      <c r="B176" s="3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R176">
        <v>0</v>
      </c>
      <c r="T176">
        <v>0</v>
      </c>
      <c r="V176">
        <v>0</v>
      </c>
      <c r="X176">
        <v>0</v>
      </c>
      <c r="Z176">
        <v>0</v>
      </c>
    </row>
    <row r="177" spans="1:26">
      <c r="A177" t="s">
        <v>207</v>
      </c>
      <c r="B177" s="3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R177">
        <v>0</v>
      </c>
      <c r="T177">
        <v>1</v>
      </c>
      <c r="V177">
        <v>0</v>
      </c>
      <c r="X177">
        <v>0</v>
      </c>
      <c r="Z177">
        <v>0</v>
      </c>
    </row>
    <row r="178" spans="1:26">
      <c r="A178" t="s">
        <v>208</v>
      </c>
      <c r="B178" s="3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R178">
        <v>0</v>
      </c>
      <c r="T178">
        <v>1</v>
      </c>
      <c r="V178">
        <v>0</v>
      </c>
      <c r="X178">
        <v>0</v>
      </c>
      <c r="Z178">
        <v>0</v>
      </c>
    </row>
    <row r="179" spans="1:26">
      <c r="A179" t="s">
        <v>209</v>
      </c>
      <c r="B179" s="3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R179">
        <v>0</v>
      </c>
      <c r="T179">
        <v>0</v>
      </c>
      <c r="V179">
        <v>0</v>
      </c>
      <c r="X179">
        <v>0</v>
      </c>
      <c r="Z179">
        <v>0</v>
      </c>
    </row>
    <row r="180" spans="1:26">
      <c r="A180" t="s">
        <v>210</v>
      </c>
      <c r="B180" s="3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R180">
        <v>0</v>
      </c>
      <c r="T180">
        <v>1</v>
      </c>
      <c r="V180">
        <v>1</v>
      </c>
      <c r="X180">
        <v>1</v>
      </c>
      <c r="Z180">
        <v>0</v>
      </c>
    </row>
    <row r="181" spans="1:26">
      <c r="A181" t="s">
        <v>211</v>
      </c>
      <c r="B181" s="3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R181">
        <v>0</v>
      </c>
      <c r="T181">
        <v>1</v>
      </c>
      <c r="V181">
        <v>0</v>
      </c>
      <c r="X181">
        <v>0</v>
      </c>
      <c r="Z181">
        <v>0</v>
      </c>
    </row>
    <row r="182" spans="1:26">
      <c r="A182" t="s">
        <v>212</v>
      </c>
      <c r="B182" s="3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R182">
        <v>0</v>
      </c>
      <c r="T182">
        <v>0</v>
      </c>
      <c r="V182">
        <v>0</v>
      </c>
      <c r="X182">
        <v>0</v>
      </c>
      <c r="Z182">
        <v>0</v>
      </c>
    </row>
    <row r="183" spans="1:26">
      <c r="A183" t="s">
        <v>213</v>
      </c>
      <c r="B183" s="3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R183">
        <v>0</v>
      </c>
      <c r="T183">
        <v>0</v>
      </c>
      <c r="V183">
        <v>0</v>
      </c>
      <c r="X183">
        <v>0</v>
      </c>
      <c r="Z183">
        <v>0</v>
      </c>
    </row>
    <row r="184" spans="1:26">
      <c r="A184" t="s">
        <v>214</v>
      </c>
      <c r="B184" s="3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R184">
        <v>0</v>
      </c>
      <c r="T184">
        <v>1</v>
      </c>
      <c r="V184">
        <v>0</v>
      </c>
      <c r="X184">
        <v>0</v>
      </c>
      <c r="Z184">
        <v>0</v>
      </c>
    </row>
    <row r="185" spans="1:26">
      <c r="A185" t="s">
        <v>215</v>
      </c>
      <c r="B185" s="3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R185">
        <v>0</v>
      </c>
      <c r="T185">
        <v>1</v>
      </c>
      <c r="V185">
        <v>0</v>
      </c>
      <c r="X185">
        <v>0</v>
      </c>
      <c r="Z185">
        <v>0</v>
      </c>
    </row>
    <row r="186" spans="1:26">
      <c r="A186" t="s">
        <v>216</v>
      </c>
      <c r="B186" s="3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R186">
        <v>0</v>
      </c>
      <c r="T186">
        <v>0</v>
      </c>
      <c r="V186">
        <v>0</v>
      </c>
      <c r="X186">
        <v>0</v>
      </c>
      <c r="Z186">
        <v>0</v>
      </c>
    </row>
    <row r="187" spans="1:26">
      <c r="A187" t="s">
        <v>217</v>
      </c>
      <c r="B187" s="3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R187">
        <v>0</v>
      </c>
      <c r="T187">
        <v>1</v>
      </c>
      <c r="V187">
        <v>1</v>
      </c>
      <c r="X187">
        <v>1</v>
      </c>
      <c r="Z187">
        <v>0</v>
      </c>
    </row>
    <row r="188" spans="1:26">
      <c r="A188" t="s">
        <v>218</v>
      </c>
      <c r="B188" s="3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R188">
        <v>0</v>
      </c>
      <c r="T188">
        <v>0</v>
      </c>
      <c r="V188">
        <v>0</v>
      </c>
      <c r="X188">
        <v>0</v>
      </c>
      <c r="Z188">
        <v>0</v>
      </c>
    </row>
    <row r="189" spans="1:26">
      <c r="A189" t="s">
        <v>219</v>
      </c>
      <c r="B189" s="3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R189">
        <v>0</v>
      </c>
      <c r="T189">
        <v>0</v>
      </c>
      <c r="V189">
        <v>0</v>
      </c>
      <c r="X189">
        <v>0</v>
      </c>
      <c r="Z189">
        <v>0</v>
      </c>
    </row>
    <row r="190" spans="1:26">
      <c r="A190" t="s">
        <v>220</v>
      </c>
      <c r="B190" s="3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R190">
        <v>0</v>
      </c>
      <c r="T190">
        <v>1</v>
      </c>
      <c r="V190">
        <v>0</v>
      </c>
      <c r="X190">
        <v>0</v>
      </c>
      <c r="Z190">
        <v>0</v>
      </c>
    </row>
    <row r="191" spans="1:26">
      <c r="A191" t="s">
        <v>221</v>
      </c>
      <c r="B191" s="3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R191">
        <v>0</v>
      </c>
      <c r="T191">
        <v>1</v>
      </c>
      <c r="V191">
        <v>0</v>
      </c>
      <c r="X191">
        <v>0</v>
      </c>
      <c r="Z191">
        <v>0</v>
      </c>
    </row>
    <row r="192" spans="1:26">
      <c r="A192" t="s">
        <v>222</v>
      </c>
      <c r="B192" s="3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R192">
        <v>0</v>
      </c>
      <c r="T192">
        <v>1</v>
      </c>
      <c r="V192">
        <v>1</v>
      </c>
      <c r="X192">
        <v>1</v>
      </c>
      <c r="Z192">
        <v>0</v>
      </c>
    </row>
    <row r="193" spans="1:26">
      <c r="A193" t="s">
        <v>223</v>
      </c>
      <c r="B193" s="3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R193">
        <v>0</v>
      </c>
      <c r="T193">
        <v>1</v>
      </c>
      <c r="V193">
        <v>0</v>
      </c>
      <c r="X193">
        <v>0</v>
      </c>
      <c r="Z193">
        <v>0</v>
      </c>
    </row>
    <row r="194" spans="1:26">
      <c r="A194" t="s">
        <v>224</v>
      </c>
      <c r="B194" s="3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R194">
        <v>0</v>
      </c>
      <c r="T194">
        <v>1</v>
      </c>
      <c r="V194">
        <v>0</v>
      </c>
      <c r="X194">
        <v>0</v>
      </c>
      <c r="Z194">
        <v>0</v>
      </c>
    </row>
    <row r="195" spans="1:26">
      <c r="A195" t="s">
        <v>225</v>
      </c>
      <c r="B195" s="3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R195">
        <v>0</v>
      </c>
      <c r="T195">
        <v>1</v>
      </c>
      <c r="V195">
        <v>0</v>
      </c>
      <c r="X195">
        <v>0</v>
      </c>
      <c r="Z195">
        <v>0</v>
      </c>
    </row>
    <row r="196" spans="1:26">
      <c r="A196" t="s">
        <v>226</v>
      </c>
      <c r="B196" s="3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R196">
        <v>0</v>
      </c>
      <c r="T196">
        <v>1</v>
      </c>
      <c r="V196">
        <v>0</v>
      </c>
      <c r="X196">
        <v>0</v>
      </c>
      <c r="Z196">
        <v>0</v>
      </c>
    </row>
    <row r="197" spans="1:26">
      <c r="A197" t="s">
        <v>227</v>
      </c>
      <c r="B197" s="3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R197">
        <v>0</v>
      </c>
      <c r="T197">
        <v>0</v>
      </c>
      <c r="V197">
        <v>0</v>
      </c>
      <c r="X197">
        <v>0</v>
      </c>
      <c r="Z197">
        <v>0</v>
      </c>
    </row>
    <row r="198" spans="1:26">
      <c r="A198" t="s">
        <v>228</v>
      </c>
      <c r="B198" s="3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R198">
        <v>1</v>
      </c>
      <c r="T198">
        <v>1</v>
      </c>
      <c r="V198">
        <v>1</v>
      </c>
      <c r="X198">
        <v>1</v>
      </c>
      <c r="Z198">
        <v>2</v>
      </c>
    </row>
    <row r="199" spans="1:26">
      <c r="A199" t="s">
        <v>229</v>
      </c>
      <c r="B199" s="3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R199">
        <v>0</v>
      </c>
      <c r="T199">
        <v>0</v>
      </c>
      <c r="V199">
        <v>0</v>
      </c>
      <c r="X199">
        <v>0</v>
      </c>
      <c r="Z199">
        <v>0</v>
      </c>
    </row>
    <row r="200" spans="1:26">
      <c r="A200" t="s">
        <v>230</v>
      </c>
      <c r="B200" s="3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R200">
        <v>0</v>
      </c>
      <c r="T200">
        <v>1</v>
      </c>
      <c r="V200">
        <v>0</v>
      </c>
      <c r="X200">
        <v>0</v>
      </c>
      <c r="Z200">
        <v>0</v>
      </c>
    </row>
    <row r="201" spans="1:26">
      <c r="A201" t="s">
        <v>231</v>
      </c>
      <c r="B201" s="3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R201">
        <v>0</v>
      </c>
      <c r="T201">
        <v>1</v>
      </c>
      <c r="V201">
        <v>0</v>
      </c>
      <c r="X201">
        <v>0</v>
      </c>
      <c r="Z201">
        <v>0</v>
      </c>
    </row>
    <row r="202" spans="1:26">
      <c r="A202" t="s">
        <v>232</v>
      </c>
      <c r="B202" s="3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R202">
        <v>0</v>
      </c>
      <c r="T202">
        <v>1</v>
      </c>
      <c r="V202">
        <v>0</v>
      </c>
      <c r="X202">
        <v>0</v>
      </c>
      <c r="Z202">
        <v>0</v>
      </c>
    </row>
    <row r="203" spans="1:26">
      <c r="A203" t="s">
        <v>233</v>
      </c>
      <c r="B203" s="3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R203">
        <v>0</v>
      </c>
      <c r="T203">
        <v>0</v>
      </c>
      <c r="V203">
        <v>0</v>
      </c>
      <c r="X203">
        <v>0</v>
      </c>
      <c r="Z203">
        <v>0</v>
      </c>
    </row>
    <row r="204" spans="1:26">
      <c r="A204" t="s">
        <v>234</v>
      </c>
      <c r="B204" s="3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R204">
        <v>0</v>
      </c>
      <c r="T204">
        <v>1</v>
      </c>
      <c r="V204">
        <v>1</v>
      </c>
      <c r="X204">
        <v>0</v>
      </c>
      <c r="Z204">
        <v>0</v>
      </c>
    </row>
    <row r="205" spans="1:26">
      <c r="A205" t="s">
        <v>235</v>
      </c>
      <c r="B205" s="3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R205">
        <v>0</v>
      </c>
      <c r="T205">
        <v>0</v>
      </c>
      <c r="V205">
        <v>0</v>
      </c>
      <c r="X205">
        <v>0</v>
      </c>
      <c r="Z205">
        <v>0</v>
      </c>
    </row>
    <row r="206" spans="1:26">
      <c r="A206" t="s">
        <v>236</v>
      </c>
      <c r="B206" s="3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R206">
        <v>0</v>
      </c>
      <c r="T206">
        <v>1</v>
      </c>
      <c r="V206">
        <v>1</v>
      </c>
      <c r="X206">
        <v>0</v>
      </c>
      <c r="Z206">
        <v>0</v>
      </c>
    </row>
    <row r="207" spans="1:26">
      <c r="A207" t="s">
        <v>237</v>
      </c>
      <c r="B207" s="3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R207">
        <v>0</v>
      </c>
      <c r="T207">
        <v>0</v>
      </c>
      <c r="V207">
        <v>0</v>
      </c>
      <c r="X207">
        <v>0</v>
      </c>
      <c r="Z207">
        <v>0</v>
      </c>
    </row>
    <row r="208" spans="1:26">
      <c r="A208" t="s">
        <v>238</v>
      </c>
      <c r="B208" s="3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R208">
        <v>0</v>
      </c>
      <c r="T208">
        <v>1</v>
      </c>
      <c r="V208">
        <v>0</v>
      </c>
      <c r="X208">
        <v>0</v>
      </c>
      <c r="Z208">
        <v>2</v>
      </c>
    </row>
    <row r="209" spans="1:26">
      <c r="A209" t="s">
        <v>239</v>
      </c>
      <c r="B209" s="3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R209">
        <v>0</v>
      </c>
      <c r="T209">
        <v>1</v>
      </c>
      <c r="V209">
        <v>0</v>
      </c>
      <c r="X209">
        <v>0</v>
      </c>
      <c r="Z209">
        <v>1</v>
      </c>
    </row>
    <row r="210" spans="1:26">
      <c r="A210" t="s">
        <v>240</v>
      </c>
      <c r="B210" s="3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R210">
        <v>0</v>
      </c>
      <c r="T210">
        <v>0</v>
      </c>
      <c r="V210">
        <v>0</v>
      </c>
      <c r="X210">
        <v>0</v>
      </c>
      <c r="Z210">
        <v>0</v>
      </c>
    </row>
    <row r="211" spans="1:26">
      <c r="A211" t="s">
        <v>241</v>
      </c>
      <c r="B211" s="3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R211">
        <v>0</v>
      </c>
      <c r="T211">
        <v>1</v>
      </c>
      <c r="V211">
        <v>0</v>
      </c>
      <c r="X211">
        <v>0</v>
      </c>
      <c r="Z211">
        <v>0</v>
      </c>
    </row>
    <row r="212" spans="1:26">
      <c r="A212" t="s">
        <v>242</v>
      </c>
      <c r="B212" s="3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R212">
        <v>1</v>
      </c>
      <c r="T212">
        <v>1</v>
      </c>
      <c r="V212">
        <v>1</v>
      </c>
      <c r="X212">
        <v>1</v>
      </c>
      <c r="Z212">
        <v>0</v>
      </c>
    </row>
    <row r="213" spans="1:26">
      <c r="A213" t="s">
        <v>243</v>
      </c>
      <c r="B213" s="3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R213">
        <v>0</v>
      </c>
      <c r="T213">
        <v>1</v>
      </c>
      <c r="V213">
        <v>0</v>
      </c>
      <c r="X213">
        <v>0</v>
      </c>
      <c r="Z213">
        <v>0</v>
      </c>
    </row>
    <row r="214" spans="1:26">
      <c r="A214" t="s">
        <v>244</v>
      </c>
      <c r="B214" s="3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R214">
        <v>0</v>
      </c>
      <c r="T214">
        <v>1</v>
      </c>
      <c r="V214">
        <v>0</v>
      </c>
      <c r="X214">
        <v>0</v>
      </c>
      <c r="Z214">
        <v>0</v>
      </c>
    </row>
    <row r="215" spans="1:26">
      <c r="A215" t="s">
        <v>245</v>
      </c>
      <c r="B215" s="3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R215">
        <v>0</v>
      </c>
      <c r="T215">
        <v>1</v>
      </c>
      <c r="V215">
        <v>1</v>
      </c>
      <c r="X215">
        <v>0</v>
      </c>
      <c r="Z215">
        <v>0</v>
      </c>
    </row>
    <row r="216" spans="1:26">
      <c r="A216" t="s">
        <v>246</v>
      </c>
      <c r="B216" s="3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R216">
        <v>0</v>
      </c>
      <c r="T216">
        <v>1</v>
      </c>
      <c r="V216">
        <v>1</v>
      </c>
      <c r="X216">
        <v>1</v>
      </c>
      <c r="Z216">
        <v>0</v>
      </c>
    </row>
    <row r="217" spans="1:26">
      <c r="A217" t="s">
        <v>247</v>
      </c>
      <c r="B217" s="3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R217">
        <v>0</v>
      </c>
      <c r="T217">
        <v>0</v>
      </c>
      <c r="V217">
        <v>0</v>
      </c>
      <c r="X217">
        <v>0</v>
      </c>
      <c r="Z217">
        <v>0</v>
      </c>
    </row>
    <row r="218" spans="1:26">
      <c r="A218" t="s">
        <v>248</v>
      </c>
      <c r="B218" s="3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R218">
        <v>0</v>
      </c>
      <c r="T218">
        <v>1</v>
      </c>
      <c r="V218">
        <v>0</v>
      </c>
      <c r="X218">
        <v>0</v>
      </c>
      <c r="Z218">
        <v>0</v>
      </c>
    </row>
    <row r="219" spans="1:26">
      <c r="A219" t="s">
        <v>249</v>
      </c>
      <c r="B219" s="3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R219">
        <v>0</v>
      </c>
      <c r="T219">
        <v>1</v>
      </c>
      <c r="V219">
        <v>0</v>
      </c>
      <c r="X219">
        <v>0</v>
      </c>
      <c r="Z219">
        <v>0</v>
      </c>
    </row>
    <row r="220" spans="1:26">
      <c r="A220" t="s">
        <v>250</v>
      </c>
      <c r="B220" s="3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R220">
        <v>0</v>
      </c>
      <c r="T220">
        <v>0</v>
      </c>
      <c r="V220">
        <v>0</v>
      </c>
      <c r="X220">
        <v>0</v>
      </c>
      <c r="Z220">
        <v>1</v>
      </c>
    </row>
    <row r="221" spans="1:26">
      <c r="A221" t="s">
        <v>251</v>
      </c>
      <c r="B221" s="3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R221">
        <v>0</v>
      </c>
      <c r="T221">
        <v>1</v>
      </c>
      <c r="V221">
        <v>1</v>
      </c>
      <c r="X221">
        <v>0</v>
      </c>
      <c r="Z221">
        <v>3</v>
      </c>
    </row>
    <row r="222" spans="1:26">
      <c r="A222" t="s">
        <v>252</v>
      </c>
      <c r="B222" s="3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R222">
        <v>0</v>
      </c>
      <c r="T222">
        <v>1</v>
      </c>
      <c r="V222">
        <v>1</v>
      </c>
      <c r="X222">
        <v>1</v>
      </c>
      <c r="Z222">
        <v>0</v>
      </c>
    </row>
    <row r="223" spans="1:26">
      <c r="A223" t="s">
        <v>253</v>
      </c>
      <c r="B223" s="3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R223">
        <v>0</v>
      </c>
      <c r="T223">
        <v>1</v>
      </c>
      <c r="V223">
        <v>0</v>
      </c>
      <c r="X223">
        <v>0</v>
      </c>
      <c r="Z223">
        <v>0</v>
      </c>
    </row>
    <row r="224" spans="1:26">
      <c r="A224" t="s">
        <v>254</v>
      </c>
      <c r="B224" s="3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R224">
        <v>0</v>
      </c>
      <c r="T224">
        <v>1</v>
      </c>
      <c r="V224">
        <v>0</v>
      </c>
      <c r="X224">
        <v>0</v>
      </c>
      <c r="Z224">
        <v>1</v>
      </c>
    </row>
    <row r="225" spans="1:26">
      <c r="A225" t="s">
        <v>255</v>
      </c>
      <c r="B225" s="3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R225">
        <v>0</v>
      </c>
      <c r="T225">
        <v>0</v>
      </c>
      <c r="V225">
        <v>0</v>
      </c>
      <c r="X225">
        <v>0</v>
      </c>
      <c r="Z225">
        <v>0</v>
      </c>
    </row>
    <row r="226" spans="1:26">
      <c r="A226" t="s">
        <v>256</v>
      </c>
      <c r="B226" s="3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R226">
        <v>0</v>
      </c>
      <c r="T226">
        <v>0</v>
      </c>
      <c r="V226">
        <v>0</v>
      </c>
      <c r="X226">
        <v>0</v>
      </c>
      <c r="Z226">
        <v>0</v>
      </c>
    </row>
    <row r="227" spans="1:26">
      <c r="A227" t="s">
        <v>257</v>
      </c>
      <c r="B227" s="3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R227">
        <v>0</v>
      </c>
      <c r="T227">
        <v>1</v>
      </c>
      <c r="V227">
        <v>0</v>
      </c>
      <c r="X227">
        <v>0</v>
      </c>
      <c r="Z227">
        <v>0</v>
      </c>
    </row>
    <row r="228" spans="1:26">
      <c r="A228" t="s">
        <v>258</v>
      </c>
      <c r="B228" s="3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R228">
        <v>0</v>
      </c>
      <c r="T228">
        <v>0</v>
      </c>
      <c r="V228">
        <v>0</v>
      </c>
      <c r="X228">
        <v>0</v>
      </c>
      <c r="Z228">
        <v>0</v>
      </c>
    </row>
    <row r="229" spans="1:26">
      <c r="A229" t="s">
        <v>259</v>
      </c>
      <c r="B229" s="3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R229">
        <v>0</v>
      </c>
      <c r="T229">
        <v>0</v>
      </c>
      <c r="V229">
        <v>0</v>
      </c>
      <c r="X229">
        <v>0</v>
      </c>
      <c r="Z229">
        <v>0</v>
      </c>
    </row>
    <row r="230" spans="1:26">
      <c r="A230" t="s">
        <v>260</v>
      </c>
      <c r="B230" s="3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R230">
        <v>0</v>
      </c>
      <c r="T230">
        <v>1</v>
      </c>
      <c r="V230">
        <v>1</v>
      </c>
      <c r="X230">
        <v>1</v>
      </c>
      <c r="Z230">
        <v>1</v>
      </c>
    </row>
    <row r="231" spans="1:26">
      <c r="A231" t="s">
        <v>261</v>
      </c>
      <c r="B231" s="3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R231">
        <v>0</v>
      </c>
      <c r="T231">
        <v>1</v>
      </c>
      <c r="V231">
        <v>1</v>
      </c>
      <c r="X231">
        <v>1</v>
      </c>
      <c r="Z231">
        <v>1</v>
      </c>
    </row>
    <row r="232" spans="1:26">
      <c r="A232" t="s">
        <v>262</v>
      </c>
      <c r="B232" s="3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R232">
        <v>0</v>
      </c>
      <c r="T232">
        <v>0</v>
      </c>
      <c r="V232">
        <v>0</v>
      </c>
      <c r="X232">
        <v>0</v>
      </c>
      <c r="Z232">
        <v>0</v>
      </c>
    </row>
    <row r="233" spans="1:26">
      <c r="A233" t="s">
        <v>263</v>
      </c>
      <c r="B233" s="3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R233">
        <v>0</v>
      </c>
      <c r="T233">
        <v>1</v>
      </c>
      <c r="V233">
        <v>0</v>
      </c>
      <c r="X233">
        <v>0</v>
      </c>
      <c r="Z233">
        <v>0</v>
      </c>
    </row>
    <row r="234" spans="1:26">
      <c r="A234" t="s">
        <v>264</v>
      </c>
      <c r="B234" s="3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R234">
        <v>0</v>
      </c>
      <c r="T234">
        <v>0</v>
      </c>
      <c r="V234">
        <v>0</v>
      </c>
      <c r="X234">
        <v>0</v>
      </c>
      <c r="Z234">
        <v>0</v>
      </c>
    </row>
    <row r="235" spans="1:26">
      <c r="A235" t="s">
        <v>265</v>
      </c>
      <c r="B235" s="3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R235">
        <v>0</v>
      </c>
      <c r="T235">
        <v>0</v>
      </c>
      <c r="V235">
        <v>0</v>
      </c>
      <c r="X235">
        <v>0</v>
      </c>
      <c r="Z235">
        <v>0</v>
      </c>
    </row>
    <row r="236" spans="1:26">
      <c r="A236" t="s">
        <v>266</v>
      </c>
      <c r="B236" s="3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R236">
        <v>0</v>
      </c>
      <c r="T236">
        <v>0</v>
      </c>
      <c r="V236">
        <v>0</v>
      </c>
      <c r="X236">
        <v>0</v>
      </c>
      <c r="Z236">
        <v>0</v>
      </c>
    </row>
    <row r="237" spans="1:26">
      <c r="A237" t="s">
        <v>267</v>
      </c>
      <c r="B237" s="3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R237">
        <v>0</v>
      </c>
      <c r="T237">
        <v>1</v>
      </c>
      <c r="V237">
        <v>0</v>
      </c>
      <c r="X237">
        <v>0</v>
      </c>
      <c r="Z237">
        <v>3</v>
      </c>
    </row>
    <row r="238" spans="1:26">
      <c r="A238" t="s">
        <v>268</v>
      </c>
      <c r="B238" s="3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R238">
        <v>0</v>
      </c>
      <c r="T238">
        <v>1</v>
      </c>
      <c r="V238">
        <v>0</v>
      </c>
      <c r="X238">
        <v>0</v>
      </c>
      <c r="Z238">
        <v>0</v>
      </c>
    </row>
    <row r="239" spans="1:26">
      <c r="A239" t="s">
        <v>269</v>
      </c>
      <c r="B239" s="3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R239">
        <v>0</v>
      </c>
      <c r="T239">
        <v>1</v>
      </c>
      <c r="V239">
        <v>0</v>
      </c>
      <c r="X239">
        <v>0</v>
      </c>
      <c r="Z239">
        <v>0</v>
      </c>
    </row>
    <row r="240" spans="1:26">
      <c r="A240" t="s">
        <v>270</v>
      </c>
      <c r="B240" s="3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R240">
        <v>0</v>
      </c>
      <c r="T240">
        <v>1</v>
      </c>
      <c r="V240">
        <v>1</v>
      </c>
      <c r="X240">
        <v>1</v>
      </c>
      <c r="Z240">
        <v>0</v>
      </c>
    </row>
    <row r="241" spans="1:26">
      <c r="A241" t="s">
        <v>271</v>
      </c>
      <c r="B241" s="3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R241">
        <v>0</v>
      </c>
      <c r="T241">
        <v>1</v>
      </c>
      <c r="V241">
        <v>1</v>
      </c>
      <c r="X241">
        <v>0</v>
      </c>
      <c r="Z241">
        <v>0</v>
      </c>
    </row>
    <row r="242" spans="1:26">
      <c r="A242" t="s">
        <v>272</v>
      </c>
      <c r="B242" s="3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R242">
        <v>0</v>
      </c>
      <c r="T242">
        <v>0</v>
      </c>
      <c r="V242">
        <v>0</v>
      </c>
      <c r="X242">
        <v>0</v>
      </c>
      <c r="Z242">
        <v>0</v>
      </c>
    </row>
    <row r="243" spans="1:26">
      <c r="A243" t="s">
        <v>273</v>
      </c>
      <c r="B243" s="3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R243">
        <v>0</v>
      </c>
      <c r="T243">
        <v>1</v>
      </c>
      <c r="V243">
        <v>0</v>
      </c>
      <c r="X243">
        <v>0</v>
      </c>
      <c r="Z243">
        <v>0</v>
      </c>
    </row>
    <row r="244" spans="1:26">
      <c r="A244" t="s">
        <v>274</v>
      </c>
      <c r="B244" s="3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R244">
        <v>0</v>
      </c>
      <c r="T244">
        <v>1</v>
      </c>
      <c r="V244">
        <v>1</v>
      </c>
      <c r="X244">
        <v>1</v>
      </c>
      <c r="Z244">
        <v>0</v>
      </c>
    </row>
    <row r="245" spans="1:26">
      <c r="A245" t="s">
        <v>275</v>
      </c>
      <c r="B245" s="3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R245">
        <v>0</v>
      </c>
      <c r="T245">
        <v>1</v>
      </c>
      <c r="V245">
        <v>1</v>
      </c>
      <c r="X245">
        <v>0</v>
      </c>
      <c r="Z245">
        <v>0</v>
      </c>
    </row>
    <row r="246" spans="1:26">
      <c r="A246" t="s">
        <v>276</v>
      </c>
      <c r="B246" s="3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R246">
        <v>0</v>
      </c>
      <c r="T246">
        <v>1</v>
      </c>
      <c r="V246">
        <v>1</v>
      </c>
      <c r="X246">
        <v>1</v>
      </c>
      <c r="Z246">
        <v>0</v>
      </c>
    </row>
    <row r="247" spans="1:26">
      <c r="A247" t="s">
        <v>277</v>
      </c>
      <c r="B247" s="3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R247">
        <v>0</v>
      </c>
      <c r="T247">
        <v>1</v>
      </c>
      <c r="V247">
        <v>1</v>
      </c>
      <c r="X247">
        <v>0</v>
      </c>
      <c r="Z247">
        <v>0</v>
      </c>
    </row>
    <row r="248" spans="1:26">
      <c r="A248" t="s">
        <v>278</v>
      </c>
      <c r="B248" s="3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R248">
        <v>0</v>
      </c>
      <c r="T248">
        <v>0</v>
      </c>
      <c r="V248">
        <v>0</v>
      </c>
      <c r="X248">
        <v>0</v>
      </c>
      <c r="Z248">
        <v>0</v>
      </c>
    </row>
    <row r="249" spans="1:26">
      <c r="A249" t="s">
        <v>279</v>
      </c>
      <c r="B249" s="3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R249">
        <v>0</v>
      </c>
      <c r="T249">
        <v>0</v>
      </c>
      <c r="V249">
        <v>0</v>
      </c>
      <c r="X249">
        <v>0</v>
      </c>
      <c r="Z249">
        <v>0</v>
      </c>
    </row>
    <row r="250" spans="1:26">
      <c r="A250" t="s">
        <v>280</v>
      </c>
      <c r="B250" s="3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R250">
        <v>0</v>
      </c>
      <c r="T250">
        <v>1</v>
      </c>
      <c r="V250">
        <v>0</v>
      </c>
      <c r="X250">
        <v>0</v>
      </c>
      <c r="Z250">
        <v>0</v>
      </c>
    </row>
    <row r="251" spans="1:26">
      <c r="A251" t="s">
        <v>281</v>
      </c>
      <c r="B251" s="3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R251">
        <v>0</v>
      </c>
      <c r="T251">
        <v>1</v>
      </c>
      <c r="V251">
        <v>0</v>
      </c>
      <c r="X251">
        <v>0</v>
      </c>
      <c r="Z251">
        <v>0</v>
      </c>
    </row>
    <row r="252" spans="1:26">
      <c r="A252" t="s">
        <v>282</v>
      </c>
      <c r="B252" s="3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R252">
        <v>1</v>
      </c>
      <c r="T252">
        <v>1</v>
      </c>
      <c r="V252">
        <v>1</v>
      </c>
      <c r="X252">
        <v>1</v>
      </c>
      <c r="Z252">
        <v>0</v>
      </c>
    </row>
    <row r="253" spans="1:26">
      <c r="A253" t="s">
        <v>283</v>
      </c>
      <c r="B253" s="3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R253">
        <v>0</v>
      </c>
      <c r="T253">
        <v>1</v>
      </c>
      <c r="V253">
        <v>0</v>
      </c>
      <c r="X253">
        <v>0</v>
      </c>
      <c r="Z253">
        <v>0</v>
      </c>
    </row>
    <row r="254" spans="1:26">
      <c r="A254" t="s">
        <v>284</v>
      </c>
      <c r="B254" s="3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R254">
        <v>0</v>
      </c>
      <c r="T254">
        <v>1</v>
      </c>
      <c r="V254">
        <v>1</v>
      </c>
      <c r="X254">
        <v>1</v>
      </c>
      <c r="Z254">
        <v>0</v>
      </c>
    </row>
    <row r="255" spans="1:26">
      <c r="A255" t="s">
        <v>285</v>
      </c>
      <c r="B255" s="3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R255">
        <v>0</v>
      </c>
      <c r="T255">
        <v>0</v>
      </c>
      <c r="V255">
        <v>0</v>
      </c>
      <c r="X255">
        <v>0</v>
      </c>
      <c r="Z255">
        <v>1</v>
      </c>
    </row>
    <row r="256" spans="1:26">
      <c r="A256" t="s">
        <v>286</v>
      </c>
      <c r="B256" s="3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R256">
        <v>0</v>
      </c>
      <c r="T256">
        <v>0</v>
      </c>
      <c r="V256">
        <v>0</v>
      </c>
      <c r="X256">
        <v>0</v>
      </c>
      <c r="Z256">
        <v>0</v>
      </c>
    </row>
    <row r="257" spans="1:26">
      <c r="A257" t="s">
        <v>287</v>
      </c>
      <c r="B257" s="3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R257">
        <v>0</v>
      </c>
      <c r="T257">
        <v>1</v>
      </c>
      <c r="V257">
        <v>0</v>
      </c>
      <c r="X257">
        <v>0</v>
      </c>
      <c r="Z257">
        <v>0</v>
      </c>
    </row>
    <row r="258" spans="1:26">
      <c r="A258" t="s">
        <v>288</v>
      </c>
      <c r="B258" s="3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R258">
        <v>0</v>
      </c>
      <c r="T258">
        <v>1</v>
      </c>
      <c r="V258">
        <v>0</v>
      </c>
      <c r="X258">
        <v>0</v>
      </c>
      <c r="Z258">
        <v>0</v>
      </c>
    </row>
    <row r="259" spans="1:26">
      <c r="A259" t="s">
        <v>289</v>
      </c>
      <c r="B259" s="3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R259">
        <v>0</v>
      </c>
      <c r="T259">
        <v>0</v>
      </c>
      <c r="V259">
        <v>0</v>
      </c>
      <c r="X259">
        <v>0</v>
      </c>
      <c r="Z259">
        <v>0</v>
      </c>
    </row>
    <row r="260" spans="1:26">
      <c r="A260" t="s">
        <v>290</v>
      </c>
      <c r="B260" s="3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R260">
        <v>0</v>
      </c>
      <c r="T260">
        <v>1</v>
      </c>
      <c r="V260">
        <v>0</v>
      </c>
      <c r="X260">
        <v>0</v>
      </c>
      <c r="Z260">
        <v>0</v>
      </c>
    </row>
    <row r="261" spans="1:26">
      <c r="A261" t="s">
        <v>291</v>
      </c>
      <c r="B261" s="3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R261">
        <v>0</v>
      </c>
      <c r="T261">
        <v>1</v>
      </c>
      <c r="V261">
        <v>0</v>
      </c>
      <c r="X261">
        <v>0</v>
      </c>
      <c r="Z261">
        <v>1</v>
      </c>
    </row>
    <row r="262" spans="1:26">
      <c r="A262" t="s">
        <v>292</v>
      </c>
      <c r="B262" s="3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R262">
        <v>0</v>
      </c>
      <c r="T262">
        <v>0</v>
      </c>
      <c r="V262">
        <v>0</v>
      </c>
      <c r="X262">
        <v>0</v>
      </c>
      <c r="Z262">
        <v>0</v>
      </c>
    </row>
    <row r="263" spans="1:26">
      <c r="A263" t="s">
        <v>293</v>
      </c>
      <c r="B263" s="3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R263">
        <v>0</v>
      </c>
      <c r="T263">
        <v>1</v>
      </c>
      <c r="V263">
        <v>1</v>
      </c>
      <c r="X263">
        <v>1</v>
      </c>
      <c r="Z263">
        <v>0</v>
      </c>
    </row>
    <row r="264" spans="1:26">
      <c r="A264" t="s">
        <v>294</v>
      </c>
      <c r="B264" s="3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R264">
        <v>0</v>
      </c>
      <c r="T264">
        <v>1</v>
      </c>
      <c r="V264">
        <v>0</v>
      </c>
      <c r="X264">
        <v>0</v>
      </c>
      <c r="Z264">
        <v>0</v>
      </c>
    </row>
    <row r="265" spans="1:26">
      <c r="A265" t="s">
        <v>295</v>
      </c>
      <c r="B265" s="3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R265">
        <v>0</v>
      </c>
      <c r="T265">
        <v>1</v>
      </c>
      <c r="V265">
        <v>1</v>
      </c>
      <c r="X265">
        <v>0</v>
      </c>
      <c r="Z265">
        <v>0</v>
      </c>
    </row>
    <row r="266" spans="1:26">
      <c r="A266" t="s">
        <v>296</v>
      </c>
      <c r="B266" s="3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R266">
        <v>0</v>
      </c>
      <c r="T266">
        <v>0</v>
      </c>
      <c r="V266">
        <v>0</v>
      </c>
      <c r="X266">
        <v>0</v>
      </c>
      <c r="Z266">
        <v>0</v>
      </c>
    </row>
    <row r="267" spans="1:26">
      <c r="A267" t="s">
        <v>297</v>
      </c>
      <c r="B267" s="3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R267">
        <v>0</v>
      </c>
      <c r="T267">
        <v>1</v>
      </c>
      <c r="V267">
        <v>0</v>
      </c>
      <c r="X267">
        <v>0</v>
      </c>
      <c r="Z267">
        <v>0</v>
      </c>
    </row>
    <row r="268" spans="1:26">
      <c r="A268" t="s">
        <v>298</v>
      </c>
      <c r="B268" s="3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R268">
        <v>0</v>
      </c>
      <c r="T268">
        <v>0</v>
      </c>
      <c r="V268">
        <v>0</v>
      </c>
      <c r="X268">
        <v>0</v>
      </c>
      <c r="Z268">
        <v>0</v>
      </c>
    </row>
    <row r="269" spans="1:26">
      <c r="A269" t="s">
        <v>299</v>
      </c>
      <c r="B269" s="3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R269">
        <v>0</v>
      </c>
      <c r="T269">
        <v>0</v>
      </c>
      <c r="V269">
        <v>0</v>
      </c>
      <c r="X269">
        <v>0</v>
      </c>
      <c r="Z269">
        <v>0</v>
      </c>
    </row>
    <row r="270" spans="1:26">
      <c r="A270" t="s">
        <v>300</v>
      </c>
      <c r="B270" s="3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R270">
        <v>0</v>
      </c>
      <c r="T270">
        <v>0</v>
      </c>
      <c r="V270">
        <v>0</v>
      </c>
      <c r="X270">
        <v>0</v>
      </c>
      <c r="Z270">
        <v>0</v>
      </c>
    </row>
    <row r="271" spans="1:26">
      <c r="A271" t="s">
        <v>301</v>
      </c>
      <c r="B271" s="3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R271">
        <v>0</v>
      </c>
      <c r="T271">
        <v>1</v>
      </c>
      <c r="V271">
        <v>0</v>
      </c>
      <c r="X271">
        <v>0</v>
      </c>
      <c r="Z271">
        <v>0</v>
      </c>
    </row>
    <row r="272" spans="1:26">
      <c r="A272" t="s">
        <v>302</v>
      </c>
      <c r="B272" s="3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R272">
        <v>0</v>
      </c>
      <c r="T272">
        <v>1</v>
      </c>
      <c r="V272">
        <v>0</v>
      </c>
      <c r="X272">
        <v>0</v>
      </c>
      <c r="Z272">
        <v>0</v>
      </c>
    </row>
    <row r="273" spans="1:26">
      <c r="A273" t="s">
        <v>303</v>
      </c>
      <c r="B273" s="3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R273">
        <v>0</v>
      </c>
      <c r="T273">
        <v>1</v>
      </c>
      <c r="V273">
        <v>0</v>
      </c>
      <c r="X273">
        <v>0</v>
      </c>
      <c r="Z273">
        <v>0</v>
      </c>
    </row>
    <row r="274" spans="1:26">
      <c r="A274" t="s">
        <v>304</v>
      </c>
      <c r="B274" s="3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R274">
        <v>0</v>
      </c>
      <c r="T274">
        <v>1</v>
      </c>
      <c r="V274">
        <v>1</v>
      </c>
      <c r="X274">
        <v>1</v>
      </c>
      <c r="Z274">
        <v>0</v>
      </c>
    </row>
    <row r="275" spans="1:26">
      <c r="A275" t="s">
        <v>305</v>
      </c>
      <c r="B275" s="3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R275">
        <v>0</v>
      </c>
      <c r="T275">
        <v>0</v>
      </c>
      <c r="V275">
        <v>0</v>
      </c>
      <c r="X275">
        <v>0</v>
      </c>
      <c r="Z275">
        <v>0</v>
      </c>
    </row>
    <row r="276" spans="1:26">
      <c r="A276" t="s">
        <v>306</v>
      </c>
      <c r="B276" s="3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R276">
        <v>0</v>
      </c>
      <c r="T276">
        <v>0</v>
      </c>
      <c r="V276">
        <v>0</v>
      </c>
      <c r="X276">
        <v>0</v>
      </c>
      <c r="Z276">
        <v>2</v>
      </c>
    </row>
    <row r="277" spans="1:26">
      <c r="A277" t="s">
        <v>307</v>
      </c>
      <c r="B277" s="3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R277">
        <v>0</v>
      </c>
      <c r="T277">
        <v>0</v>
      </c>
      <c r="V277">
        <v>0</v>
      </c>
      <c r="X277">
        <v>0</v>
      </c>
      <c r="Z277">
        <v>0</v>
      </c>
    </row>
    <row r="278" spans="1:26">
      <c r="A278" t="s">
        <v>308</v>
      </c>
      <c r="B278" s="3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R278">
        <v>0</v>
      </c>
      <c r="T278">
        <v>1</v>
      </c>
      <c r="V278">
        <v>1</v>
      </c>
      <c r="X278">
        <v>0</v>
      </c>
      <c r="Z278">
        <v>0</v>
      </c>
    </row>
    <row r="279" spans="1:26">
      <c r="A279" t="s">
        <v>309</v>
      </c>
      <c r="B279" s="3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R279">
        <v>0</v>
      </c>
      <c r="T279">
        <v>1</v>
      </c>
      <c r="V279">
        <v>1</v>
      </c>
      <c r="X279">
        <v>0</v>
      </c>
      <c r="Z279">
        <v>0</v>
      </c>
    </row>
    <row r="280" spans="1:26">
      <c r="A280" t="s">
        <v>310</v>
      </c>
      <c r="B280" s="3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R280">
        <v>0</v>
      </c>
      <c r="T280">
        <v>1</v>
      </c>
      <c r="V280">
        <v>0</v>
      </c>
      <c r="X280">
        <v>0</v>
      </c>
      <c r="Z280">
        <v>1</v>
      </c>
    </row>
    <row r="281" spans="1:26">
      <c r="A281" t="s">
        <v>311</v>
      </c>
      <c r="B281" s="3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R281">
        <v>0</v>
      </c>
      <c r="T281">
        <v>0</v>
      </c>
      <c r="V281">
        <v>0</v>
      </c>
      <c r="X281">
        <v>0</v>
      </c>
      <c r="Z281">
        <v>0</v>
      </c>
    </row>
    <row r="282" spans="1:26">
      <c r="A282" t="s">
        <v>312</v>
      </c>
      <c r="B282" s="3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R282">
        <v>0</v>
      </c>
      <c r="T282">
        <v>1</v>
      </c>
      <c r="V282">
        <v>0</v>
      </c>
      <c r="X282">
        <v>0</v>
      </c>
      <c r="Z282">
        <v>0</v>
      </c>
    </row>
    <row r="283" spans="1:26">
      <c r="A283" t="s">
        <v>313</v>
      </c>
      <c r="B283" s="3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R283">
        <v>0</v>
      </c>
      <c r="T283">
        <v>1</v>
      </c>
      <c r="V283">
        <v>0</v>
      </c>
      <c r="X283">
        <v>0</v>
      </c>
      <c r="Z283">
        <v>1</v>
      </c>
    </row>
    <row r="284" spans="1:26">
      <c r="A284" t="s">
        <v>314</v>
      </c>
      <c r="B284" s="3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R284">
        <v>0</v>
      </c>
      <c r="T284">
        <v>1</v>
      </c>
      <c r="V284">
        <v>0</v>
      </c>
      <c r="X284">
        <v>0</v>
      </c>
      <c r="Z284">
        <v>1</v>
      </c>
    </row>
    <row r="285" spans="1:26">
      <c r="A285" t="s">
        <v>315</v>
      </c>
      <c r="B285" s="3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R285">
        <v>0</v>
      </c>
      <c r="T285">
        <v>1</v>
      </c>
      <c r="V285">
        <v>0</v>
      </c>
      <c r="X285">
        <v>0</v>
      </c>
      <c r="Z285">
        <v>0</v>
      </c>
    </row>
    <row r="286" spans="1:26">
      <c r="A286" t="s">
        <v>316</v>
      </c>
      <c r="B286" s="3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R286">
        <v>0</v>
      </c>
      <c r="T286">
        <v>1</v>
      </c>
      <c r="V286">
        <v>0</v>
      </c>
      <c r="X286">
        <v>0</v>
      </c>
      <c r="Z286">
        <v>0</v>
      </c>
    </row>
    <row r="287" spans="1:26">
      <c r="A287" t="s">
        <v>317</v>
      </c>
      <c r="B287" s="3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R287">
        <v>0</v>
      </c>
      <c r="T287">
        <v>1</v>
      </c>
      <c r="V287">
        <v>1</v>
      </c>
      <c r="X287">
        <v>0</v>
      </c>
      <c r="Z287">
        <v>0</v>
      </c>
    </row>
    <row r="288" spans="1:26">
      <c r="A288" t="s">
        <v>318</v>
      </c>
      <c r="B288" s="3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R288">
        <v>0</v>
      </c>
      <c r="T288">
        <v>1</v>
      </c>
      <c r="V288">
        <v>0</v>
      </c>
      <c r="X288">
        <v>0</v>
      </c>
      <c r="Z288">
        <v>0</v>
      </c>
    </row>
    <row r="289" spans="1:26">
      <c r="A289" t="s">
        <v>319</v>
      </c>
      <c r="B289" s="3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R289">
        <v>0</v>
      </c>
      <c r="T289">
        <v>1</v>
      </c>
      <c r="V289">
        <v>0</v>
      </c>
      <c r="X289">
        <v>0</v>
      </c>
      <c r="Z289">
        <v>0</v>
      </c>
    </row>
    <row r="290" spans="1:26">
      <c r="A290" t="s">
        <v>320</v>
      </c>
      <c r="B290" s="3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R290">
        <v>0</v>
      </c>
      <c r="T290">
        <v>1</v>
      </c>
      <c r="V290">
        <v>0</v>
      </c>
      <c r="X290">
        <v>0</v>
      </c>
      <c r="Z290">
        <v>0</v>
      </c>
    </row>
    <row r="291" spans="1:26">
      <c r="A291" t="s">
        <v>321</v>
      </c>
      <c r="B291" s="3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R291">
        <v>0</v>
      </c>
      <c r="T291">
        <v>0</v>
      </c>
      <c r="V291">
        <v>0</v>
      </c>
      <c r="X291">
        <v>0</v>
      </c>
      <c r="Z291">
        <v>2</v>
      </c>
    </row>
    <row r="292" spans="1:26">
      <c r="A292" t="s">
        <v>322</v>
      </c>
      <c r="B292" s="3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R292">
        <v>0</v>
      </c>
      <c r="T292">
        <v>1</v>
      </c>
      <c r="V292">
        <v>0</v>
      </c>
      <c r="X292">
        <v>0</v>
      </c>
      <c r="Z292">
        <v>0</v>
      </c>
    </row>
    <row r="293" spans="1:26">
      <c r="A293" t="s">
        <v>323</v>
      </c>
      <c r="B293" s="3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R293">
        <v>0</v>
      </c>
      <c r="T293">
        <v>0</v>
      </c>
      <c r="V293">
        <v>0</v>
      </c>
      <c r="X293">
        <v>0</v>
      </c>
      <c r="Z293">
        <v>0</v>
      </c>
    </row>
    <row r="294" spans="1:26">
      <c r="A294" t="s">
        <v>324</v>
      </c>
      <c r="B294" s="3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R294">
        <v>0</v>
      </c>
      <c r="T294">
        <v>0</v>
      </c>
      <c r="V294">
        <v>0</v>
      </c>
      <c r="X294">
        <v>0</v>
      </c>
      <c r="Z294">
        <v>0</v>
      </c>
    </row>
    <row r="295" spans="1:26">
      <c r="A295" t="s">
        <v>325</v>
      </c>
      <c r="B295" s="3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R295">
        <v>0</v>
      </c>
      <c r="T295">
        <v>1</v>
      </c>
      <c r="V295">
        <v>0</v>
      </c>
      <c r="X295">
        <v>0</v>
      </c>
      <c r="Z295">
        <v>0</v>
      </c>
    </row>
    <row r="296" spans="1:26">
      <c r="A296" t="s">
        <v>326</v>
      </c>
      <c r="B296" s="3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R296">
        <v>0</v>
      </c>
      <c r="T296">
        <v>0</v>
      </c>
      <c r="V296">
        <v>0</v>
      </c>
      <c r="X296">
        <v>0</v>
      </c>
      <c r="Z296">
        <v>0</v>
      </c>
    </row>
    <row r="297" spans="1:26">
      <c r="A297" t="s">
        <v>327</v>
      </c>
      <c r="B297" s="3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R297">
        <v>0</v>
      </c>
      <c r="T297">
        <v>0</v>
      </c>
      <c r="V297">
        <v>0</v>
      </c>
      <c r="X297">
        <v>0</v>
      </c>
      <c r="Z297">
        <v>0</v>
      </c>
    </row>
    <row r="298" spans="1:26">
      <c r="A298" t="s">
        <v>328</v>
      </c>
      <c r="B298" s="3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R298">
        <v>0</v>
      </c>
      <c r="T298">
        <v>1</v>
      </c>
      <c r="V298">
        <v>1</v>
      </c>
      <c r="X298">
        <v>0</v>
      </c>
      <c r="Z298">
        <v>1</v>
      </c>
    </row>
    <row r="299" spans="1:26">
      <c r="A299" t="s">
        <v>329</v>
      </c>
      <c r="B299" s="3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R299">
        <v>0</v>
      </c>
      <c r="T299">
        <v>0</v>
      </c>
      <c r="V299">
        <v>0</v>
      </c>
      <c r="X299">
        <v>0</v>
      </c>
      <c r="Z299">
        <v>0</v>
      </c>
    </row>
    <row r="300" spans="1:26">
      <c r="A300" t="s">
        <v>330</v>
      </c>
      <c r="B300" s="3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R300">
        <v>0</v>
      </c>
      <c r="T300">
        <v>0</v>
      </c>
      <c r="V300">
        <v>0</v>
      </c>
      <c r="X300">
        <v>0</v>
      </c>
      <c r="Z300">
        <v>0</v>
      </c>
    </row>
    <row r="301" spans="1:26">
      <c r="A301" t="s">
        <v>331</v>
      </c>
      <c r="B301" s="3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R301">
        <v>1</v>
      </c>
      <c r="T301">
        <v>1</v>
      </c>
      <c r="V301">
        <v>1</v>
      </c>
      <c r="X301">
        <v>1</v>
      </c>
      <c r="Z301">
        <v>1</v>
      </c>
    </row>
    <row r="302" spans="1:26">
      <c r="A302" t="s">
        <v>332</v>
      </c>
      <c r="B302" s="3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R302">
        <v>0</v>
      </c>
      <c r="T302">
        <v>1</v>
      </c>
      <c r="V302">
        <v>1</v>
      </c>
      <c r="X302">
        <v>1</v>
      </c>
      <c r="Z302">
        <v>1</v>
      </c>
    </row>
    <row r="303" spans="1:26">
      <c r="A303" t="s">
        <v>333</v>
      </c>
      <c r="B303" s="3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R303">
        <v>0</v>
      </c>
      <c r="T303">
        <v>1</v>
      </c>
      <c r="V303">
        <v>0</v>
      </c>
      <c r="X303">
        <v>0</v>
      </c>
      <c r="Z303">
        <v>0</v>
      </c>
    </row>
    <row r="304" spans="1:26">
      <c r="A304" t="s">
        <v>334</v>
      </c>
      <c r="B304" s="3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R304">
        <v>1</v>
      </c>
      <c r="T304">
        <v>1</v>
      </c>
      <c r="V304">
        <v>1</v>
      </c>
      <c r="X304">
        <v>1</v>
      </c>
      <c r="Z304">
        <v>0</v>
      </c>
    </row>
    <row r="305" spans="1:26">
      <c r="A305" t="s">
        <v>335</v>
      </c>
      <c r="B305" s="3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R305">
        <v>0</v>
      </c>
      <c r="T305">
        <v>0</v>
      </c>
      <c r="V305">
        <v>0</v>
      </c>
      <c r="X305">
        <v>0</v>
      </c>
      <c r="Z305">
        <v>0</v>
      </c>
    </row>
    <row r="306" spans="1:26">
      <c r="A306" t="s">
        <v>336</v>
      </c>
      <c r="B306" s="3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R306">
        <v>0</v>
      </c>
      <c r="T306">
        <v>1</v>
      </c>
      <c r="V306">
        <v>1</v>
      </c>
      <c r="X306">
        <v>1</v>
      </c>
      <c r="Z306">
        <v>2</v>
      </c>
    </row>
    <row r="307" spans="1:26">
      <c r="A307" t="s">
        <v>337</v>
      </c>
      <c r="B307" s="3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R307">
        <v>0</v>
      </c>
      <c r="T307">
        <v>0</v>
      </c>
      <c r="V307">
        <v>0</v>
      </c>
      <c r="X307">
        <v>0</v>
      </c>
      <c r="Z307">
        <v>0</v>
      </c>
    </row>
    <row r="308" spans="1:26">
      <c r="A308" t="s">
        <v>338</v>
      </c>
      <c r="B308" s="3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R308">
        <v>0</v>
      </c>
      <c r="T308">
        <v>1</v>
      </c>
      <c r="V308">
        <v>0</v>
      </c>
      <c r="X308">
        <v>0</v>
      </c>
      <c r="Z308">
        <v>0</v>
      </c>
    </row>
    <row r="309" spans="1:26">
      <c r="A309" t="s">
        <v>339</v>
      </c>
      <c r="B309" s="3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R309">
        <v>1</v>
      </c>
      <c r="T309">
        <v>1</v>
      </c>
      <c r="V309">
        <v>1</v>
      </c>
      <c r="X309">
        <v>1</v>
      </c>
      <c r="Z309">
        <v>0</v>
      </c>
    </row>
    <row r="310" spans="1:26">
      <c r="A310" t="s">
        <v>340</v>
      </c>
      <c r="B310" s="3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R310">
        <v>0</v>
      </c>
      <c r="T310">
        <v>0</v>
      </c>
      <c r="V310">
        <v>0</v>
      </c>
      <c r="X310">
        <v>0</v>
      </c>
      <c r="Z310">
        <v>0</v>
      </c>
    </row>
    <row r="311" spans="1:26">
      <c r="A311" t="s">
        <v>341</v>
      </c>
      <c r="B311" s="3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R311">
        <v>0</v>
      </c>
      <c r="T311">
        <v>1</v>
      </c>
      <c r="V311">
        <v>0</v>
      </c>
      <c r="X311">
        <v>0</v>
      </c>
      <c r="Z311">
        <v>0</v>
      </c>
    </row>
    <row r="312" spans="1:26">
      <c r="A312" t="s">
        <v>342</v>
      </c>
      <c r="B312" s="3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R312">
        <v>0</v>
      </c>
      <c r="T312">
        <v>0</v>
      </c>
      <c r="V312">
        <v>0</v>
      </c>
      <c r="X312">
        <v>0</v>
      </c>
      <c r="Z312">
        <v>0</v>
      </c>
    </row>
    <row r="313" spans="1:26">
      <c r="A313" t="s">
        <v>343</v>
      </c>
      <c r="B313" s="3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R313">
        <v>0</v>
      </c>
      <c r="T313">
        <v>1</v>
      </c>
      <c r="V313">
        <v>0</v>
      </c>
      <c r="X313">
        <v>0</v>
      </c>
      <c r="Z313">
        <v>0</v>
      </c>
    </row>
    <row r="314" spans="1:26">
      <c r="A314" t="s">
        <v>344</v>
      </c>
      <c r="B314" s="3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R314">
        <v>0</v>
      </c>
      <c r="T314">
        <v>1</v>
      </c>
      <c r="V314">
        <v>0</v>
      </c>
      <c r="X314">
        <v>0</v>
      </c>
      <c r="Z314">
        <v>0</v>
      </c>
    </row>
    <row r="315" spans="1:26">
      <c r="A315" t="s">
        <v>345</v>
      </c>
      <c r="B315" s="3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R315">
        <v>0</v>
      </c>
      <c r="T315">
        <v>0</v>
      </c>
      <c r="V315">
        <v>0</v>
      </c>
      <c r="X315">
        <v>0</v>
      </c>
      <c r="Z315">
        <v>0</v>
      </c>
    </row>
    <row r="316" spans="1:26">
      <c r="A316" t="s">
        <v>346</v>
      </c>
      <c r="B316" s="3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R316">
        <v>0</v>
      </c>
      <c r="T316">
        <v>1</v>
      </c>
      <c r="V316">
        <v>1</v>
      </c>
      <c r="X316">
        <v>1</v>
      </c>
      <c r="Z316">
        <v>0</v>
      </c>
    </row>
    <row r="317" spans="1:26">
      <c r="A317" t="s">
        <v>347</v>
      </c>
      <c r="B317" s="3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R317">
        <v>0</v>
      </c>
      <c r="T317">
        <v>0</v>
      </c>
      <c r="V317">
        <v>0</v>
      </c>
      <c r="X317">
        <v>0</v>
      </c>
      <c r="Z317">
        <v>0</v>
      </c>
    </row>
    <row r="318" spans="1:26">
      <c r="A318" t="s">
        <v>348</v>
      </c>
      <c r="B318" s="3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R318">
        <v>0</v>
      </c>
      <c r="T318">
        <v>0</v>
      </c>
      <c r="V318">
        <v>0</v>
      </c>
      <c r="X318">
        <v>0</v>
      </c>
      <c r="Z318">
        <v>0</v>
      </c>
    </row>
    <row r="319" spans="1:26">
      <c r="A319" t="s">
        <v>349</v>
      </c>
      <c r="B319" s="3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R319">
        <v>0</v>
      </c>
      <c r="T319">
        <v>1</v>
      </c>
      <c r="V319">
        <v>0</v>
      </c>
      <c r="X319">
        <v>0</v>
      </c>
      <c r="Z319">
        <v>0</v>
      </c>
    </row>
    <row r="320" spans="1:26">
      <c r="A320" t="s">
        <v>350</v>
      </c>
      <c r="B320" s="3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R320">
        <v>0</v>
      </c>
      <c r="T320">
        <v>1</v>
      </c>
      <c r="V320">
        <v>0</v>
      </c>
      <c r="X320">
        <v>0</v>
      </c>
      <c r="Z320">
        <v>0</v>
      </c>
    </row>
    <row r="321" spans="1:26">
      <c r="A321" t="s">
        <v>351</v>
      </c>
      <c r="B321" s="3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R321">
        <v>0</v>
      </c>
      <c r="T321">
        <v>1</v>
      </c>
      <c r="V321">
        <v>0</v>
      </c>
      <c r="X321">
        <v>0</v>
      </c>
      <c r="Z321">
        <v>0</v>
      </c>
    </row>
    <row r="322" spans="1:26">
      <c r="A322" t="s">
        <v>352</v>
      </c>
      <c r="B322" s="3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R322">
        <v>0</v>
      </c>
      <c r="T322">
        <v>0</v>
      </c>
      <c r="V322">
        <v>0</v>
      </c>
      <c r="X322">
        <v>0</v>
      </c>
      <c r="Z322">
        <v>0</v>
      </c>
    </row>
    <row r="323" spans="1:26">
      <c r="A323" t="s">
        <v>353</v>
      </c>
      <c r="B323" s="3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R323">
        <v>0</v>
      </c>
      <c r="T323">
        <v>1</v>
      </c>
      <c r="V323">
        <v>0</v>
      </c>
      <c r="X323">
        <v>0</v>
      </c>
      <c r="Z323">
        <v>2</v>
      </c>
    </row>
    <row r="324" spans="1:26">
      <c r="A324" t="s">
        <v>354</v>
      </c>
      <c r="B324" s="3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R324">
        <v>0</v>
      </c>
      <c r="T324">
        <v>1</v>
      </c>
      <c r="V324">
        <v>1</v>
      </c>
      <c r="X324">
        <v>0</v>
      </c>
      <c r="Z324">
        <v>0</v>
      </c>
    </row>
    <row r="325" spans="1:26">
      <c r="A325" t="s">
        <v>355</v>
      </c>
      <c r="B325" s="3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R325">
        <v>0</v>
      </c>
      <c r="T325">
        <v>1</v>
      </c>
      <c r="V325">
        <v>1</v>
      </c>
      <c r="X325">
        <v>1</v>
      </c>
      <c r="Z325">
        <v>0</v>
      </c>
    </row>
    <row r="326" spans="1:26">
      <c r="A326" t="s">
        <v>356</v>
      </c>
      <c r="B326" s="3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R326">
        <v>0</v>
      </c>
      <c r="T326">
        <v>1</v>
      </c>
      <c r="V326">
        <v>0</v>
      </c>
      <c r="X326">
        <v>0</v>
      </c>
      <c r="Z326">
        <v>0</v>
      </c>
    </row>
    <row r="327" spans="1:26">
      <c r="A327" t="s">
        <v>357</v>
      </c>
      <c r="B327" s="3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R327">
        <v>0</v>
      </c>
      <c r="T327">
        <v>1</v>
      </c>
      <c r="V327">
        <v>1</v>
      </c>
      <c r="X327">
        <v>1</v>
      </c>
      <c r="Z327">
        <v>0</v>
      </c>
    </row>
    <row r="328" spans="1:26">
      <c r="A328" t="s">
        <v>358</v>
      </c>
      <c r="B328" s="3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R328">
        <v>0</v>
      </c>
      <c r="T328">
        <v>0</v>
      </c>
      <c r="V328">
        <v>0</v>
      </c>
      <c r="X328">
        <v>0</v>
      </c>
      <c r="Z328">
        <v>0</v>
      </c>
    </row>
    <row r="329" spans="1:26">
      <c r="A329" t="s">
        <v>359</v>
      </c>
      <c r="B329" s="3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R329">
        <v>0</v>
      </c>
      <c r="T329">
        <v>1</v>
      </c>
      <c r="V329">
        <v>0</v>
      </c>
      <c r="X329">
        <v>0</v>
      </c>
      <c r="Z329">
        <v>0</v>
      </c>
    </row>
    <row r="330" spans="1:26">
      <c r="A330" t="s">
        <v>360</v>
      </c>
      <c r="B330" s="3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R330">
        <v>0</v>
      </c>
      <c r="T330">
        <v>1</v>
      </c>
      <c r="V330">
        <v>0</v>
      </c>
      <c r="X330">
        <v>0</v>
      </c>
      <c r="Z330">
        <v>0</v>
      </c>
    </row>
    <row r="331" spans="1:26">
      <c r="A331" t="s">
        <v>361</v>
      </c>
      <c r="B331" s="3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R331">
        <v>0</v>
      </c>
      <c r="T331">
        <v>0</v>
      </c>
      <c r="V331">
        <v>0</v>
      </c>
      <c r="X331">
        <v>0</v>
      </c>
      <c r="Z331">
        <v>0</v>
      </c>
    </row>
    <row r="332" spans="1:26">
      <c r="A332" t="s">
        <v>362</v>
      </c>
      <c r="B332" s="3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R332">
        <v>1</v>
      </c>
      <c r="T332">
        <v>1</v>
      </c>
      <c r="V332">
        <v>1</v>
      </c>
      <c r="X332">
        <v>1</v>
      </c>
      <c r="Z332">
        <v>1</v>
      </c>
    </row>
    <row r="333" spans="1:26">
      <c r="A333" t="s">
        <v>363</v>
      </c>
      <c r="B333" s="3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R333">
        <v>0</v>
      </c>
      <c r="T333">
        <v>1</v>
      </c>
      <c r="V333">
        <v>0</v>
      </c>
      <c r="X333">
        <v>0</v>
      </c>
      <c r="Z333">
        <v>0</v>
      </c>
    </row>
    <row r="334" spans="1:26">
      <c r="A334" t="s">
        <v>364</v>
      </c>
      <c r="B334" s="3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R334">
        <v>0</v>
      </c>
      <c r="T334">
        <v>0</v>
      </c>
      <c r="V334">
        <v>0</v>
      </c>
      <c r="X334">
        <v>0</v>
      </c>
      <c r="Z334">
        <v>0</v>
      </c>
    </row>
    <row r="335" spans="1:26">
      <c r="A335" t="s">
        <v>365</v>
      </c>
      <c r="B335" s="3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R335">
        <v>0</v>
      </c>
      <c r="T335">
        <v>1</v>
      </c>
      <c r="V335">
        <v>0</v>
      </c>
      <c r="X335">
        <v>0</v>
      </c>
      <c r="Z335">
        <v>0</v>
      </c>
    </row>
    <row r="336" spans="1:26">
      <c r="A336" t="s">
        <v>366</v>
      </c>
      <c r="B336" s="3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R336">
        <v>1</v>
      </c>
      <c r="T336">
        <v>1</v>
      </c>
      <c r="V336">
        <v>1</v>
      </c>
      <c r="X336">
        <v>1</v>
      </c>
      <c r="Z336">
        <v>0</v>
      </c>
    </row>
    <row r="337" spans="1:26">
      <c r="A337" t="s">
        <v>367</v>
      </c>
      <c r="B337" s="3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R337">
        <v>1</v>
      </c>
      <c r="T337">
        <v>1</v>
      </c>
      <c r="V337">
        <v>1</v>
      </c>
      <c r="X337">
        <v>1</v>
      </c>
      <c r="Z337">
        <v>0</v>
      </c>
    </row>
    <row r="338" spans="1:26">
      <c r="A338" t="s">
        <v>368</v>
      </c>
      <c r="B338" s="3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R338">
        <v>0</v>
      </c>
      <c r="T338">
        <v>0</v>
      </c>
      <c r="V338">
        <v>0</v>
      </c>
      <c r="X338">
        <v>0</v>
      </c>
      <c r="Z338">
        <v>0</v>
      </c>
    </row>
    <row r="339" spans="1:26">
      <c r="A339" t="s">
        <v>369</v>
      </c>
      <c r="B339" s="3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R339">
        <v>0</v>
      </c>
      <c r="T339">
        <v>1</v>
      </c>
      <c r="V339">
        <v>1</v>
      </c>
      <c r="X339">
        <v>1</v>
      </c>
      <c r="Z339">
        <v>0</v>
      </c>
    </row>
    <row r="340" spans="1:26">
      <c r="A340" t="s">
        <v>370</v>
      </c>
      <c r="B340" s="3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R340">
        <v>0</v>
      </c>
      <c r="T340">
        <v>1</v>
      </c>
      <c r="V340">
        <v>0</v>
      </c>
      <c r="X340">
        <v>0</v>
      </c>
      <c r="Z340">
        <v>0</v>
      </c>
    </row>
    <row r="341" spans="1:26">
      <c r="A341" t="s">
        <v>371</v>
      </c>
      <c r="B341" s="3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R341">
        <v>0</v>
      </c>
      <c r="T341">
        <v>1</v>
      </c>
      <c r="V341">
        <v>1</v>
      </c>
      <c r="X341">
        <v>0</v>
      </c>
      <c r="Z341">
        <v>0</v>
      </c>
    </row>
    <row r="342" spans="1:26">
      <c r="A342" t="s">
        <v>372</v>
      </c>
      <c r="B342" s="3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R342">
        <v>0</v>
      </c>
      <c r="T342">
        <v>0</v>
      </c>
      <c r="V342">
        <v>0</v>
      </c>
      <c r="X342">
        <v>0</v>
      </c>
      <c r="Z342">
        <v>0</v>
      </c>
    </row>
    <row r="343" spans="1:26">
      <c r="A343" t="s">
        <v>373</v>
      </c>
      <c r="B343" s="3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R343">
        <v>0</v>
      </c>
      <c r="T343">
        <v>1</v>
      </c>
      <c r="V343">
        <v>0</v>
      </c>
      <c r="X343">
        <v>0</v>
      </c>
      <c r="Z343">
        <v>1</v>
      </c>
    </row>
    <row r="344" spans="1:26">
      <c r="A344" t="s">
        <v>374</v>
      </c>
      <c r="B344" s="3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R344">
        <v>0</v>
      </c>
      <c r="T344">
        <v>1</v>
      </c>
      <c r="V344">
        <v>0</v>
      </c>
      <c r="X344">
        <v>0</v>
      </c>
      <c r="Z344">
        <v>0</v>
      </c>
    </row>
    <row r="345" spans="1:26">
      <c r="A345" t="s">
        <v>375</v>
      </c>
      <c r="B345" s="3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R345">
        <v>0</v>
      </c>
      <c r="T345">
        <v>1</v>
      </c>
      <c r="V345">
        <v>0</v>
      </c>
      <c r="X345">
        <v>0</v>
      </c>
      <c r="Z345">
        <v>0</v>
      </c>
    </row>
    <row r="346" spans="1:26">
      <c r="A346" t="s">
        <v>376</v>
      </c>
      <c r="B346" s="3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R346">
        <v>0</v>
      </c>
      <c r="T346">
        <v>1</v>
      </c>
      <c r="V346">
        <v>1</v>
      </c>
      <c r="X346">
        <v>0</v>
      </c>
      <c r="Z346">
        <v>0</v>
      </c>
    </row>
    <row r="347" spans="1:26">
      <c r="A347" t="s">
        <v>377</v>
      </c>
      <c r="B347" s="3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R347">
        <v>0</v>
      </c>
      <c r="T347">
        <v>0</v>
      </c>
      <c r="V347">
        <v>0</v>
      </c>
      <c r="X347">
        <v>0</v>
      </c>
      <c r="Z347">
        <v>0</v>
      </c>
    </row>
    <row r="348" spans="1:26">
      <c r="A348" t="s">
        <v>378</v>
      </c>
      <c r="B348" s="3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R348">
        <v>0</v>
      </c>
      <c r="T348">
        <v>0</v>
      </c>
      <c r="V348">
        <v>0</v>
      </c>
      <c r="X348">
        <v>0</v>
      </c>
      <c r="Z348">
        <v>1</v>
      </c>
    </row>
    <row r="349" spans="1:26">
      <c r="A349" t="s">
        <v>379</v>
      </c>
      <c r="B349" s="3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R349">
        <v>0</v>
      </c>
      <c r="T349">
        <v>1</v>
      </c>
      <c r="V349">
        <v>0</v>
      </c>
      <c r="X349">
        <v>0</v>
      </c>
      <c r="Z349">
        <v>0</v>
      </c>
    </row>
    <row r="350" spans="1:26">
      <c r="A350" t="s">
        <v>380</v>
      </c>
      <c r="B350" s="3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R350">
        <v>0</v>
      </c>
      <c r="T350">
        <v>0</v>
      </c>
      <c r="V350">
        <v>0</v>
      </c>
      <c r="X350">
        <v>0</v>
      </c>
      <c r="Z350">
        <v>0</v>
      </c>
    </row>
    <row r="351" spans="1:26">
      <c r="A351" t="s">
        <v>381</v>
      </c>
      <c r="B351" s="3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R351">
        <v>0</v>
      </c>
      <c r="T351">
        <v>1</v>
      </c>
      <c r="V351">
        <v>0</v>
      </c>
      <c r="X351">
        <v>0</v>
      </c>
      <c r="Z351">
        <v>0</v>
      </c>
    </row>
    <row r="352" spans="1:26">
      <c r="A352" t="s">
        <v>382</v>
      </c>
      <c r="B352" s="3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R352">
        <v>0</v>
      </c>
      <c r="T352">
        <v>1</v>
      </c>
      <c r="V352">
        <v>0</v>
      </c>
      <c r="X352">
        <v>0</v>
      </c>
      <c r="Z352">
        <v>0</v>
      </c>
    </row>
    <row r="353" spans="1:26">
      <c r="A353" t="s">
        <v>383</v>
      </c>
      <c r="B353" s="3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R353">
        <v>0</v>
      </c>
      <c r="T353">
        <v>1</v>
      </c>
      <c r="V353">
        <v>1</v>
      </c>
      <c r="X353">
        <v>0</v>
      </c>
      <c r="Z353">
        <v>1</v>
      </c>
    </row>
    <row r="354" spans="1:26">
      <c r="A354" t="s">
        <v>384</v>
      </c>
      <c r="B354" s="3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R354">
        <v>0</v>
      </c>
      <c r="T354">
        <v>0</v>
      </c>
      <c r="V354">
        <v>0</v>
      </c>
      <c r="X354">
        <v>0</v>
      </c>
      <c r="Z354">
        <v>0</v>
      </c>
    </row>
    <row r="355" spans="1:26">
      <c r="A355" t="s">
        <v>385</v>
      </c>
      <c r="B355" s="3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R355">
        <v>0</v>
      </c>
      <c r="T355">
        <v>1</v>
      </c>
      <c r="V355">
        <v>1</v>
      </c>
      <c r="X355">
        <v>1</v>
      </c>
      <c r="Z355">
        <v>0</v>
      </c>
    </row>
    <row r="356" spans="1:26">
      <c r="A356" t="s">
        <v>386</v>
      </c>
      <c r="B356" s="3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R356">
        <v>0</v>
      </c>
      <c r="T356">
        <v>1</v>
      </c>
      <c r="V356">
        <v>1</v>
      </c>
      <c r="X356">
        <v>0</v>
      </c>
      <c r="Z356">
        <v>0</v>
      </c>
    </row>
    <row r="357" spans="1:26">
      <c r="A357" t="s">
        <v>387</v>
      </c>
      <c r="B357" s="3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R357">
        <v>0</v>
      </c>
      <c r="T357">
        <v>0</v>
      </c>
      <c r="V357">
        <v>0</v>
      </c>
      <c r="X357">
        <v>0</v>
      </c>
      <c r="Z357">
        <v>0</v>
      </c>
    </row>
    <row r="358" spans="1:26">
      <c r="A358" t="s">
        <v>388</v>
      </c>
      <c r="B358" s="3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R358">
        <v>0</v>
      </c>
      <c r="T358">
        <v>0</v>
      </c>
      <c r="V358">
        <v>0</v>
      </c>
      <c r="X358">
        <v>0</v>
      </c>
      <c r="Z358">
        <v>0</v>
      </c>
    </row>
    <row r="359" spans="1:26">
      <c r="A359" t="s">
        <v>389</v>
      </c>
      <c r="B359" s="3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R359">
        <v>0</v>
      </c>
      <c r="T359">
        <v>1</v>
      </c>
      <c r="V359">
        <v>1</v>
      </c>
      <c r="X359">
        <v>1</v>
      </c>
      <c r="Z359">
        <v>0</v>
      </c>
    </row>
    <row r="360" spans="1:26">
      <c r="A360" t="s">
        <v>390</v>
      </c>
      <c r="B360" s="3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R360">
        <v>0</v>
      </c>
      <c r="T360">
        <v>1</v>
      </c>
      <c r="V360">
        <v>1</v>
      </c>
      <c r="X360">
        <v>1</v>
      </c>
      <c r="Z360">
        <v>0</v>
      </c>
    </row>
    <row r="361" spans="1:26">
      <c r="A361" t="s">
        <v>391</v>
      </c>
      <c r="B361" s="3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R361">
        <v>0</v>
      </c>
      <c r="T361">
        <v>0</v>
      </c>
      <c r="V361">
        <v>0</v>
      </c>
      <c r="X361">
        <v>0</v>
      </c>
      <c r="Z361">
        <v>0</v>
      </c>
    </row>
    <row r="362" spans="1:26">
      <c r="A362" t="s">
        <v>392</v>
      </c>
      <c r="B362" s="3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R362">
        <v>0</v>
      </c>
      <c r="T362">
        <v>1</v>
      </c>
      <c r="V362">
        <v>1</v>
      </c>
      <c r="X362">
        <v>0</v>
      </c>
      <c r="Z362">
        <v>0</v>
      </c>
    </row>
    <row r="363" spans="1:26">
      <c r="A363" t="s">
        <v>393</v>
      </c>
      <c r="B363" s="3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R363">
        <v>0</v>
      </c>
      <c r="T363">
        <v>1</v>
      </c>
      <c r="V363">
        <v>1</v>
      </c>
      <c r="X363">
        <v>1</v>
      </c>
      <c r="Z363">
        <v>0</v>
      </c>
    </row>
    <row r="364" spans="1:26">
      <c r="A364" t="s">
        <v>394</v>
      </c>
      <c r="B364" s="3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R364">
        <v>0</v>
      </c>
      <c r="T364">
        <v>0</v>
      </c>
      <c r="V364">
        <v>0</v>
      </c>
      <c r="X364">
        <v>0</v>
      </c>
      <c r="Z364">
        <v>0</v>
      </c>
    </row>
    <row r="365" spans="1:26">
      <c r="A365" t="s">
        <v>395</v>
      </c>
      <c r="B365" s="3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R365">
        <v>0</v>
      </c>
      <c r="T365">
        <v>1</v>
      </c>
      <c r="V365">
        <v>1</v>
      </c>
      <c r="X365">
        <v>1</v>
      </c>
      <c r="Z365">
        <v>0</v>
      </c>
    </row>
    <row r="366" spans="1:26">
      <c r="A366" t="s">
        <v>396</v>
      </c>
      <c r="B366" s="3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R366">
        <v>0</v>
      </c>
      <c r="T366">
        <v>1</v>
      </c>
      <c r="V366">
        <v>0</v>
      </c>
      <c r="X366">
        <v>0</v>
      </c>
      <c r="Z366">
        <v>0</v>
      </c>
    </row>
    <row r="367" spans="1:26">
      <c r="A367" t="s">
        <v>397</v>
      </c>
      <c r="B367" s="3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R367">
        <v>0</v>
      </c>
      <c r="T367">
        <v>1</v>
      </c>
      <c r="V367">
        <v>0</v>
      </c>
      <c r="X367">
        <v>0</v>
      </c>
      <c r="Z367">
        <v>0</v>
      </c>
    </row>
    <row r="368" spans="1:26">
      <c r="A368" t="s">
        <v>398</v>
      </c>
      <c r="B368" s="3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R368">
        <v>0</v>
      </c>
      <c r="T368">
        <v>1</v>
      </c>
      <c r="V368">
        <v>1</v>
      </c>
      <c r="X368">
        <v>1</v>
      </c>
      <c r="Z368">
        <v>0</v>
      </c>
    </row>
    <row r="369" spans="1:26">
      <c r="A369" t="s">
        <v>399</v>
      </c>
      <c r="B369" s="3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R369">
        <v>0</v>
      </c>
      <c r="T369">
        <v>0</v>
      </c>
      <c r="V369">
        <v>0</v>
      </c>
      <c r="X369">
        <v>0</v>
      </c>
      <c r="Z369">
        <v>0</v>
      </c>
    </row>
    <row r="370" spans="1:26">
      <c r="A370" t="s">
        <v>400</v>
      </c>
      <c r="B370" s="3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R370">
        <v>0</v>
      </c>
      <c r="T370">
        <v>1</v>
      </c>
      <c r="V370">
        <v>1</v>
      </c>
      <c r="X370">
        <v>1</v>
      </c>
      <c r="Z370">
        <v>0</v>
      </c>
    </row>
    <row r="371" spans="1:26">
      <c r="A371" t="s">
        <v>401</v>
      </c>
      <c r="B371" s="3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R371">
        <v>0</v>
      </c>
      <c r="T371">
        <v>1</v>
      </c>
      <c r="V371">
        <v>1</v>
      </c>
      <c r="X371">
        <v>1</v>
      </c>
      <c r="Z371">
        <v>1</v>
      </c>
    </row>
    <row r="372" spans="1:26">
      <c r="A372" t="s">
        <v>402</v>
      </c>
      <c r="B372" s="3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R372">
        <v>0</v>
      </c>
      <c r="T372">
        <v>0</v>
      </c>
      <c r="V372">
        <v>0</v>
      </c>
      <c r="X372">
        <v>0</v>
      </c>
      <c r="Z372">
        <v>0</v>
      </c>
    </row>
    <row r="373" spans="1:26">
      <c r="A373" t="s">
        <v>403</v>
      </c>
      <c r="B373" s="3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R373">
        <v>0</v>
      </c>
      <c r="T373">
        <v>1</v>
      </c>
      <c r="V373">
        <v>0</v>
      </c>
      <c r="X373">
        <v>0</v>
      </c>
      <c r="Z373">
        <v>0</v>
      </c>
    </row>
    <row r="374" spans="1:26">
      <c r="A374" t="s">
        <v>404</v>
      </c>
      <c r="B374" s="3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R374">
        <v>0</v>
      </c>
      <c r="T374">
        <v>1</v>
      </c>
      <c r="V374">
        <v>0</v>
      </c>
      <c r="X374">
        <v>0</v>
      </c>
      <c r="Z374">
        <v>0</v>
      </c>
    </row>
    <row r="375" spans="1:26">
      <c r="A375" t="s">
        <v>405</v>
      </c>
      <c r="B375" s="3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R375">
        <v>0</v>
      </c>
      <c r="T375">
        <v>1</v>
      </c>
      <c r="V375">
        <v>0</v>
      </c>
      <c r="X375">
        <v>0</v>
      </c>
      <c r="Z375">
        <v>0</v>
      </c>
    </row>
    <row r="376" spans="1:26">
      <c r="A376" t="s">
        <v>406</v>
      </c>
      <c r="B376" s="3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R376">
        <v>0</v>
      </c>
      <c r="T376">
        <v>1</v>
      </c>
      <c r="V376">
        <v>1</v>
      </c>
      <c r="X376">
        <v>1</v>
      </c>
      <c r="Z376">
        <v>0</v>
      </c>
    </row>
    <row r="377" spans="1:26">
      <c r="A377" t="s">
        <v>407</v>
      </c>
      <c r="B377" s="3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R377">
        <v>0</v>
      </c>
      <c r="T377">
        <v>1</v>
      </c>
      <c r="V377">
        <v>1</v>
      </c>
      <c r="X377">
        <v>0</v>
      </c>
      <c r="Z377">
        <v>0</v>
      </c>
    </row>
    <row r="378" spans="1:26">
      <c r="A378" t="s">
        <v>408</v>
      </c>
      <c r="B378" s="3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R378">
        <v>0</v>
      </c>
      <c r="T378">
        <v>0</v>
      </c>
      <c r="V378">
        <v>0</v>
      </c>
      <c r="X378">
        <v>0</v>
      </c>
      <c r="Z378">
        <v>0</v>
      </c>
    </row>
    <row r="379" spans="1:26">
      <c r="A379" t="s">
        <v>409</v>
      </c>
      <c r="B379" s="3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R379">
        <v>0</v>
      </c>
      <c r="T379">
        <v>1</v>
      </c>
      <c r="V379">
        <v>1</v>
      </c>
      <c r="X379">
        <v>1</v>
      </c>
      <c r="Z379">
        <v>0</v>
      </c>
    </row>
    <row r="380" spans="1:26">
      <c r="A380" t="s">
        <v>410</v>
      </c>
      <c r="B380" s="3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R380">
        <v>0</v>
      </c>
      <c r="T380">
        <v>1</v>
      </c>
      <c r="V380">
        <v>0</v>
      </c>
      <c r="X380">
        <v>0</v>
      </c>
      <c r="Z380">
        <v>1</v>
      </c>
    </row>
    <row r="381" spans="1:26">
      <c r="A381" t="s">
        <v>411</v>
      </c>
      <c r="B381" s="3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R381">
        <v>0</v>
      </c>
      <c r="T381">
        <v>1</v>
      </c>
      <c r="V381">
        <v>0</v>
      </c>
      <c r="X381">
        <v>0</v>
      </c>
      <c r="Z381">
        <v>0</v>
      </c>
    </row>
    <row r="382" spans="1:26">
      <c r="A382" t="s">
        <v>412</v>
      </c>
      <c r="B382" s="3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R382">
        <v>0</v>
      </c>
      <c r="T382">
        <v>1</v>
      </c>
      <c r="V382">
        <v>1</v>
      </c>
      <c r="X382">
        <v>1</v>
      </c>
      <c r="Z382">
        <v>0</v>
      </c>
    </row>
    <row r="383" spans="1:26">
      <c r="A383" t="s">
        <v>413</v>
      </c>
      <c r="B383" s="3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R383">
        <v>0</v>
      </c>
      <c r="T383">
        <v>1</v>
      </c>
      <c r="V383">
        <v>0</v>
      </c>
      <c r="X383">
        <v>0</v>
      </c>
      <c r="Z383">
        <v>0</v>
      </c>
    </row>
    <row r="384" spans="1:26">
      <c r="A384" t="s">
        <v>414</v>
      </c>
      <c r="B384" s="3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R384">
        <v>0</v>
      </c>
      <c r="T384">
        <v>1</v>
      </c>
      <c r="V384">
        <v>0</v>
      </c>
      <c r="X384">
        <v>0</v>
      </c>
      <c r="Z384">
        <v>0</v>
      </c>
    </row>
    <row r="385" spans="1:26">
      <c r="A385" t="s">
        <v>415</v>
      </c>
      <c r="B385" s="3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R385">
        <v>0</v>
      </c>
      <c r="T385">
        <v>1</v>
      </c>
      <c r="V385">
        <v>0</v>
      </c>
      <c r="X385">
        <v>0</v>
      </c>
      <c r="Z385">
        <v>0</v>
      </c>
    </row>
    <row r="386" spans="1:26">
      <c r="A386" t="s">
        <v>416</v>
      </c>
      <c r="B386" s="3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R386">
        <v>0</v>
      </c>
      <c r="T386">
        <v>1</v>
      </c>
      <c r="V386">
        <v>1</v>
      </c>
      <c r="X386">
        <v>1</v>
      </c>
      <c r="Z386">
        <v>0</v>
      </c>
    </row>
    <row r="387" spans="1:26">
      <c r="A387" t="s">
        <v>417</v>
      </c>
      <c r="B387" s="3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R387">
        <v>0</v>
      </c>
      <c r="T387">
        <v>0</v>
      </c>
      <c r="V387">
        <v>0</v>
      </c>
      <c r="X387">
        <v>0</v>
      </c>
      <c r="Z387">
        <v>2</v>
      </c>
    </row>
    <row r="388" spans="1:26">
      <c r="A388" t="s">
        <v>418</v>
      </c>
      <c r="B388" s="3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R388">
        <v>0</v>
      </c>
      <c r="T388">
        <v>1</v>
      </c>
      <c r="V388">
        <v>1</v>
      </c>
      <c r="X388">
        <v>0</v>
      </c>
      <c r="Z388">
        <v>0</v>
      </c>
    </row>
    <row r="389" spans="1:26">
      <c r="A389" t="s">
        <v>419</v>
      </c>
      <c r="B389" s="3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R389">
        <v>0</v>
      </c>
      <c r="T389">
        <v>1</v>
      </c>
      <c r="V389">
        <v>0</v>
      </c>
      <c r="X389">
        <v>0</v>
      </c>
      <c r="Z389">
        <v>1</v>
      </c>
    </row>
    <row r="390" spans="1:26">
      <c r="A390" t="s">
        <v>420</v>
      </c>
      <c r="B390" s="3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R390">
        <v>0</v>
      </c>
      <c r="T390">
        <v>1</v>
      </c>
      <c r="V390">
        <v>0</v>
      </c>
      <c r="X390">
        <v>0</v>
      </c>
      <c r="Z390">
        <v>0</v>
      </c>
    </row>
    <row r="391" spans="1:26">
      <c r="A391" t="s">
        <v>421</v>
      </c>
      <c r="B391" s="3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R391">
        <v>0</v>
      </c>
      <c r="T391">
        <v>1</v>
      </c>
      <c r="V391">
        <v>0</v>
      </c>
      <c r="X391">
        <v>0</v>
      </c>
      <c r="Z391">
        <v>0</v>
      </c>
    </row>
    <row r="392" spans="1:26">
      <c r="A392" t="s">
        <v>422</v>
      </c>
      <c r="B392" s="3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R392">
        <v>0</v>
      </c>
      <c r="T392">
        <v>0</v>
      </c>
      <c r="V392">
        <v>0</v>
      </c>
      <c r="X392">
        <v>0</v>
      </c>
      <c r="Z392">
        <v>0</v>
      </c>
    </row>
    <row r="393" spans="1:26">
      <c r="A393" t="s">
        <v>423</v>
      </c>
      <c r="B393" s="3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R393">
        <v>0</v>
      </c>
      <c r="T393">
        <v>0</v>
      </c>
      <c r="V393">
        <v>0</v>
      </c>
      <c r="X393">
        <v>0</v>
      </c>
      <c r="Z393">
        <v>2</v>
      </c>
    </row>
    <row r="394" spans="1:26">
      <c r="A394" t="s">
        <v>424</v>
      </c>
      <c r="B394" s="3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R394">
        <v>0</v>
      </c>
      <c r="T394">
        <v>0</v>
      </c>
      <c r="V394">
        <v>0</v>
      </c>
      <c r="X394">
        <v>0</v>
      </c>
      <c r="Z394">
        <v>0</v>
      </c>
    </row>
    <row r="395" spans="1:26">
      <c r="A395" t="s">
        <v>425</v>
      </c>
      <c r="B395" s="3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R395">
        <v>0</v>
      </c>
      <c r="T395">
        <v>1</v>
      </c>
      <c r="V395">
        <v>1</v>
      </c>
      <c r="X395">
        <v>0</v>
      </c>
      <c r="Z395">
        <v>0</v>
      </c>
    </row>
    <row r="396" spans="1:26">
      <c r="A396" t="s">
        <v>426</v>
      </c>
      <c r="B396" s="3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R396">
        <v>0</v>
      </c>
      <c r="T396">
        <v>1</v>
      </c>
      <c r="V396">
        <v>1</v>
      </c>
      <c r="X396">
        <v>1</v>
      </c>
      <c r="Z396">
        <v>0</v>
      </c>
    </row>
    <row r="397" spans="1:26">
      <c r="A397" t="s">
        <v>427</v>
      </c>
      <c r="B397" s="3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R397">
        <v>0</v>
      </c>
      <c r="T397">
        <v>1</v>
      </c>
      <c r="V397">
        <v>0</v>
      </c>
      <c r="X397">
        <v>0</v>
      </c>
      <c r="Z397">
        <v>0</v>
      </c>
    </row>
    <row r="398" spans="1:26">
      <c r="A398" t="s">
        <v>428</v>
      </c>
      <c r="B398" s="3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R398">
        <v>0</v>
      </c>
      <c r="T398">
        <v>1</v>
      </c>
      <c r="V398">
        <v>1</v>
      </c>
      <c r="X398">
        <v>0</v>
      </c>
      <c r="Z398">
        <v>0</v>
      </c>
    </row>
    <row r="399" spans="1:26">
      <c r="A399" t="s">
        <v>429</v>
      </c>
      <c r="B399" s="3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R399">
        <v>0</v>
      </c>
      <c r="T399">
        <v>1</v>
      </c>
      <c r="V399">
        <v>1</v>
      </c>
      <c r="X399">
        <v>0</v>
      </c>
      <c r="Z399">
        <v>0</v>
      </c>
    </row>
    <row r="400" spans="1:26">
      <c r="A400" t="s">
        <v>430</v>
      </c>
      <c r="B400" s="3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R400">
        <v>0</v>
      </c>
      <c r="T400">
        <v>1</v>
      </c>
      <c r="V400">
        <v>0</v>
      </c>
      <c r="X400">
        <v>0</v>
      </c>
      <c r="Z400">
        <v>0</v>
      </c>
    </row>
    <row r="401" spans="1:26">
      <c r="A401" t="s">
        <v>431</v>
      </c>
      <c r="B401" s="3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R401">
        <v>0</v>
      </c>
      <c r="T401">
        <v>1</v>
      </c>
      <c r="V401">
        <v>1</v>
      </c>
      <c r="X401">
        <v>0</v>
      </c>
      <c r="Z401">
        <v>0</v>
      </c>
    </row>
    <row r="402" spans="1:26">
      <c r="A402" t="s">
        <v>432</v>
      </c>
      <c r="B402" s="3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R402">
        <v>0</v>
      </c>
      <c r="T402">
        <v>1</v>
      </c>
      <c r="V402">
        <v>0</v>
      </c>
      <c r="X402">
        <v>0</v>
      </c>
      <c r="Z402">
        <v>0</v>
      </c>
    </row>
    <row r="403" spans="1:26">
      <c r="A403" t="s">
        <v>433</v>
      </c>
      <c r="B403" s="3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R403">
        <v>0</v>
      </c>
      <c r="T403">
        <v>0</v>
      </c>
      <c r="V403">
        <v>0</v>
      </c>
      <c r="X403">
        <v>0</v>
      </c>
      <c r="Z403">
        <v>0</v>
      </c>
    </row>
    <row r="404" spans="1:26">
      <c r="A404" t="s">
        <v>434</v>
      </c>
      <c r="B404" s="3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R404">
        <v>0</v>
      </c>
      <c r="T404">
        <v>1</v>
      </c>
      <c r="V404">
        <v>1</v>
      </c>
      <c r="X404">
        <v>1</v>
      </c>
      <c r="Z404">
        <v>0</v>
      </c>
    </row>
    <row r="405" spans="1:26">
      <c r="A405" t="s">
        <v>435</v>
      </c>
      <c r="B405" s="3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R405">
        <v>0</v>
      </c>
      <c r="T405">
        <v>0</v>
      </c>
      <c r="V405">
        <v>0</v>
      </c>
      <c r="X405">
        <v>0</v>
      </c>
      <c r="Z405">
        <v>1</v>
      </c>
    </row>
    <row r="406" spans="1:26">
      <c r="A406" t="s">
        <v>436</v>
      </c>
      <c r="B406" s="3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R406">
        <v>0</v>
      </c>
      <c r="T406">
        <v>1</v>
      </c>
      <c r="V406">
        <v>0</v>
      </c>
      <c r="X406">
        <v>0</v>
      </c>
      <c r="Z406">
        <v>0</v>
      </c>
    </row>
    <row r="407" spans="1:26">
      <c r="A407" t="s">
        <v>437</v>
      </c>
      <c r="B407" s="3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R407">
        <v>0</v>
      </c>
      <c r="T407">
        <v>1</v>
      </c>
      <c r="V407">
        <v>1</v>
      </c>
      <c r="X407">
        <v>0</v>
      </c>
      <c r="Z407">
        <v>0</v>
      </c>
    </row>
    <row r="408" spans="1:26">
      <c r="A408" t="s">
        <v>438</v>
      </c>
      <c r="B408" s="3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R408">
        <v>0</v>
      </c>
      <c r="T408">
        <v>1</v>
      </c>
      <c r="V408">
        <v>0</v>
      </c>
      <c r="X408">
        <v>0</v>
      </c>
      <c r="Z408">
        <v>0</v>
      </c>
    </row>
    <row r="409" spans="1:26">
      <c r="A409" t="s">
        <v>439</v>
      </c>
      <c r="B409" s="3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R409">
        <v>0</v>
      </c>
      <c r="T409">
        <v>0</v>
      </c>
      <c r="V409">
        <v>0</v>
      </c>
      <c r="X409">
        <v>0</v>
      </c>
      <c r="Z409">
        <v>1</v>
      </c>
    </row>
    <row r="410" spans="1:26">
      <c r="A410" t="s">
        <v>440</v>
      </c>
      <c r="B410" s="3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R410">
        <v>0</v>
      </c>
      <c r="T410">
        <v>1</v>
      </c>
      <c r="V410">
        <v>0</v>
      </c>
      <c r="X410">
        <v>0</v>
      </c>
      <c r="Z410">
        <v>0</v>
      </c>
    </row>
    <row r="411" spans="1:26">
      <c r="A411" t="s">
        <v>441</v>
      </c>
      <c r="B411" s="3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R411">
        <v>0</v>
      </c>
      <c r="T411">
        <v>1</v>
      </c>
      <c r="V411">
        <v>1</v>
      </c>
      <c r="X411">
        <v>1</v>
      </c>
      <c r="Z411">
        <v>0</v>
      </c>
    </row>
    <row r="412" spans="1:26">
      <c r="A412" t="s">
        <v>442</v>
      </c>
      <c r="B412" s="3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R412">
        <v>1</v>
      </c>
      <c r="T412">
        <v>1</v>
      </c>
      <c r="V412">
        <v>1</v>
      </c>
      <c r="X412">
        <v>1</v>
      </c>
      <c r="Z412">
        <v>0</v>
      </c>
    </row>
    <row r="413" spans="1:26">
      <c r="A413" t="s">
        <v>443</v>
      </c>
      <c r="B413" s="3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R413">
        <v>0</v>
      </c>
      <c r="T413">
        <v>1</v>
      </c>
      <c r="V413">
        <v>1</v>
      </c>
      <c r="X413">
        <v>0</v>
      </c>
      <c r="Z413">
        <v>0</v>
      </c>
    </row>
    <row r="414" spans="1:26">
      <c r="A414" t="s">
        <v>444</v>
      </c>
      <c r="B414" s="3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R414">
        <v>0</v>
      </c>
      <c r="T414">
        <v>1</v>
      </c>
      <c r="V414">
        <v>0</v>
      </c>
      <c r="X414">
        <v>0</v>
      </c>
      <c r="Z414">
        <v>0</v>
      </c>
    </row>
    <row r="415" spans="1:26">
      <c r="A415" t="s">
        <v>445</v>
      </c>
      <c r="B415" s="3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R415">
        <v>0</v>
      </c>
      <c r="T415">
        <v>0</v>
      </c>
      <c r="V415">
        <v>0</v>
      </c>
      <c r="X415">
        <v>0</v>
      </c>
      <c r="Z415">
        <v>1</v>
      </c>
    </row>
    <row r="416" spans="1:26">
      <c r="A416" t="s">
        <v>446</v>
      </c>
      <c r="B416" s="3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R416">
        <v>0</v>
      </c>
      <c r="T416">
        <v>1</v>
      </c>
      <c r="V416">
        <v>1</v>
      </c>
      <c r="X416">
        <v>1</v>
      </c>
      <c r="Z416">
        <v>0</v>
      </c>
    </row>
    <row r="417" spans="1:26">
      <c r="A417" t="s">
        <v>447</v>
      </c>
      <c r="B417" s="3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R417">
        <v>0</v>
      </c>
      <c r="T417">
        <v>1</v>
      </c>
      <c r="V417">
        <v>1</v>
      </c>
      <c r="X417">
        <v>1</v>
      </c>
      <c r="Z417">
        <v>2</v>
      </c>
    </row>
    <row r="418" spans="1:26">
      <c r="A418" t="s">
        <v>448</v>
      </c>
      <c r="B418" s="3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R418">
        <v>0</v>
      </c>
      <c r="T418">
        <v>1</v>
      </c>
      <c r="V418">
        <v>0</v>
      </c>
      <c r="X418">
        <v>0</v>
      </c>
      <c r="Z418">
        <v>0</v>
      </c>
    </row>
    <row r="419" spans="1:26">
      <c r="A419" t="s">
        <v>449</v>
      </c>
      <c r="B419" s="3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R419">
        <v>0</v>
      </c>
      <c r="T419">
        <v>0</v>
      </c>
      <c r="V419">
        <v>0</v>
      </c>
      <c r="X419">
        <v>0</v>
      </c>
      <c r="Z419">
        <v>0</v>
      </c>
    </row>
    <row r="420" spans="1:26">
      <c r="A420" t="s">
        <v>450</v>
      </c>
      <c r="B420" s="3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R420">
        <v>0</v>
      </c>
      <c r="T420">
        <v>0</v>
      </c>
      <c r="V420">
        <v>0</v>
      </c>
      <c r="X420">
        <v>0</v>
      </c>
      <c r="Z420">
        <v>0</v>
      </c>
    </row>
    <row r="421" spans="1:26">
      <c r="A421" t="s">
        <v>451</v>
      </c>
      <c r="B421" s="3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R421">
        <v>0</v>
      </c>
      <c r="T421">
        <v>1</v>
      </c>
      <c r="V421">
        <v>0</v>
      </c>
      <c r="X421">
        <v>0</v>
      </c>
      <c r="Z421">
        <v>0</v>
      </c>
    </row>
    <row r="422" spans="1:26">
      <c r="A422" t="s">
        <v>452</v>
      </c>
      <c r="B422" s="3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R422">
        <v>0</v>
      </c>
      <c r="T422">
        <v>1</v>
      </c>
      <c r="V422">
        <v>0</v>
      </c>
      <c r="X422">
        <v>0</v>
      </c>
      <c r="Z422">
        <v>0</v>
      </c>
    </row>
    <row r="423" spans="1:26">
      <c r="A423" t="s">
        <v>453</v>
      </c>
      <c r="B423" s="3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R423">
        <v>0</v>
      </c>
      <c r="T423">
        <v>1</v>
      </c>
      <c r="V423">
        <v>0</v>
      </c>
      <c r="X423">
        <v>0</v>
      </c>
      <c r="Z423">
        <v>0</v>
      </c>
    </row>
    <row r="424" spans="1:26">
      <c r="A424" t="s">
        <v>454</v>
      </c>
      <c r="B424" s="3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R424">
        <v>0</v>
      </c>
      <c r="T424">
        <v>0</v>
      </c>
      <c r="V424">
        <v>0</v>
      </c>
      <c r="X424">
        <v>0</v>
      </c>
      <c r="Z424">
        <v>0</v>
      </c>
    </row>
    <row r="425" spans="1:26">
      <c r="A425" t="s">
        <v>455</v>
      </c>
      <c r="B425" s="3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R425">
        <v>0</v>
      </c>
      <c r="T425">
        <v>0</v>
      </c>
      <c r="V425">
        <v>0</v>
      </c>
      <c r="X425">
        <v>0</v>
      </c>
      <c r="Z425">
        <v>0</v>
      </c>
    </row>
    <row r="426" spans="1:26">
      <c r="A426" t="s">
        <v>456</v>
      </c>
      <c r="B426" s="3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R426">
        <v>0</v>
      </c>
      <c r="T426">
        <v>1</v>
      </c>
      <c r="V426">
        <v>0</v>
      </c>
      <c r="X426">
        <v>0</v>
      </c>
      <c r="Z426">
        <v>0</v>
      </c>
    </row>
    <row r="427" spans="1:26">
      <c r="A427" t="s">
        <v>457</v>
      </c>
      <c r="B427" s="3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R427">
        <v>0</v>
      </c>
      <c r="T427">
        <v>1</v>
      </c>
      <c r="V427">
        <v>0</v>
      </c>
      <c r="X427">
        <v>0</v>
      </c>
      <c r="Z427">
        <v>1</v>
      </c>
    </row>
    <row r="428" spans="1:26">
      <c r="A428" t="s">
        <v>458</v>
      </c>
      <c r="B428" s="3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R428">
        <v>0</v>
      </c>
      <c r="T428">
        <v>0</v>
      </c>
      <c r="V428">
        <v>0</v>
      </c>
      <c r="X428">
        <v>0</v>
      </c>
      <c r="Z428">
        <v>2</v>
      </c>
    </row>
    <row r="429" spans="1:26">
      <c r="A429" t="s">
        <v>459</v>
      </c>
      <c r="B429" s="3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R429">
        <v>0</v>
      </c>
      <c r="T429">
        <v>1</v>
      </c>
      <c r="V429">
        <v>0</v>
      </c>
      <c r="X429">
        <v>0</v>
      </c>
      <c r="Z429">
        <v>0</v>
      </c>
    </row>
    <row r="430" spans="1:26">
      <c r="A430" t="s">
        <v>460</v>
      </c>
      <c r="B430" s="3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R430">
        <v>0</v>
      </c>
      <c r="T430">
        <v>0</v>
      </c>
      <c r="V430">
        <v>0</v>
      </c>
      <c r="X430">
        <v>0</v>
      </c>
      <c r="Z430">
        <v>0</v>
      </c>
    </row>
    <row r="431" spans="1:26">
      <c r="A431" t="s">
        <v>461</v>
      </c>
      <c r="B431" s="3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R431">
        <v>0</v>
      </c>
      <c r="T431">
        <v>0</v>
      </c>
      <c r="V431">
        <v>0</v>
      </c>
      <c r="X431">
        <v>0</v>
      </c>
      <c r="Z431">
        <v>0</v>
      </c>
    </row>
    <row r="432" spans="1:26">
      <c r="A432" t="s">
        <v>462</v>
      </c>
      <c r="B432" s="3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R432">
        <v>0</v>
      </c>
      <c r="T432">
        <v>0</v>
      </c>
      <c r="V432">
        <v>0</v>
      </c>
      <c r="X432">
        <v>0</v>
      </c>
      <c r="Z432">
        <v>1</v>
      </c>
    </row>
    <row r="433" spans="1:26">
      <c r="A433" t="s">
        <v>463</v>
      </c>
      <c r="B433" s="3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R433">
        <v>0</v>
      </c>
      <c r="T433">
        <v>1</v>
      </c>
      <c r="V433">
        <v>1</v>
      </c>
      <c r="X433">
        <v>0</v>
      </c>
      <c r="Z433">
        <v>0</v>
      </c>
    </row>
    <row r="434" spans="1:26">
      <c r="A434" t="s">
        <v>464</v>
      </c>
      <c r="B434" s="3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R434">
        <v>0</v>
      </c>
      <c r="T434">
        <v>1</v>
      </c>
      <c r="V434">
        <v>0</v>
      </c>
      <c r="X434">
        <v>0</v>
      </c>
      <c r="Z434">
        <v>0</v>
      </c>
    </row>
    <row r="435" spans="1:26">
      <c r="A435" t="s">
        <v>465</v>
      </c>
      <c r="B435" s="3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R435">
        <v>0</v>
      </c>
      <c r="T435">
        <v>0</v>
      </c>
      <c r="V435">
        <v>0</v>
      </c>
      <c r="X435">
        <v>0</v>
      </c>
      <c r="Z435">
        <v>0</v>
      </c>
    </row>
    <row r="436" spans="1:26">
      <c r="A436" t="s">
        <v>466</v>
      </c>
      <c r="B436" s="3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R436">
        <v>0</v>
      </c>
      <c r="T436">
        <v>1</v>
      </c>
      <c r="V436">
        <v>0</v>
      </c>
      <c r="X436">
        <v>0</v>
      </c>
      <c r="Z436">
        <v>0</v>
      </c>
    </row>
    <row r="437" spans="1:26">
      <c r="A437" t="s">
        <v>467</v>
      </c>
      <c r="B437" s="3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R437">
        <v>0</v>
      </c>
      <c r="T437">
        <v>1</v>
      </c>
      <c r="V437">
        <v>0</v>
      </c>
      <c r="X437">
        <v>0</v>
      </c>
      <c r="Z437">
        <v>0</v>
      </c>
    </row>
    <row r="438" spans="1:26">
      <c r="A438" t="s">
        <v>468</v>
      </c>
      <c r="B438" s="3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R438">
        <v>0</v>
      </c>
      <c r="T438">
        <v>1</v>
      </c>
      <c r="V438">
        <v>0</v>
      </c>
      <c r="X438">
        <v>0</v>
      </c>
      <c r="Z438">
        <v>0</v>
      </c>
    </row>
    <row r="439" spans="1:26">
      <c r="A439" t="s">
        <v>469</v>
      </c>
      <c r="B439" s="3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R439">
        <v>0</v>
      </c>
      <c r="T439">
        <v>1</v>
      </c>
      <c r="V439">
        <v>1</v>
      </c>
      <c r="X439">
        <v>1</v>
      </c>
      <c r="Z439">
        <v>0</v>
      </c>
    </row>
    <row r="440" spans="1:26">
      <c r="A440" t="s">
        <v>470</v>
      </c>
      <c r="B440" s="3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R440">
        <v>0</v>
      </c>
      <c r="T440">
        <v>0</v>
      </c>
      <c r="V440">
        <v>0</v>
      </c>
      <c r="X440">
        <v>0</v>
      </c>
      <c r="Z440">
        <v>0</v>
      </c>
    </row>
    <row r="441" spans="1:26">
      <c r="A441" t="s">
        <v>471</v>
      </c>
      <c r="B441" s="3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R441">
        <v>1</v>
      </c>
      <c r="T441">
        <v>1</v>
      </c>
      <c r="V441">
        <v>1</v>
      </c>
      <c r="X441">
        <v>1</v>
      </c>
      <c r="Z441">
        <v>0</v>
      </c>
    </row>
    <row r="442" spans="1:26">
      <c r="A442" t="s">
        <v>472</v>
      </c>
      <c r="B442" s="3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R442">
        <v>0</v>
      </c>
      <c r="T442">
        <v>1</v>
      </c>
      <c r="V442">
        <v>1</v>
      </c>
      <c r="X442">
        <v>1</v>
      </c>
      <c r="Z442">
        <v>0</v>
      </c>
    </row>
    <row r="443" spans="1:26">
      <c r="A443" t="s">
        <v>473</v>
      </c>
      <c r="B443" s="3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R443">
        <v>0</v>
      </c>
      <c r="T443">
        <v>1</v>
      </c>
      <c r="V443">
        <v>0</v>
      </c>
      <c r="X443">
        <v>0</v>
      </c>
      <c r="Z443">
        <v>0</v>
      </c>
    </row>
    <row r="444" spans="1:26">
      <c r="A444" t="s">
        <v>474</v>
      </c>
      <c r="B444" s="3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R444">
        <v>0</v>
      </c>
      <c r="T444">
        <v>1</v>
      </c>
      <c r="V444">
        <v>0</v>
      </c>
      <c r="X444">
        <v>0</v>
      </c>
      <c r="Z444">
        <v>0</v>
      </c>
    </row>
    <row r="445" spans="1:26">
      <c r="A445" t="s">
        <v>475</v>
      </c>
      <c r="B445" s="3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R445">
        <v>0</v>
      </c>
      <c r="T445">
        <v>1</v>
      </c>
      <c r="V445">
        <v>1</v>
      </c>
      <c r="X445">
        <v>1</v>
      </c>
      <c r="Z445">
        <v>1</v>
      </c>
    </row>
    <row r="446" spans="1:26">
      <c r="A446" t="s">
        <v>476</v>
      </c>
      <c r="B446" s="3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R446">
        <v>0</v>
      </c>
      <c r="T446">
        <v>1</v>
      </c>
      <c r="V446">
        <v>0</v>
      </c>
      <c r="X446">
        <v>0</v>
      </c>
      <c r="Z446">
        <v>0</v>
      </c>
    </row>
    <row r="447" spans="1:26">
      <c r="A447" t="s">
        <v>477</v>
      </c>
      <c r="B447" s="3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R447">
        <v>0</v>
      </c>
      <c r="T447">
        <v>1</v>
      </c>
      <c r="V447">
        <v>1</v>
      </c>
      <c r="X447">
        <v>1</v>
      </c>
      <c r="Z447">
        <v>1</v>
      </c>
    </row>
    <row r="448" spans="1:26">
      <c r="A448" t="s">
        <v>478</v>
      </c>
      <c r="B448" s="3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R448">
        <v>0</v>
      </c>
      <c r="T448">
        <v>0</v>
      </c>
      <c r="V448">
        <v>0</v>
      </c>
      <c r="X448">
        <v>0</v>
      </c>
      <c r="Z448">
        <v>0</v>
      </c>
    </row>
    <row r="449" spans="1:26">
      <c r="A449" t="s">
        <v>479</v>
      </c>
      <c r="B449" s="3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R449">
        <v>0</v>
      </c>
      <c r="T449">
        <v>1</v>
      </c>
      <c r="V449">
        <v>0</v>
      </c>
      <c r="X449">
        <v>0</v>
      </c>
      <c r="Z449">
        <v>0</v>
      </c>
    </row>
    <row r="450" spans="1:26">
      <c r="A450" t="s">
        <v>480</v>
      </c>
      <c r="B450" s="3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R450">
        <v>0</v>
      </c>
      <c r="T450">
        <v>1</v>
      </c>
      <c r="V450">
        <v>1</v>
      </c>
      <c r="X450">
        <v>1</v>
      </c>
      <c r="Z450">
        <v>0</v>
      </c>
    </row>
    <row r="451" spans="1:26">
      <c r="A451" t="s">
        <v>481</v>
      </c>
      <c r="B451" s="3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R451">
        <v>0</v>
      </c>
      <c r="T451">
        <v>1</v>
      </c>
      <c r="V451">
        <v>0</v>
      </c>
      <c r="X451">
        <v>0</v>
      </c>
      <c r="Z451">
        <v>0</v>
      </c>
    </row>
    <row r="452" spans="1:26">
      <c r="A452" t="s">
        <v>482</v>
      </c>
      <c r="B452" s="3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R452">
        <v>0</v>
      </c>
      <c r="T452">
        <v>1</v>
      </c>
      <c r="V452">
        <v>1</v>
      </c>
      <c r="X452">
        <v>1</v>
      </c>
      <c r="Z452">
        <v>0</v>
      </c>
    </row>
    <row r="453" spans="1:26">
      <c r="A453" t="s">
        <v>483</v>
      </c>
      <c r="B453" s="3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R453">
        <v>0</v>
      </c>
      <c r="T453">
        <v>0</v>
      </c>
      <c r="V453">
        <v>0</v>
      </c>
      <c r="X453">
        <v>0</v>
      </c>
      <c r="Z453">
        <v>0</v>
      </c>
    </row>
    <row r="454" spans="1:26">
      <c r="A454" t="s">
        <v>484</v>
      </c>
      <c r="B454" s="3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R454">
        <v>0</v>
      </c>
      <c r="T454">
        <v>0</v>
      </c>
      <c r="V454">
        <v>0</v>
      </c>
      <c r="X454">
        <v>0</v>
      </c>
      <c r="Z454">
        <v>0</v>
      </c>
    </row>
    <row r="455" spans="1:26">
      <c r="A455" t="s">
        <v>485</v>
      </c>
      <c r="B455" s="3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R455">
        <v>0</v>
      </c>
      <c r="T455">
        <v>1</v>
      </c>
      <c r="V455">
        <v>0</v>
      </c>
      <c r="X455">
        <v>0</v>
      </c>
      <c r="Z455">
        <v>0</v>
      </c>
    </row>
    <row r="456" spans="1:26">
      <c r="A456" t="s">
        <v>486</v>
      </c>
      <c r="B456" s="3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R456">
        <v>0</v>
      </c>
      <c r="T456">
        <v>0</v>
      </c>
      <c r="V456">
        <v>0</v>
      </c>
      <c r="X456">
        <v>0</v>
      </c>
      <c r="Z456">
        <v>0</v>
      </c>
    </row>
    <row r="457" spans="1:26">
      <c r="A457" t="s">
        <v>487</v>
      </c>
      <c r="B457" s="3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R457">
        <v>0</v>
      </c>
      <c r="T457">
        <v>0</v>
      </c>
      <c r="V457">
        <v>0</v>
      </c>
      <c r="X457">
        <v>0</v>
      </c>
      <c r="Z457">
        <v>0</v>
      </c>
    </row>
    <row r="458" spans="1:26">
      <c r="A458" t="s">
        <v>488</v>
      </c>
      <c r="B458" s="3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R458">
        <v>0</v>
      </c>
      <c r="T458">
        <v>1</v>
      </c>
      <c r="V458">
        <v>0</v>
      </c>
      <c r="X458">
        <v>0</v>
      </c>
      <c r="Z458">
        <v>1</v>
      </c>
    </row>
    <row r="459" spans="1:26">
      <c r="A459" t="s">
        <v>489</v>
      </c>
      <c r="B459" s="3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R459">
        <v>0</v>
      </c>
      <c r="T459">
        <v>1</v>
      </c>
      <c r="V459">
        <v>0</v>
      </c>
      <c r="X459">
        <v>0</v>
      </c>
      <c r="Z459">
        <v>1</v>
      </c>
    </row>
    <row r="460" spans="1:26">
      <c r="A460" t="s">
        <v>490</v>
      </c>
      <c r="B460" s="3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R460">
        <v>0</v>
      </c>
      <c r="T460">
        <v>1</v>
      </c>
      <c r="V460">
        <v>0</v>
      </c>
      <c r="X460">
        <v>0</v>
      </c>
      <c r="Z460">
        <v>0</v>
      </c>
    </row>
    <row r="461" spans="1:26">
      <c r="A461" t="s">
        <v>491</v>
      </c>
      <c r="B461" s="3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R461">
        <v>0</v>
      </c>
      <c r="T461">
        <v>0</v>
      </c>
      <c r="V461">
        <v>0</v>
      </c>
      <c r="X461">
        <v>0</v>
      </c>
      <c r="Z461">
        <v>3</v>
      </c>
    </row>
    <row r="462" spans="1:26">
      <c r="A462" t="s">
        <v>492</v>
      </c>
      <c r="B462" s="3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R462">
        <v>0</v>
      </c>
      <c r="T462">
        <v>1</v>
      </c>
      <c r="V462">
        <v>1</v>
      </c>
      <c r="X462">
        <v>0</v>
      </c>
      <c r="Z462">
        <v>0</v>
      </c>
    </row>
    <row r="463" spans="1:26">
      <c r="A463" t="s">
        <v>493</v>
      </c>
      <c r="B463" s="3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R463">
        <v>0</v>
      </c>
      <c r="T463">
        <v>1</v>
      </c>
      <c r="V463">
        <v>0</v>
      </c>
      <c r="X463">
        <v>0</v>
      </c>
      <c r="Z463">
        <v>0</v>
      </c>
    </row>
    <row r="464" spans="1:26">
      <c r="A464" t="s">
        <v>494</v>
      </c>
      <c r="B464" s="3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R464">
        <v>0</v>
      </c>
      <c r="T464">
        <v>1</v>
      </c>
      <c r="V464">
        <v>0</v>
      </c>
      <c r="X464">
        <v>0</v>
      </c>
      <c r="Z464">
        <v>0</v>
      </c>
    </row>
    <row r="465" spans="1:26">
      <c r="A465" t="s">
        <v>495</v>
      </c>
      <c r="B465" s="3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R465">
        <v>0</v>
      </c>
      <c r="T465">
        <v>1</v>
      </c>
      <c r="V465">
        <v>1</v>
      </c>
      <c r="X465">
        <v>1</v>
      </c>
      <c r="Z465">
        <v>0</v>
      </c>
    </row>
    <row r="466" spans="1:26">
      <c r="A466" t="s">
        <v>496</v>
      </c>
      <c r="B466" s="3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R466">
        <v>0</v>
      </c>
      <c r="T466">
        <v>0</v>
      </c>
      <c r="V466">
        <v>0</v>
      </c>
      <c r="X466">
        <v>0</v>
      </c>
      <c r="Z466">
        <v>0</v>
      </c>
    </row>
    <row r="467" spans="1:26">
      <c r="A467" t="s">
        <v>497</v>
      </c>
      <c r="B467" s="3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R467">
        <v>0</v>
      </c>
      <c r="T467">
        <v>0</v>
      </c>
      <c r="V467">
        <v>0</v>
      </c>
      <c r="X467">
        <v>0</v>
      </c>
      <c r="Z467">
        <v>0</v>
      </c>
    </row>
    <row r="468" spans="1:26">
      <c r="A468" t="s">
        <v>498</v>
      </c>
      <c r="B468" s="3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R468">
        <v>0</v>
      </c>
      <c r="T468">
        <v>0</v>
      </c>
      <c r="V468">
        <v>0</v>
      </c>
      <c r="X468">
        <v>0</v>
      </c>
      <c r="Z468">
        <v>0</v>
      </c>
    </row>
    <row r="469" spans="1:26">
      <c r="A469" t="s">
        <v>499</v>
      </c>
      <c r="B469" s="3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R469">
        <v>0</v>
      </c>
      <c r="T469">
        <v>1</v>
      </c>
      <c r="V469">
        <v>1</v>
      </c>
      <c r="X469">
        <v>1</v>
      </c>
      <c r="Z469">
        <v>0</v>
      </c>
    </row>
    <row r="470" spans="1:26">
      <c r="A470" t="s">
        <v>500</v>
      </c>
      <c r="B470" s="3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R470">
        <v>0</v>
      </c>
      <c r="T470">
        <v>0</v>
      </c>
      <c r="V470">
        <v>0</v>
      </c>
      <c r="X470">
        <v>0</v>
      </c>
      <c r="Z470">
        <v>0</v>
      </c>
    </row>
    <row r="471" spans="1:26">
      <c r="A471" t="s">
        <v>501</v>
      </c>
      <c r="B471" s="3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R471">
        <v>0</v>
      </c>
      <c r="T471">
        <v>0</v>
      </c>
      <c r="V471">
        <v>0</v>
      </c>
      <c r="X471">
        <v>0</v>
      </c>
      <c r="Z471">
        <v>0</v>
      </c>
    </row>
    <row r="472" spans="1:26">
      <c r="A472" t="s">
        <v>502</v>
      </c>
      <c r="B472" s="3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R472">
        <v>0</v>
      </c>
      <c r="T472">
        <v>0</v>
      </c>
      <c r="V472">
        <v>0</v>
      </c>
      <c r="X472">
        <v>0</v>
      </c>
      <c r="Z472">
        <v>1</v>
      </c>
    </row>
    <row r="473" spans="1:26">
      <c r="A473" t="s">
        <v>503</v>
      </c>
      <c r="B473" s="3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R473">
        <v>0</v>
      </c>
      <c r="T473">
        <v>0</v>
      </c>
      <c r="V473">
        <v>0</v>
      </c>
      <c r="X473">
        <v>0</v>
      </c>
      <c r="Z473">
        <v>0</v>
      </c>
    </row>
    <row r="474" spans="1:26">
      <c r="A474" t="s">
        <v>504</v>
      </c>
      <c r="B474" s="3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R474">
        <v>0</v>
      </c>
      <c r="T474">
        <v>0</v>
      </c>
      <c r="V474">
        <v>0</v>
      </c>
      <c r="X474">
        <v>0</v>
      </c>
      <c r="Z474">
        <v>0</v>
      </c>
    </row>
    <row r="475" spans="1:26">
      <c r="A475" t="s">
        <v>505</v>
      </c>
      <c r="B475" s="3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R475">
        <v>0</v>
      </c>
      <c r="T475">
        <v>0</v>
      </c>
      <c r="V475">
        <v>0</v>
      </c>
      <c r="X475">
        <v>0</v>
      </c>
      <c r="Z475">
        <v>0</v>
      </c>
    </row>
    <row r="476" spans="1:26">
      <c r="A476" t="s">
        <v>506</v>
      </c>
      <c r="B476" s="3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R476">
        <v>0</v>
      </c>
      <c r="T476">
        <v>0</v>
      </c>
      <c r="V476">
        <v>0</v>
      </c>
      <c r="X476">
        <v>0</v>
      </c>
      <c r="Z476">
        <v>0</v>
      </c>
    </row>
    <row r="477" spans="1:26">
      <c r="A477" t="s">
        <v>507</v>
      </c>
      <c r="B477" s="3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R477">
        <v>0</v>
      </c>
      <c r="T477">
        <v>1</v>
      </c>
      <c r="V477">
        <v>0</v>
      </c>
      <c r="X477">
        <v>0</v>
      </c>
      <c r="Z477">
        <v>0</v>
      </c>
    </row>
    <row r="478" spans="1:26">
      <c r="A478" t="s">
        <v>508</v>
      </c>
      <c r="B478" s="3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R478">
        <v>0</v>
      </c>
      <c r="T478">
        <v>0</v>
      </c>
      <c r="V478">
        <v>0</v>
      </c>
      <c r="X478">
        <v>0</v>
      </c>
      <c r="Z478">
        <v>0</v>
      </c>
    </row>
    <row r="479" spans="1:26">
      <c r="A479" t="s">
        <v>509</v>
      </c>
      <c r="B479" s="3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R479">
        <v>0</v>
      </c>
      <c r="T479">
        <v>0</v>
      </c>
      <c r="V479">
        <v>0</v>
      </c>
      <c r="X479">
        <v>0</v>
      </c>
      <c r="Z479">
        <v>0</v>
      </c>
    </row>
    <row r="480" spans="1:26">
      <c r="A480" t="s">
        <v>510</v>
      </c>
      <c r="B480" s="3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R480">
        <v>0</v>
      </c>
      <c r="T480">
        <v>1</v>
      </c>
      <c r="V480">
        <v>0</v>
      </c>
      <c r="X480">
        <v>0</v>
      </c>
      <c r="Z480">
        <v>0</v>
      </c>
    </row>
    <row r="481" spans="1:26">
      <c r="A481" t="s">
        <v>511</v>
      </c>
      <c r="B481" s="3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R481">
        <v>0</v>
      </c>
      <c r="T481">
        <v>1</v>
      </c>
      <c r="V481">
        <v>0</v>
      </c>
      <c r="X481">
        <v>0</v>
      </c>
      <c r="Z481">
        <v>0</v>
      </c>
    </row>
    <row r="482" spans="1:26">
      <c r="A482" t="s">
        <v>512</v>
      </c>
      <c r="B482" s="3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R482">
        <v>0</v>
      </c>
      <c r="T482">
        <v>1</v>
      </c>
      <c r="V482">
        <v>1</v>
      </c>
      <c r="X482">
        <v>1</v>
      </c>
      <c r="Z482">
        <v>0</v>
      </c>
    </row>
    <row r="483" spans="1:26">
      <c r="A483" t="s">
        <v>513</v>
      </c>
      <c r="B483" s="3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R483">
        <v>0</v>
      </c>
      <c r="T483">
        <v>1</v>
      </c>
      <c r="V483">
        <v>1</v>
      </c>
      <c r="X483">
        <v>1</v>
      </c>
      <c r="Z483">
        <v>0</v>
      </c>
    </row>
    <row r="484" spans="1:26">
      <c r="A484" t="s">
        <v>514</v>
      </c>
      <c r="B484" s="3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R484">
        <v>0</v>
      </c>
      <c r="T484">
        <v>0</v>
      </c>
      <c r="V484">
        <v>0</v>
      </c>
      <c r="X484">
        <v>0</v>
      </c>
      <c r="Z484">
        <v>0</v>
      </c>
    </row>
    <row r="485" spans="1:26">
      <c r="A485" t="s">
        <v>515</v>
      </c>
      <c r="B485" s="3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R485">
        <v>0</v>
      </c>
      <c r="T485">
        <v>0</v>
      </c>
      <c r="V485">
        <v>0</v>
      </c>
      <c r="X485">
        <v>0</v>
      </c>
      <c r="Z485">
        <v>0</v>
      </c>
    </row>
    <row r="486" spans="1:26">
      <c r="A486" t="s">
        <v>516</v>
      </c>
      <c r="B486" s="3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R486">
        <v>0</v>
      </c>
      <c r="T486">
        <v>1</v>
      </c>
      <c r="V486">
        <v>1</v>
      </c>
      <c r="X486">
        <v>1</v>
      </c>
      <c r="Z486">
        <v>2</v>
      </c>
    </row>
    <row r="487" spans="1:26">
      <c r="A487" t="s">
        <v>517</v>
      </c>
      <c r="B487" s="3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R487">
        <v>0</v>
      </c>
      <c r="T487">
        <v>1</v>
      </c>
      <c r="V487">
        <v>0</v>
      </c>
      <c r="X487">
        <v>0</v>
      </c>
      <c r="Z487">
        <v>0</v>
      </c>
    </row>
    <row r="488" spans="1:26">
      <c r="A488" t="s">
        <v>518</v>
      </c>
      <c r="B488" s="3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R488">
        <v>0</v>
      </c>
      <c r="T488">
        <v>1</v>
      </c>
      <c r="V488">
        <v>1</v>
      </c>
      <c r="X488">
        <v>0</v>
      </c>
      <c r="Z488">
        <v>0</v>
      </c>
    </row>
    <row r="489" spans="1:26">
      <c r="A489" t="s">
        <v>519</v>
      </c>
      <c r="B489" s="3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R489">
        <v>0</v>
      </c>
      <c r="T489">
        <v>0</v>
      </c>
      <c r="V489">
        <v>0</v>
      </c>
      <c r="X489">
        <v>0</v>
      </c>
      <c r="Z489">
        <v>0</v>
      </c>
    </row>
    <row r="490" spans="1:26">
      <c r="A490" t="s">
        <v>520</v>
      </c>
      <c r="B490" s="3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R490">
        <v>0</v>
      </c>
      <c r="T490">
        <v>1</v>
      </c>
      <c r="V490">
        <v>0</v>
      </c>
      <c r="X490">
        <v>0</v>
      </c>
      <c r="Z490">
        <v>0</v>
      </c>
    </row>
    <row r="491" spans="1:26">
      <c r="A491" t="s">
        <v>521</v>
      </c>
      <c r="B491" s="3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R491">
        <v>0</v>
      </c>
      <c r="T491">
        <v>0</v>
      </c>
      <c r="V491">
        <v>0</v>
      </c>
      <c r="X491">
        <v>0</v>
      </c>
      <c r="Z491">
        <v>0</v>
      </c>
    </row>
    <row r="492" spans="1:26">
      <c r="A492" t="s">
        <v>522</v>
      </c>
      <c r="B492" s="3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R492">
        <v>0</v>
      </c>
      <c r="T492">
        <v>1</v>
      </c>
      <c r="V492">
        <v>1</v>
      </c>
      <c r="X492">
        <v>0</v>
      </c>
      <c r="Z492">
        <v>1</v>
      </c>
    </row>
    <row r="493" spans="1:26">
      <c r="A493" t="s">
        <v>523</v>
      </c>
      <c r="B493" s="3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R493">
        <v>0</v>
      </c>
      <c r="T493">
        <v>1</v>
      </c>
      <c r="V493">
        <v>1</v>
      </c>
      <c r="X493">
        <v>0</v>
      </c>
      <c r="Z493">
        <v>0</v>
      </c>
    </row>
    <row r="494" spans="1:26">
      <c r="A494" t="s">
        <v>524</v>
      </c>
      <c r="B494" s="3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R494">
        <v>0</v>
      </c>
      <c r="T494">
        <v>1</v>
      </c>
      <c r="V494">
        <v>0</v>
      </c>
      <c r="X494">
        <v>0</v>
      </c>
      <c r="Z494">
        <v>2</v>
      </c>
    </row>
    <row r="495" spans="1:26">
      <c r="A495" t="s">
        <v>525</v>
      </c>
      <c r="B495" s="3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R495">
        <v>0</v>
      </c>
      <c r="T495">
        <v>1</v>
      </c>
      <c r="V495">
        <v>0</v>
      </c>
      <c r="X495">
        <v>0</v>
      </c>
      <c r="Z495">
        <v>0</v>
      </c>
    </row>
    <row r="496" spans="1:26">
      <c r="A496" t="s">
        <v>526</v>
      </c>
      <c r="B496" s="3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R496">
        <v>0</v>
      </c>
      <c r="T496">
        <v>0</v>
      </c>
      <c r="V496">
        <v>0</v>
      </c>
      <c r="X496">
        <v>0</v>
      </c>
      <c r="Z496">
        <v>0</v>
      </c>
    </row>
    <row r="497" spans="1:26">
      <c r="A497" t="s">
        <v>527</v>
      </c>
      <c r="B497" s="3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R497">
        <v>0</v>
      </c>
      <c r="T497">
        <v>0</v>
      </c>
      <c r="V497">
        <v>0</v>
      </c>
      <c r="X497">
        <v>0</v>
      </c>
      <c r="Z497">
        <v>1</v>
      </c>
    </row>
    <row r="498" spans="1:26">
      <c r="A498" t="s">
        <v>528</v>
      </c>
      <c r="B498" s="3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R498">
        <v>0</v>
      </c>
      <c r="T498">
        <v>0</v>
      </c>
      <c r="V498">
        <v>0</v>
      </c>
      <c r="X498">
        <v>0</v>
      </c>
      <c r="Z498">
        <v>1</v>
      </c>
    </row>
    <row r="499" spans="1:26">
      <c r="A499" t="s">
        <v>529</v>
      </c>
      <c r="B499" s="3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R499">
        <v>0</v>
      </c>
      <c r="T499">
        <v>1</v>
      </c>
      <c r="V499">
        <v>0</v>
      </c>
      <c r="X499">
        <v>0</v>
      </c>
      <c r="Z499">
        <v>0</v>
      </c>
    </row>
    <row r="500" spans="1:26">
      <c r="A500" t="s">
        <v>530</v>
      </c>
      <c r="B500" s="3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R500">
        <v>0</v>
      </c>
      <c r="T500">
        <v>0</v>
      </c>
      <c r="V500">
        <v>0</v>
      </c>
      <c r="X500">
        <v>0</v>
      </c>
      <c r="Z500">
        <v>0</v>
      </c>
    </row>
    <row r="501" spans="1:26">
      <c r="A501" t="s">
        <v>531</v>
      </c>
      <c r="B501" s="3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R501">
        <v>0</v>
      </c>
      <c r="T501">
        <v>0</v>
      </c>
      <c r="V501">
        <v>0</v>
      </c>
      <c r="X501">
        <v>0</v>
      </c>
      <c r="Z501">
        <v>0</v>
      </c>
    </row>
    <row r="502" spans="1:26">
      <c r="A502" t="s">
        <v>532</v>
      </c>
      <c r="B502" s="3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R502">
        <v>1</v>
      </c>
      <c r="T502">
        <v>1</v>
      </c>
      <c r="V502">
        <v>1</v>
      </c>
      <c r="X502">
        <v>1</v>
      </c>
      <c r="Z502">
        <v>0</v>
      </c>
    </row>
    <row r="503" spans="1:26">
      <c r="A503" t="s">
        <v>533</v>
      </c>
      <c r="B503" s="3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R503">
        <v>0</v>
      </c>
      <c r="T503">
        <v>0</v>
      </c>
      <c r="V503">
        <v>0</v>
      </c>
      <c r="X503">
        <v>0</v>
      </c>
      <c r="Z503">
        <v>0</v>
      </c>
    </row>
    <row r="504" spans="1:26">
      <c r="A504" t="s">
        <v>534</v>
      </c>
      <c r="B504" s="3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R504">
        <v>0</v>
      </c>
      <c r="T504">
        <v>0</v>
      </c>
      <c r="V504">
        <v>0</v>
      </c>
      <c r="X504">
        <v>0</v>
      </c>
      <c r="Z504">
        <v>0</v>
      </c>
    </row>
    <row r="505" spans="1:26">
      <c r="A505" t="s">
        <v>535</v>
      </c>
      <c r="B505" s="3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R505">
        <v>0</v>
      </c>
      <c r="T505">
        <v>0</v>
      </c>
      <c r="V505">
        <v>0</v>
      </c>
      <c r="X505">
        <v>0</v>
      </c>
      <c r="Z505">
        <v>0</v>
      </c>
    </row>
    <row r="506" spans="1:26">
      <c r="A506" t="s">
        <v>536</v>
      </c>
      <c r="B506" s="3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R506">
        <v>0</v>
      </c>
      <c r="T506">
        <v>0</v>
      </c>
      <c r="V506">
        <v>0</v>
      </c>
      <c r="X506">
        <v>0</v>
      </c>
      <c r="Z506">
        <v>0</v>
      </c>
    </row>
    <row r="507" spans="1:26">
      <c r="A507" t="s">
        <v>537</v>
      </c>
      <c r="B507" s="3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R507">
        <v>0</v>
      </c>
      <c r="T507">
        <v>1</v>
      </c>
      <c r="V507">
        <v>0</v>
      </c>
      <c r="X507">
        <v>0</v>
      </c>
      <c r="Z507">
        <v>0</v>
      </c>
    </row>
    <row r="508" spans="1:26">
      <c r="A508" t="s">
        <v>538</v>
      </c>
      <c r="B508" s="3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R508">
        <v>0</v>
      </c>
      <c r="T508">
        <v>1</v>
      </c>
      <c r="V508">
        <v>1</v>
      </c>
      <c r="X508">
        <v>0</v>
      </c>
      <c r="Z508">
        <v>0</v>
      </c>
    </row>
    <row r="509" spans="1:26">
      <c r="A509" t="s">
        <v>539</v>
      </c>
      <c r="B509" s="3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R509">
        <v>0</v>
      </c>
      <c r="T509">
        <v>1</v>
      </c>
      <c r="V509">
        <v>1</v>
      </c>
      <c r="X509">
        <v>0</v>
      </c>
      <c r="Z509">
        <v>0</v>
      </c>
    </row>
    <row r="510" spans="1:26">
      <c r="A510" t="s">
        <v>540</v>
      </c>
      <c r="B510" s="3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R510">
        <v>0</v>
      </c>
      <c r="T510">
        <v>1</v>
      </c>
      <c r="V510">
        <v>0</v>
      </c>
      <c r="X510">
        <v>0</v>
      </c>
      <c r="Z510">
        <v>0</v>
      </c>
    </row>
    <row r="511" spans="1:26">
      <c r="A511" t="s">
        <v>541</v>
      </c>
      <c r="B511" s="3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R511">
        <v>0</v>
      </c>
      <c r="T511">
        <v>0</v>
      </c>
      <c r="V511">
        <v>0</v>
      </c>
      <c r="X511">
        <v>0</v>
      </c>
      <c r="Z511">
        <v>2</v>
      </c>
    </row>
    <row r="512" spans="1:26">
      <c r="A512" t="s">
        <v>542</v>
      </c>
      <c r="B512" s="3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R512">
        <v>0</v>
      </c>
      <c r="T512">
        <v>1</v>
      </c>
      <c r="V512">
        <v>1</v>
      </c>
      <c r="X512">
        <v>0</v>
      </c>
      <c r="Z512">
        <v>0</v>
      </c>
    </row>
    <row r="513" spans="1:26">
      <c r="A513" t="s">
        <v>543</v>
      </c>
      <c r="B513" s="3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R513">
        <v>0</v>
      </c>
      <c r="T513">
        <v>0</v>
      </c>
      <c r="V513">
        <v>0</v>
      </c>
      <c r="X513">
        <v>0</v>
      </c>
      <c r="Z513">
        <v>1</v>
      </c>
    </row>
    <row r="514" spans="1:26">
      <c r="A514" t="s">
        <v>544</v>
      </c>
      <c r="B514" s="3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R514">
        <v>0</v>
      </c>
      <c r="T514">
        <v>1</v>
      </c>
      <c r="V514">
        <v>1</v>
      </c>
      <c r="X514">
        <v>0</v>
      </c>
      <c r="Z514">
        <v>0</v>
      </c>
    </row>
    <row r="515" spans="1:26">
      <c r="A515" t="s">
        <v>545</v>
      </c>
      <c r="B515" s="3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R515">
        <v>0</v>
      </c>
      <c r="T515">
        <v>0</v>
      </c>
      <c r="V515">
        <v>0</v>
      </c>
      <c r="X515">
        <v>0</v>
      </c>
      <c r="Z515">
        <v>0</v>
      </c>
    </row>
    <row r="516" spans="1:26">
      <c r="A516" t="s">
        <v>546</v>
      </c>
      <c r="B516" s="3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R516">
        <v>0</v>
      </c>
      <c r="T516">
        <v>1</v>
      </c>
      <c r="V516">
        <v>1</v>
      </c>
      <c r="X516">
        <v>1</v>
      </c>
      <c r="Z516">
        <v>1</v>
      </c>
    </row>
    <row r="517" spans="1:26">
      <c r="A517" t="s">
        <v>547</v>
      </c>
      <c r="B517" s="3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R517">
        <v>0</v>
      </c>
      <c r="T517">
        <v>1</v>
      </c>
      <c r="V517">
        <v>1</v>
      </c>
      <c r="X517">
        <v>0</v>
      </c>
      <c r="Z517">
        <v>0</v>
      </c>
    </row>
    <row r="518" spans="1:26">
      <c r="A518" t="s">
        <v>548</v>
      </c>
      <c r="B518" s="3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R518">
        <v>0</v>
      </c>
      <c r="T518">
        <v>1</v>
      </c>
      <c r="V518">
        <v>0</v>
      </c>
      <c r="X518">
        <v>0</v>
      </c>
      <c r="Z518">
        <v>0</v>
      </c>
    </row>
    <row r="519" spans="1:26">
      <c r="A519" t="s">
        <v>549</v>
      </c>
      <c r="B519" s="3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R519">
        <v>0</v>
      </c>
      <c r="T519">
        <v>1</v>
      </c>
      <c r="V519">
        <v>1</v>
      </c>
      <c r="X519">
        <v>1</v>
      </c>
      <c r="Z519">
        <v>0</v>
      </c>
    </row>
    <row r="520" spans="1:26">
      <c r="A520" t="s">
        <v>550</v>
      </c>
      <c r="B520" s="3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R520">
        <v>0</v>
      </c>
      <c r="T520">
        <v>0</v>
      </c>
      <c r="V520">
        <v>0</v>
      </c>
      <c r="X520">
        <v>0</v>
      </c>
      <c r="Z520">
        <v>0</v>
      </c>
    </row>
    <row r="521" spans="1:26">
      <c r="A521" t="s">
        <v>551</v>
      </c>
      <c r="B521" s="3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R521">
        <v>0</v>
      </c>
      <c r="T521">
        <v>0</v>
      </c>
      <c r="V521">
        <v>0</v>
      </c>
      <c r="X521">
        <v>0</v>
      </c>
      <c r="Z521">
        <v>0</v>
      </c>
    </row>
    <row r="522" spans="1:26">
      <c r="A522" t="s">
        <v>552</v>
      </c>
      <c r="B522" s="3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R522">
        <v>0</v>
      </c>
      <c r="T522">
        <v>1</v>
      </c>
      <c r="V522">
        <v>0</v>
      </c>
      <c r="X522">
        <v>0</v>
      </c>
      <c r="Z522">
        <v>0</v>
      </c>
    </row>
    <row r="523" spans="1:26">
      <c r="A523" t="s">
        <v>553</v>
      </c>
      <c r="B523" s="3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R523">
        <v>0</v>
      </c>
      <c r="T523">
        <v>1</v>
      </c>
      <c r="V523">
        <v>1</v>
      </c>
      <c r="X523">
        <v>0</v>
      </c>
      <c r="Z523">
        <v>0</v>
      </c>
    </row>
    <row r="524" spans="1:26">
      <c r="A524" t="s">
        <v>554</v>
      </c>
      <c r="B524" s="3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R524">
        <v>0</v>
      </c>
      <c r="T524">
        <v>1</v>
      </c>
      <c r="V524">
        <v>0</v>
      </c>
      <c r="X524">
        <v>0</v>
      </c>
      <c r="Z524">
        <v>0</v>
      </c>
    </row>
    <row r="525" spans="1:26">
      <c r="A525" t="s">
        <v>555</v>
      </c>
      <c r="B525" s="3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R525">
        <v>0</v>
      </c>
      <c r="T525">
        <v>1</v>
      </c>
      <c r="V525">
        <v>0</v>
      </c>
      <c r="X525">
        <v>0</v>
      </c>
      <c r="Z525">
        <v>2</v>
      </c>
    </row>
    <row r="526" spans="1:26">
      <c r="A526" t="s">
        <v>556</v>
      </c>
      <c r="B526" s="3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R526">
        <v>0</v>
      </c>
      <c r="T526">
        <v>1</v>
      </c>
      <c r="V526">
        <v>1</v>
      </c>
      <c r="X526">
        <v>1</v>
      </c>
      <c r="Z526">
        <v>0</v>
      </c>
    </row>
    <row r="527" spans="1:26">
      <c r="A527" t="s">
        <v>557</v>
      </c>
      <c r="B527" s="3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R527">
        <v>0</v>
      </c>
      <c r="T527">
        <v>1</v>
      </c>
      <c r="V527">
        <v>1</v>
      </c>
      <c r="X527">
        <v>1</v>
      </c>
      <c r="Z527">
        <v>0</v>
      </c>
    </row>
    <row r="528" spans="1:26">
      <c r="A528" t="s">
        <v>558</v>
      </c>
      <c r="B528" s="3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R528">
        <v>0</v>
      </c>
      <c r="T528">
        <v>1</v>
      </c>
      <c r="V528">
        <v>0</v>
      </c>
      <c r="X528">
        <v>0</v>
      </c>
      <c r="Z528">
        <v>0</v>
      </c>
    </row>
    <row r="529" spans="1:26">
      <c r="A529" t="s">
        <v>559</v>
      </c>
      <c r="B529" s="3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R529">
        <v>0</v>
      </c>
      <c r="T529">
        <v>0</v>
      </c>
      <c r="V529">
        <v>0</v>
      </c>
      <c r="X529">
        <v>0</v>
      </c>
      <c r="Z529">
        <v>0</v>
      </c>
    </row>
    <row r="530" spans="1:26">
      <c r="A530" t="s">
        <v>560</v>
      </c>
      <c r="B530" s="3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R530">
        <v>0</v>
      </c>
      <c r="T530">
        <v>1</v>
      </c>
      <c r="V530">
        <v>0</v>
      </c>
      <c r="X530">
        <v>0</v>
      </c>
      <c r="Z530">
        <v>0</v>
      </c>
    </row>
    <row r="531" spans="1:26">
      <c r="A531" t="s">
        <v>561</v>
      </c>
      <c r="B531" s="3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R531">
        <v>0</v>
      </c>
      <c r="T531">
        <v>0</v>
      </c>
      <c r="V531">
        <v>0</v>
      </c>
      <c r="X531">
        <v>0</v>
      </c>
      <c r="Z531">
        <v>0</v>
      </c>
    </row>
    <row r="532" spans="1:26">
      <c r="A532" t="s">
        <v>562</v>
      </c>
      <c r="B532" s="3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R532">
        <v>0</v>
      </c>
      <c r="T532">
        <v>0</v>
      </c>
      <c r="V532">
        <v>0</v>
      </c>
      <c r="X532">
        <v>0</v>
      </c>
      <c r="Z532">
        <v>0</v>
      </c>
    </row>
    <row r="533" spans="1:26">
      <c r="A533" t="s">
        <v>563</v>
      </c>
      <c r="B533" s="3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R533">
        <v>0</v>
      </c>
      <c r="T533">
        <v>1</v>
      </c>
      <c r="V533">
        <v>0</v>
      </c>
      <c r="X533">
        <v>0</v>
      </c>
      <c r="Z533">
        <v>0</v>
      </c>
    </row>
    <row r="534" spans="1:26">
      <c r="A534" t="s">
        <v>564</v>
      </c>
      <c r="B534" s="3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R534">
        <v>0</v>
      </c>
      <c r="T534">
        <v>1</v>
      </c>
      <c r="V534">
        <v>0</v>
      </c>
      <c r="X534">
        <v>0</v>
      </c>
      <c r="Z534">
        <v>0</v>
      </c>
    </row>
    <row r="535" spans="1:26">
      <c r="A535" t="s">
        <v>565</v>
      </c>
      <c r="B535" s="3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R535">
        <v>0</v>
      </c>
      <c r="T535">
        <v>1</v>
      </c>
      <c r="V535">
        <v>0</v>
      </c>
      <c r="X535">
        <v>0</v>
      </c>
      <c r="Z535">
        <v>0</v>
      </c>
    </row>
    <row r="536" spans="1:26">
      <c r="A536" t="s">
        <v>566</v>
      </c>
      <c r="B536" s="3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R536">
        <v>0</v>
      </c>
      <c r="T536">
        <v>1</v>
      </c>
      <c r="V536">
        <v>1</v>
      </c>
      <c r="X536">
        <v>1</v>
      </c>
      <c r="Z536">
        <v>0</v>
      </c>
    </row>
    <row r="537" spans="1:26">
      <c r="A537" t="s">
        <v>567</v>
      </c>
      <c r="B537" s="3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R537">
        <v>0</v>
      </c>
      <c r="T537">
        <v>1</v>
      </c>
      <c r="V537">
        <v>0</v>
      </c>
      <c r="X537">
        <v>0</v>
      </c>
      <c r="Z537">
        <v>0</v>
      </c>
    </row>
    <row r="538" spans="1:26">
      <c r="A538" t="s">
        <v>568</v>
      </c>
      <c r="B538" s="3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R538">
        <v>0</v>
      </c>
      <c r="T538">
        <v>1</v>
      </c>
      <c r="V538">
        <v>1</v>
      </c>
      <c r="X538">
        <v>0</v>
      </c>
      <c r="Z538">
        <v>1</v>
      </c>
    </row>
    <row r="539" spans="1:26">
      <c r="A539" t="s">
        <v>569</v>
      </c>
      <c r="B539" s="3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R539">
        <v>0</v>
      </c>
      <c r="T539">
        <v>1</v>
      </c>
      <c r="V539">
        <v>0</v>
      </c>
      <c r="X539">
        <v>0</v>
      </c>
      <c r="Z539">
        <v>0</v>
      </c>
    </row>
    <row r="540" spans="1:26">
      <c r="A540" t="s">
        <v>570</v>
      </c>
      <c r="B540" s="3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R540">
        <v>0</v>
      </c>
      <c r="T540">
        <v>1</v>
      </c>
      <c r="V540">
        <v>1</v>
      </c>
      <c r="X540">
        <v>1</v>
      </c>
      <c r="Z540">
        <v>1</v>
      </c>
    </row>
    <row r="541" spans="1:26">
      <c r="A541" t="s">
        <v>571</v>
      </c>
      <c r="B541" s="3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R541">
        <v>0</v>
      </c>
      <c r="T541">
        <v>1</v>
      </c>
      <c r="V541">
        <v>0</v>
      </c>
      <c r="X541">
        <v>0</v>
      </c>
      <c r="Z541">
        <v>0</v>
      </c>
    </row>
    <row r="542" spans="1:26">
      <c r="A542" t="s">
        <v>572</v>
      </c>
      <c r="B542" s="3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R542">
        <v>0</v>
      </c>
      <c r="T542">
        <v>1</v>
      </c>
      <c r="V542">
        <v>1</v>
      </c>
      <c r="X542">
        <v>0</v>
      </c>
      <c r="Z542">
        <v>0</v>
      </c>
    </row>
    <row r="543" spans="1:26">
      <c r="A543" t="s">
        <v>573</v>
      </c>
      <c r="B543" s="3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R543">
        <v>0</v>
      </c>
      <c r="T543">
        <v>0</v>
      </c>
      <c r="V543">
        <v>0</v>
      </c>
      <c r="X543">
        <v>0</v>
      </c>
      <c r="Z543">
        <v>0</v>
      </c>
    </row>
    <row r="544" spans="1:26">
      <c r="A544" t="s">
        <v>574</v>
      </c>
      <c r="B544" s="3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R544">
        <v>0</v>
      </c>
      <c r="T544">
        <v>1</v>
      </c>
      <c r="V544">
        <v>0</v>
      </c>
      <c r="X544">
        <v>0</v>
      </c>
      <c r="Z544">
        <v>0</v>
      </c>
    </row>
    <row r="545" spans="1:26">
      <c r="A545" t="s">
        <v>575</v>
      </c>
      <c r="B545" s="3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R545">
        <v>0</v>
      </c>
      <c r="T545">
        <v>1</v>
      </c>
      <c r="V545">
        <v>1</v>
      </c>
      <c r="X545">
        <v>1</v>
      </c>
      <c r="Z545">
        <v>0</v>
      </c>
    </row>
    <row r="546" spans="1:26">
      <c r="A546" t="s">
        <v>576</v>
      </c>
      <c r="B546" s="3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R546">
        <v>0</v>
      </c>
      <c r="T546">
        <v>0</v>
      </c>
      <c r="V546">
        <v>0</v>
      </c>
      <c r="X546">
        <v>0</v>
      </c>
      <c r="Z546">
        <v>0</v>
      </c>
    </row>
    <row r="547" spans="1:26">
      <c r="A547" t="s">
        <v>577</v>
      </c>
      <c r="B547" s="3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R547">
        <v>0</v>
      </c>
      <c r="T547">
        <v>1</v>
      </c>
      <c r="V547">
        <v>1</v>
      </c>
      <c r="X547">
        <v>1</v>
      </c>
      <c r="Z547">
        <v>0</v>
      </c>
    </row>
    <row r="548" spans="1:26">
      <c r="A548" t="s">
        <v>578</v>
      </c>
      <c r="B548" s="3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R548">
        <v>0</v>
      </c>
      <c r="T548">
        <v>1</v>
      </c>
      <c r="V548">
        <v>0</v>
      </c>
      <c r="X548">
        <v>0</v>
      </c>
      <c r="Z548">
        <v>0</v>
      </c>
    </row>
    <row r="549" spans="1:26">
      <c r="A549" t="s">
        <v>579</v>
      </c>
      <c r="B549" s="3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R549">
        <v>0</v>
      </c>
      <c r="T549">
        <v>1</v>
      </c>
      <c r="V549">
        <v>0</v>
      </c>
      <c r="X549">
        <v>0</v>
      </c>
      <c r="Z549">
        <v>0</v>
      </c>
    </row>
    <row r="550" spans="1:26">
      <c r="A550" t="s">
        <v>580</v>
      </c>
      <c r="B550" s="3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R550">
        <v>0</v>
      </c>
      <c r="T550">
        <v>1</v>
      </c>
      <c r="V550">
        <v>0</v>
      </c>
      <c r="X550">
        <v>0</v>
      </c>
      <c r="Z550">
        <v>0</v>
      </c>
    </row>
    <row r="551" spans="1:26">
      <c r="A551" t="s">
        <v>581</v>
      </c>
      <c r="B551" s="3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R551">
        <v>0</v>
      </c>
      <c r="T551">
        <v>0</v>
      </c>
      <c r="V551">
        <v>0</v>
      </c>
      <c r="X551">
        <v>0</v>
      </c>
      <c r="Z551">
        <v>2</v>
      </c>
    </row>
    <row r="552" spans="1:26">
      <c r="A552" t="s">
        <v>582</v>
      </c>
      <c r="B552" s="3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R552">
        <v>0</v>
      </c>
      <c r="T552">
        <v>1</v>
      </c>
      <c r="V552">
        <v>1</v>
      </c>
      <c r="X552">
        <v>0</v>
      </c>
      <c r="Z552">
        <v>0</v>
      </c>
    </row>
    <row r="553" spans="1:26">
      <c r="A553" t="s">
        <v>583</v>
      </c>
      <c r="B553" s="3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R553">
        <v>0</v>
      </c>
      <c r="T553">
        <v>1</v>
      </c>
      <c r="V553">
        <v>0</v>
      </c>
      <c r="X553">
        <v>0</v>
      </c>
      <c r="Z553">
        <v>0</v>
      </c>
    </row>
    <row r="554" spans="1:26">
      <c r="A554" t="s">
        <v>584</v>
      </c>
      <c r="B554" s="3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R554">
        <v>0</v>
      </c>
      <c r="T554">
        <v>0</v>
      </c>
      <c r="V554">
        <v>0</v>
      </c>
      <c r="X554">
        <v>0</v>
      </c>
      <c r="Z554">
        <v>0</v>
      </c>
    </row>
    <row r="555" spans="1:26">
      <c r="A555" t="s">
        <v>585</v>
      </c>
      <c r="B555" s="3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R555">
        <v>0</v>
      </c>
      <c r="T555">
        <v>1</v>
      </c>
      <c r="V555">
        <v>0</v>
      </c>
      <c r="X555">
        <v>0</v>
      </c>
      <c r="Z555">
        <v>0</v>
      </c>
    </row>
    <row r="556" spans="1:26">
      <c r="A556" t="s">
        <v>586</v>
      </c>
      <c r="B556" s="3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R556">
        <v>0</v>
      </c>
      <c r="T556">
        <v>1</v>
      </c>
      <c r="V556">
        <v>1</v>
      </c>
      <c r="X556">
        <v>1</v>
      </c>
      <c r="Z556">
        <v>0</v>
      </c>
    </row>
    <row r="557" spans="1:26">
      <c r="A557" t="s">
        <v>587</v>
      </c>
      <c r="B557" s="3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R557">
        <v>0</v>
      </c>
      <c r="T557">
        <v>1</v>
      </c>
      <c r="V557">
        <v>0</v>
      </c>
      <c r="X557">
        <v>0</v>
      </c>
      <c r="Z557">
        <v>0</v>
      </c>
    </row>
    <row r="558" spans="1:26">
      <c r="A558" t="s">
        <v>588</v>
      </c>
      <c r="B558" s="3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R558">
        <v>0</v>
      </c>
      <c r="T558">
        <v>0</v>
      </c>
      <c r="V558">
        <v>0</v>
      </c>
      <c r="X558">
        <v>0</v>
      </c>
      <c r="Z558">
        <v>0</v>
      </c>
    </row>
    <row r="559" spans="1:26">
      <c r="A559" t="s">
        <v>589</v>
      </c>
      <c r="B559" s="3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R559">
        <v>0</v>
      </c>
      <c r="T559">
        <v>0</v>
      </c>
      <c r="V559">
        <v>0</v>
      </c>
      <c r="X559">
        <v>0</v>
      </c>
      <c r="Z559">
        <v>0</v>
      </c>
    </row>
    <row r="560" spans="1:26">
      <c r="A560" t="s">
        <v>590</v>
      </c>
      <c r="B560" s="3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R560">
        <v>0</v>
      </c>
      <c r="T560">
        <v>1</v>
      </c>
      <c r="V560">
        <v>0</v>
      </c>
      <c r="X560">
        <v>0</v>
      </c>
      <c r="Z560">
        <v>0</v>
      </c>
    </row>
    <row r="561" spans="1:26">
      <c r="A561" t="s">
        <v>591</v>
      </c>
      <c r="B561" s="3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R561">
        <v>0</v>
      </c>
      <c r="T561">
        <v>1</v>
      </c>
      <c r="V561">
        <v>0</v>
      </c>
      <c r="X561">
        <v>0</v>
      </c>
      <c r="Z561">
        <v>0</v>
      </c>
    </row>
    <row r="562" spans="1:26">
      <c r="A562" t="s">
        <v>592</v>
      </c>
      <c r="B562" s="3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R562">
        <v>0</v>
      </c>
      <c r="T562">
        <v>1</v>
      </c>
      <c r="V562">
        <v>0</v>
      </c>
      <c r="X562">
        <v>0</v>
      </c>
      <c r="Z562">
        <v>0</v>
      </c>
    </row>
    <row r="563" spans="1:26">
      <c r="A563" t="s">
        <v>593</v>
      </c>
      <c r="B563" s="3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R563">
        <v>0</v>
      </c>
      <c r="T563">
        <v>0</v>
      </c>
      <c r="V563">
        <v>0</v>
      </c>
      <c r="X563">
        <v>0</v>
      </c>
      <c r="Z563">
        <v>0</v>
      </c>
    </row>
    <row r="564" spans="1:26">
      <c r="A564" t="s">
        <v>594</v>
      </c>
      <c r="B564" s="3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R564">
        <v>0</v>
      </c>
      <c r="T564">
        <v>0</v>
      </c>
      <c r="V564">
        <v>0</v>
      </c>
      <c r="X564">
        <v>0</v>
      </c>
      <c r="Z564">
        <v>0</v>
      </c>
    </row>
    <row r="565" spans="1:26">
      <c r="A565" t="s">
        <v>595</v>
      </c>
      <c r="B565" s="3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R565">
        <v>0</v>
      </c>
      <c r="T565">
        <v>1</v>
      </c>
      <c r="V565">
        <v>1</v>
      </c>
      <c r="X565">
        <v>0</v>
      </c>
      <c r="Z565">
        <v>0</v>
      </c>
    </row>
    <row r="566" spans="1:26">
      <c r="A566" t="s">
        <v>596</v>
      </c>
      <c r="B566" s="3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R566">
        <v>0</v>
      </c>
      <c r="T566">
        <v>1</v>
      </c>
      <c r="V566">
        <v>0</v>
      </c>
      <c r="X566">
        <v>0</v>
      </c>
      <c r="Z566">
        <v>1</v>
      </c>
    </row>
    <row r="567" spans="1:26">
      <c r="A567" t="s">
        <v>597</v>
      </c>
      <c r="B567" s="3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R567">
        <v>0</v>
      </c>
      <c r="T567">
        <v>1</v>
      </c>
      <c r="V567">
        <v>1</v>
      </c>
      <c r="X567">
        <v>1</v>
      </c>
      <c r="Z567">
        <v>0</v>
      </c>
    </row>
    <row r="568" spans="1:26">
      <c r="A568" t="s">
        <v>598</v>
      </c>
      <c r="B568" s="3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R568">
        <v>0</v>
      </c>
      <c r="T568">
        <v>1</v>
      </c>
      <c r="V568">
        <v>0</v>
      </c>
      <c r="X568">
        <v>0</v>
      </c>
      <c r="Z568">
        <v>0</v>
      </c>
    </row>
    <row r="569" spans="1:26">
      <c r="A569" t="s">
        <v>599</v>
      </c>
      <c r="B569" s="3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R569">
        <v>0</v>
      </c>
      <c r="T569">
        <v>1</v>
      </c>
      <c r="V569">
        <v>0</v>
      </c>
      <c r="X569">
        <v>0</v>
      </c>
      <c r="Z569">
        <v>0</v>
      </c>
    </row>
    <row r="570" spans="1:26">
      <c r="A570" t="s">
        <v>600</v>
      </c>
      <c r="B570" s="3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R570">
        <v>0</v>
      </c>
      <c r="T570">
        <v>1</v>
      </c>
      <c r="V570">
        <v>1</v>
      </c>
      <c r="X570">
        <v>0</v>
      </c>
      <c r="Z570">
        <v>0</v>
      </c>
    </row>
    <row r="571" spans="1:26">
      <c r="A571" t="s">
        <v>601</v>
      </c>
      <c r="B571" s="3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R571">
        <v>0</v>
      </c>
      <c r="T571">
        <v>1</v>
      </c>
      <c r="V571">
        <v>0</v>
      </c>
      <c r="X571">
        <v>0</v>
      </c>
      <c r="Z571">
        <v>2</v>
      </c>
    </row>
    <row r="572" spans="1:26">
      <c r="A572" t="s">
        <v>602</v>
      </c>
      <c r="B572" s="3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R572">
        <v>0</v>
      </c>
      <c r="T572">
        <v>0</v>
      </c>
      <c r="V572">
        <v>0</v>
      </c>
      <c r="X572">
        <v>0</v>
      </c>
      <c r="Z572">
        <v>1</v>
      </c>
    </row>
    <row r="573" spans="1:26">
      <c r="A573" t="s">
        <v>603</v>
      </c>
      <c r="B573" s="3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R573">
        <v>0</v>
      </c>
      <c r="T573">
        <v>1</v>
      </c>
      <c r="V573">
        <v>0</v>
      </c>
      <c r="X573">
        <v>0</v>
      </c>
      <c r="Z573">
        <v>0</v>
      </c>
    </row>
    <row r="574" spans="1:26">
      <c r="A574" t="s">
        <v>604</v>
      </c>
      <c r="B574" s="3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R574">
        <v>0</v>
      </c>
      <c r="T574">
        <v>1</v>
      </c>
      <c r="V574">
        <v>0</v>
      </c>
      <c r="X574">
        <v>0</v>
      </c>
      <c r="Z574">
        <v>0</v>
      </c>
    </row>
    <row r="575" spans="1:26">
      <c r="A575" t="s">
        <v>605</v>
      </c>
      <c r="B575" s="3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R575">
        <v>0</v>
      </c>
      <c r="T575">
        <v>0</v>
      </c>
      <c r="V575">
        <v>0</v>
      </c>
      <c r="X575">
        <v>0</v>
      </c>
      <c r="Z575">
        <v>2</v>
      </c>
    </row>
    <row r="576" spans="1:26">
      <c r="A576" t="s">
        <v>606</v>
      </c>
      <c r="B576" s="3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R576">
        <v>0</v>
      </c>
      <c r="T576">
        <v>0</v>
      </c>
      <c r="V576">
        <v>0</v>
      </c>
      <c r="X576">
        <v>0</v>
      </c>
      <c r="Z576">
        <v>0</v>
      </c>
    </row>
    <row r="577" spans="1:26">
      <c r="A577" t="s">
        <v>607</v>
      </c>
      <c r="B577" s="3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R577">
        <v>0</v>
      </c>
      <c r="T577">
        <v>1</v>
      </c>
      <c r="V577">
        <v>1</v>
      </c>
      <c r="X577">
        <v>0</v>
      </c>
      <c r="Z577">
        <v>0</v>
      </c>
    </row>
    <row r="578" spans="1:26">
      <c r="A578" t="s">
        <v>608</v>
      </c>
      <c r="B578" s="3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R578">
        <v>0</v>
      </c>
      <c r="T578">
        <v>1</v>
      </c>
      <c r="V578">
        <v>0</v>
      </c>
      <c r="X578">
        <v>0</v>
      </c>
      <c r="Z578">
        <v>0</v>
      </c>
    </row>
    <row r="579" spans="1:26">
      <c r="A579" t="s">
        <v>609</v>
      </c>
      <c r="B579" s="3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R579">
        <v>0</v>
      </c>
      <c r="T579">
        <v>1</v>
      </c>
      <c r="V579">
        <v>0</v>
      </c>
      <c r="X579">
        <v>0</v>
      </c>
      <c r="Z579">
        <v>0</v>
      </c>
    </row>
    <row r="580" spans="1:26">
      <c r="A580" t="s">
        <v>610</v>
      </c>
      <c r="B580" s="3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R580">
        <v>0</v>
      </c>
      <c r="T580">
        <v>0</v>
      </c>
      <c r="V580">
        <v>0</v>
      </c>
      <c r="X580">
        <v>0</v>
      </c>
      <c r="Z580">
        <v>0</v>
      </c>
    </row>
    <row r="581" spans="1:26">
      <c r="A581" t="s">
        <v>611</v>
      </c>
      <c r="B581" s="3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R581">
        <v>0</v>
      </c>
      <c r="T581">
        <v>0</v>
      </c>
      <c r="V581">
        <v>0</v>
      </c>
      <c r="X581">
        <v>0</v>
      </c>
      <c r="Z581">
        <v>0</v>
      </c>
    </row>
    <row r="582" spans="1:26">
      <c r="A582" t="s">
        <v>612</v>
      </c>
      <c r="B582" s="3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R582">
        <v>0</v>
      </c>
      <c r="T582">
        <v>1</v>
      </c>
      <c r="V582">
        <v>1</v>
      </c>
      <c r="X582">
        <v>1</v>
      </c>
      <c r="Z582">
        <v>3</v>
      </c>
    </row>
    <row r="583" spans="1:26">
      <c r="A583" t="s">
        <v>613</v>
      </c>
      <c r="B583" s="3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R583">
        <v>0</v>
      </c>
      <c r="T583">
        <v>1</v>
      </c>
      <c r="V583">
        <v>0</v>
      </c>
      <c r="X583">
        <v>0</v>
      </c>
      <c r="Z583">
        <v>0</v>
      </c>
    </row>
    <row r="584" spans="1:26">
      <c r="A584" t="s">
        <v>614</v>
      </c>
      <c r="B584" s="3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R584">
        <v>0</v>
      </c>
      <c r="T584">
        <v>0</v>
      </c>
      <c r="V584">
        <v>0</v>
      </c>
      <c r="X584">
        <v>0</v>
      </c>
      <c r="Z584">
        <v>0</v>
      </c>
    </row>
    <row r="585" spans="1:26">
      <c r="A585" t="s">
        <v>615</v>
      </c>
      <c r="B585" s="3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R585">
        <v>0</v>
      </c>
      <c r="T585">
        <v>0</v>
      </c>
      <c r="V585">
        <v>0</v>
      </c>
      <c r="X585">
        <v>0</v>
      </c>
      <c r="Z585">
        <v>0</v>
      </c>
    </row>
    <row r="586" spans="1:26">
      <c r="A586" t="s">
        <v>616</v>
      </c>
      <c r="B586" s="3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R586">
        <v>0</v>
      </c>
      <c r="T586">
        <v>0</v>
      </c>
      <c r="V586">
        <v>0</v>
      </c>
      <c r="X586">
        <v>0</v>
      </c>
      <c r="Z586">
        <v>1</v>
      </c>
    </row>
    <row r="587" spans="1:26">
      <c r="A587" t="s">
        <v>617</v>
      </c>
      <c r="B587" s="3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R587">
        <v>0</v>
      </c>
      <c r="T587">
        <v>1</v>
      </c>
      <c r="V587">
        <v>1</v>
      </c>
      <c r="X587">
        <v>0</v>
      </c>
      <c r="Z587">
        <v>0</v>
      </c>
    </row>
    <row r="588" spans="1:26">
      <c r="A588" t="s">
        <v>618</v>
      </c>
      <c r="B588" s="3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R588">
        <v>0</v>
      </c>
      <c r="T588">
        <v>0</v>
      </c>
      <c r="V588">
        <v>0</v>
      </c>
      <c r="X588">
        <v>0</v>
      </c>
      <c r="Z588">
        <v>0</v>
      </c>
    </row>
    <row r="589" spans="1:26">
      <c r="A589" t="s">
        <v>619</v>
      </c>
      <c r="B589" s="3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R589">
        <v>0</v>
      </c>
      <c r="T589">
        <v>1</v>
      </c>
      <c r="V589">
        <v>0</v>
      </c>
      <c r="X589">
        <v>0</v>
      </c>
      <c r="Z589">
        <v>1</v>
      </c>
    </row>
    <row r="590" spans="1:26">
      <c r="A590" t="s">
        <v>620</v>
      </c>
      <c r="B590" s="3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R590">
        <v>0</v>
      </c>
      <c r="T590">
        <v>1</v>
      </c>
      <c r="V590">
        <v>1</v>
      </c>
      <c r="X590">
        <v>0</v>
      </c>
      <c r="Z590">
        <v>0</v>
      </c>
    </row>
    <row r="591" spans="1:26">
      <c r="A591" t="s">
        <v>621</v>
      </c>
      <c r="B591" s="3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R591">
        <v>0</v>
      </c>
      <c r="T591">
        <v>0</v>
      </c>
      <c r="V591">
        <v>0</v>
      </c>
      <c r="X591">
        <v>0</v>
      </c>
      <c r="Z591">
        <v>2</v>
      </c>
    </row>
    <row r="592" spans="1:26">
      <c r="A592" t="s">
        <v>622</v>
      </c>
      <c r="B592" s="3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R592">
        <v>0</v>
      </c>
      <c r="T592">
        <v>1</v>
      </c>
      <c r="V592">
        <v>0</v>
      </c>
      <c r="X592">
        <v>0</v>
      </c>
      <c r="Z592">
        <v>0</v>
      </c>
    </row>
    <row r="593" spans="1:26">
      <c r="A593" t="s">
        <v>623</v>
      </c>
      <c r="B593" s="3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R593">
        <v>0</v>
      </c>
      <c r="T593">
        <v>1</v>
      </c>
      <c r="V593">
        <v>0</v>
      </c>
      <c r="X593">
        <v>0</v>
      </c>
      <c r="Z593">
        <v>0</v>
      </c>
    </row>
    <row r="594" spans="1:26">
      <c r="A594" t="s">
        <v>624</v>
      </c>
      <c r="B594" s="3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R594">
        <v>0</v>
      </c>
      <c r="T594">
        <v>1</v>
      </c>
      <c r="V594">
        <v>0</v>
      </c>
      <c r="X594">
        <v>0</v>
      </c>
      <c r="Z594">
        <v>0</v>
      </c>
    </row>
    <row r="595" spans="1:26">
      <c r="A595" t="s">
        <v>625</v>
      </c>
      <c r="B595" s="3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R595">
        <v>1</v>
      </c>
      <c r="T595">
        <v>1</v>
      </c>
      <c r="V595">
        <v>1</v>
      </c>
      <c r="X595">
        <v>1</v>
      </c>
      <c r="Z595">
        <v>0</v>
      </c>
    </row>
    <row r="596" spans="1:26">
      <c r="A596" t="s">
        <v>626</v>
      </c>
      <c r="B596" s="3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R596">
        <v>0</v>
      </c>
      <c r="T596">
        <v>0</v>
      </c>
      <c r="V596">
        <v>0</v>
      </c>
      <c r="X596">
        <v>0</v>
      </c>
      <c r="Z596">
        <v>0</v>
      </c>
    </row>
    <row r="597" spans="1:26">
      <c r="A597" t="s">
        <v>627</v>
      </c>
      <c r="B597" s="3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R597">
        <v>0</v>
      </c>
      <c r="T597">
        <v>0</v>
      </c>
      <c r="V597">
        <v>0</v>
      </c>
      <c r="X597">
        <v>0</v>
      </c>
      <c r="Z597">
        <v>0</v>
      </c>
    </row>
    <row r="598" spans="1:26">
      <c r="A598" t="s">
        <v>628</v>
      </c>
      <c r="B598" s="3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R598">
        <v>0</v>
      </c>
      <c r="T598">
        <v>1</v>
      </c>
      <c r="V598">
        <v>1</v>
      </c>
      <c r="X598">
        <v>0</v>
      </c>
      <c r="Z598">
        <v>0</v>
      </c>
    </row>
    <row r="599" spans="1:26">
      <c r="A599" t="s">
        <v>629</v>
      </c>
      <c r="B599" s="3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R599">
        <v>0</v>
      </c>
      <c r="T599">
        <v>1</v>
      </c>
      <c r="V599">
        <v>1</v>
      </c>
      <c r="X599">
        <v>1</v>
      </c>
      <c r="Z599">
        <v>0</v>
      </c>
    </row>
    <row r="600" spans="1:26">
      <c r="A600" t="s">
        <v>630</v>
      </c>
      <c r="B600" s="3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R600">
        <v>0</v>
      </c>
      <c r="T600">
        <v>1</v>
      </c>
      <c r="V600">
        <v>0</v>
      </c>
      <c r="X600">
        <v>0</v>
      </c>
      <c r="Z600">
        <v>0</v>
      </c>
    </row>
    <row r="601" spans="1:26">
      <c r="A601" t="s">
        <v>631</v>
      </c>
      <c r="B601" s="3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R601">
        <v>0</v>
      </c>
      <c r="T601">
        <v>0</v>
      </c>
      <c r="V601">
        <v>0</v>
      </c>
      <c r="X601">
        <v>0</v>
      </c>
      <c r="Z601">
        <v>1</v>
      </c>
    </row>
    <row r="602" spans="1:26">
      <c r="A602" t="s">
        <v>632</v>
      </c>
      <c r="B602" s="3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R602">
        <v>0</v>
      </c>
      <c r="T602">
        <v>0</v>
      </c>
      <c r="V602">
        <v>0</v>
      </c>
      <c r="X602">
        <v>0</v>
      </c>
      <c r="Z602">
        <v>2</v>
      </c>
    </row>
    <row r="603" spans="1:26">
      <c r="A603" t="s">
        <v>633</v>
      </c>
      <c r="B603" s="3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R603">
        <v>0</v>
      </c>
      <c r="T603">
        <v>1</v>
      </c>
      <c r="V603">
        <v>0</v>
      </c>
      <c r="X603">
        <v>0</v>
      </c>
      <c r="Z603">
        <v>0</v>
      </c>
    </row>
    <row r="604" spans="1:26">
      <c r="A604" t="s">
        <v>634</v>
      </c>
      <c r="B604" s="3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R604">
        <v>0</v>
      </c>
      <c r="T604">
        <v>1</v>
      </c>
      <c r="V604">
        <v>0</v>
      </c>
      <c r="X604">
        <v>0</v>
      </c>
      <c r="Z604">
        <v>0</v>
      </c>
    </row>
    <row r="605" spans="1:26">
      <c r="A605" t="s">
        <v>635</v>
      </c>
      <c r="B605" s="3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R605">
        <v>0</v>
      </c>
      <c r="T605">
        <v>0</v>
      </c>
      <c r="V605">
        <v>0</v>
      </c>
      <c r="X605">
        <v>0</v>
      </c>
      <c r="Z605">
        <v>0</v>
      </c>
    </row>
    <row r="606" spans="1:26">
      <c r="A606" t="s">
        <v>636</v>
      </c>
      <c r="B606" s="3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R606">
        <v>0</v>
      </c>
      <c r="T606">
        <v>1</v>
      </c>
      <c r="V606">
        <v>0</v>
      </c>
      <c r="X606">
        <v>0</v>
      </c>
      <c r="Z606">
        <v>1</v>
      </c>
    </row>
    <row r="607" spans="1:26">
      <c r="A607" t="s">
        <v>637</v>
      </c>
      <c r="B607" s="3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R607">
        <v>0</v>
      </c>
      <c r="T607">
        <v>1</v>
      </c>
      <c r="V607">
        <v>1</v>
      </c>
      <c r="X607">
        <v>0</v>
      </c>
      <c r="Z607">
        <v>0</v>
      </c>
    </row>
    <row r="608" spans="1:26">
      <c r="A608" t="s">
        <v>638</v>
      </c>
      <c r="B608" s="3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R608">
        <v>0</v>
      </c>
      <c r="T608">
        <v>1</v>
      </c>
      <c r="V608">
        <v>0</v>
      </c>
      <c r="X608">
        <v>0</v>
      </c>
      <c r="Z608">
        <v>0</v>
      </c>
    </row>
    <row r="609" spans="1:26">
      <c r="A609" t="s">
        <v>639</v>
      </c>
      <c r="B609" s="3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R609">
        <v>0</v>
      </c>
      <c r="T609">
        <v>1</v>
      </c>
      <c r="V609">
        <v>1</v>
      </c>
      <c r="X609">
        <v>0</v>
      </c>
      <c r="Z609">
        <v>0</v>
      </c>
    </row>
    <row r="610" spans="1:26">
      <c r="A610" t="s">
        <v>640</v>
      </c>
      <c r="B610" s="3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R610">
        <v>0</v>
      </c>
      <c r="T610">
        <v>0</v>
      </c>
      <c r="V610">
        <v>0</v>
      </c>
      <c r="X610">
        <v>0</v>
      </c>
      <c r="Z610">
        <v>0</v>
      </c>
    </row>
    <row r="611" spans="1:26">
      <c r="A611" t="s">
        <v>641</v>
      </c>
      <c r="B611" s="3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R611">
        <v>0</v>
      </c>
      <c r="T611">
        <v>1</v>
      </c>
      <c r="V611">
        <v>1</v>
      </c>
      <c r="X611">
        <v>1</v>
      </c>
      <c r="Z611">
        <v>0</v>
      </c>
    </row>
    <row r="612" spans="1:26">
      <c r="A612" t="s">
        <v>642</v>
      </c>
      <c r="B612" s="3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R612">
        <v>0</v>
      </c>
      <c r="T612">
        <v>1</v>
      </c>
      <c r="V612">
        <v>0</v>
      </c>
      <c r="X612">
        <v>0</v>
      </c>
      <c r="Z612">
        <v>0</v>
      </c>
    </row>
    <row r="613" spans="1:26">
      <c r="A613" t="s">
        <v>643</v>
      </c>
      <c r="B613" s="3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R613">
        <v>0</v>
      </c>
      <c r="T613">
        <v>0</v>
      </c>
      <c r="V613">
        <v>0</v>
      </c>
      <c r="X613">
        <v>0</v>
      </c>
      <c r="Z613">
        <v>1</v>
      </c>
    </row>
    <row r="614" spans="1:26">
      <c r="A614" t="s">
        <v>644</v>
      </c>
      <c r="B614" s="3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R614">
        <v>0</v>
      </c>
      <c r="T614">
        <v>1</v>
      </c>
      <c r="V614">
        <v>0</v>
      </c>
      <c r="X614">
        <v>0</v>
      </c>
      <c r="Z614">
        <v>0</v>
      </c>
    </row>
    <row r="615" spans="1:26">
      <c r="A615" t="s">
        <v>645</v>
      </c>
      <c r="B615" s="3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R615">
        <v>0</v>
      </c>
      <c r="T615">
        <v>1</v>
      </c>
      <c r="V615">
        <v>1</v>
      </c>
      <c r="X615">
        <v>1</v>
      </c>
      <c r="Z615">
        <v>0</v>
      </c>
    </row>
    <row r="616" spans="1:26">
      <c r="A616" t="s">
        <v>646</v>
      </c>
      <c r="B616" s="3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R616">
        <v>0</v>
      </c>
      <c r="T616">
        <v>0</v>
      </c>
      <c r="V616">
        <v>0</v>
      </c>
      <c r="X616">
        <v>0</v>
      </c>
      <c r="Z616">
        <v>0</v>
      </c>
    </row>
    <row r="617" spans="1:26">
      <c r="A617" t="s">
        <v>647</v>
      </c>
      <c r="B617" s="3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R617">
        <v>0</v>
      </c>
      <c r="T617">
        <v>0</v>
      </c>
      <c r="V617">
        <v>0</v>
      </c>
      <c r="X617">
        <v>0</v>
      </c>
      <c r="Z617">
        <v>0</v>
      </c>
    </row>
    <row r="618" spans="1:26">
      <c r="A618" t="s">
        <v>648</v>
      </c>
      <c r="B618" s="3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R618">
        <v>0</v>
      </c>
      <c r="T618">
        <v>0</v>
      </c>
      <c r="V618">
        <v>0</v>
      </c>
      <c r="X618">
        <v>0</v>
      </c>
      <c r="Z618">
        <v>2</v>
      </c>
    </row>
    <row r="619" spans="1:26">
      <c r="A619" t="s">
        <v>649</v>
      </c>
      <c r="B619" s="3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R619">
        <v>0</v>
      </c>
      <c r="T619">
        <v>1</v>
      </c>
      <c r="V619">
        <v>0</v>
      </c>
      <c r="X619">
        <v>0</v>
      </c>
      <c r="Z619">
        <v>0</v>
      </c>
    </row>
    <row r="620" spans="1:26">
      <c r="A620" t="s">
        <v>650</v>
      </c>
      <c r="B620" s="3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R620">
        <v>0</v>
      </c>
      <c r="T620">
        <v>0</v>
      </c>
      <c r="V620">
        <v>0</v>
      </c>
      <c r="X620">
        <v>0</v>
      </c>
      <c r="Z620">
        <v>0</v>
      </c>
    </row>
    <row r="621" spans="1:26">
      <c r="A621" t="s">
        <v>651</v>
      </c>
      <c r="B621" s="3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R621">
        <v>0</v>
      </c>
      <c r="T621">
        <v>0</v>
      </c>
      <c r="V621">
        <v>0</v>
      </c>
      <c r="X621">
        <v>0</v>
      </c>
      <c r="Z621">
        <v>0</v>
      </c>
    </row>
    <row r="622" spans="1:26">
      <c r="A622" t="s">
        <v>652</v>
      </c>
      <c r="B622" s="3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R622">
        <v>0</v>
      </c>
      <c r="T622">
        <v>1</v>
      </c>
      <c r="V622">
        <v>0</v>
      </c>
      <c r="X622">
        <v>0</v>
      </c>
      <c r="Z622">
        <v>0</v>
      </c>
    </row>
    <row r="623" spans="1:26">
      <c r="A623" t="s">
        <v>653</v>
      </c>
      <c r="B623" s="3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R623">
        <v>0</v>
      </c>
      <c r="T623">
        <v>1</v>
      </c>
      <c r="V623">
        <v>1</v>
      </c>
      <c r="X623">
        <v>0</v>
      </c>
      <c r="Z623">
        <v>0</v>
      </c>
    </row>
    <row r="624" spans="1:26">
      <c r="A624" t="s">
        <v>654</v>
      </c>
      <c r="B624" s="3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R624">
        <v>0</v>
      </c>
      <c r="T624">
        <v>0</v>
      </c>
      <c r="V624">
        <v>0</v>
      </c>
      <c r="X624">
        <v>0</v>
      </c>
      <c r="Z624">
        <v>0</v>
      </c>
    </row>
    <row r="625" spans="1:26">
      <c r="A625" t="s">
        <v>655</v>
      </c>
      <c r="B625" s="3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R625">
        <v>0</v>
      </c>
      <c r="T625">
        <v>0</v>
      </c>
      <c r="V625">
        <v>0</v>
      </c>
      <c r="X625">
        <v>0</v>
      </c>
      <c r="Z625">
        <v>0</v>
      </c>
    </row>
    <row r="626" spans="1:26">
      <c r="A626" t="s">
        <v>656</v>
      </c>
      <c r="B626" s="3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R626">
        <v>0</v>
      </c>
      <c r="T626">
        <v>1</v>
      </c>
      <c r="V626">
        <v>1</v>
      </c>
      <c r="X626">
        <v>0</v>
      </c>
      <c r="Z626">
        <v>0</v>
      </c>
    </row>
    <row r="627" spans="1:26">
      <c r="A627" t="s">
        <v>657</v>
      </c>
      <c r="B627" s="3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R627">
        <v>0</v>
      </c>
      <c r="T627">
        <v>1</v>
      </c>
      <c r="V627">
        <v>1</v>
      </c>
      <c r="X627">
        <v>0</v>
      </c>
      <c r="Z627">
        <v>0</v>
      </c>
    </row>
    <row r="628" spans="1:26">
      <c r="A628" t="s">
        <v>658</v>
      </c>
      <c r="B628" s="3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R628">
        <v>0</v>
      </c>
      <c r="T628">
        <v>1</v>
      </c>
      <c r="V628">
        <v>0</v>
      </c>
      <c r="X628">
        <v>0</v>
      </c>
      <c r="Z628">
        <v>0</v>
      </c>
    </row>
    <row r="629" spans="1:26">
      <c r="A629" t="s">
        <v>659</v>
      </c>
      <c r="B629" s="3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R629">
        <v>0</v>
      </c>
      <c r="T629">
        <v>0</v>
      </c>
      <c r="V629">
        <v>0</v>
      </c>
      <c r="X629">
        <v>0</v>
      </c>
      <c r="Z629">
        <v>0</v>
      </c>
    </row>
    <row r="630" spans="1:26">
      <c r="A630" t="s">
        <v>660</v>
      </c>
      <c r="B630" s="3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R630">
        <v>0</v>
      </c>
      <c r="T630">
        <v>1</v>
      </c>
      <c r="V630">
        <v>1</v>
      </c>
      <c r="X630">
        <v>1</v>
      </c>
      <c r="Z630">
        <v>0</v>
      </c>
    </row>
    <row r="631" spans="1:26">
      <c r="A631" t="s">
        <v>661</v>
      </c>
      <c r="B631" s="3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R631">
        <v>0</v>
      </c>
      <c r="T631">
        <v>0</v>
      </c>
      <c r="V631">
        <v>0</v>
      </c>
      <c r="X631">
        <v>0</v>
      </c>
      <c r="Z631">
        <v>0</v>
      </c>
    </row>
    <row r="632" spans="1:26">
      <c r="A632" t="s">
        <v>662</v>
      </c>
      <c r="B632" s="3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R632">
        <v>0</v>
      </c>
      <c r="T632">
        <v>1</v>
      </c>
      <c r="V632">
        <v>1</v>
      </c>
      <c r="X632">
        <v>1</v>
      </c>
      <c r="Z632">
        <v>0</v>
      </c>
    </row>
    <row r="633" spans="1:26">
      <c r="A633" t="s">
        <v>663</v>
      </c>
      <c r="B633" s="3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R633">
        <v>0</v>
      </c>
      <c r="T633">
        <v>1</v>
      </c>
      <c r="V633">
        <v>0</v>
      </c>
      <c r="X633">
        <v>0</v>
      </c>
      <c r="Z633">
        <v>0</v>
      </c>
    </row>
    <row r="634" spans="1:26">
      <c r="A634" t="s">
        <v>664</v>
      </c>
      <c r="B634" s="3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R634">
        <v>0</v>
      </c>
      <c r="T634">
        <v>1</v>
      </c>
      <c r="V634">
        <v>0</v>
      </c>
      <c r="X634">
        <v>0</v>
      </c>
      <c r="Z634">
        <v>0</v>
      </c>
    </row>
    <row r="635" spans="1:26">
      <c r="A635" t="s">
        <v>665</v>
      </c>
      <c r="B635" s="3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R635">
        <v>0</v>
      </c>
      <c r="T635">
        <v>0</v>
      </c>
      <c r="V635">
        <v>0</v>
      </c>
      <c r="X635">
        <v>0</v>
      </c>
      <c r="Z635">
        <v>0</v>
      </c>
    </row>
    <row r="636" spans="1:26">
      <c r="A636" t="s">
        <v>666</v>
      </c>
      <c r="B636" s="3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R636">
        <v>0</v>
      </c>
      <c r="T636">
        <v>1</v>
      </c>
      <c r="V636">
        <v>0</v>
      </c>
      <c r="X636">
        <v>0</v>
      </c>
      <c r="Z636">
        <v>3</v>
      </c>
    </row>
    <row r="637" spans="1:26">
      <c r="A637" t="s">
        <v>667</v>
      </c>
      <c r="B637" s="3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R637">
        <v>0</v>
      </c>
      <c r="T637">
        <v>0</v>
      </c>
      <c r="V637">
        <v>0</v>
      </c>
      <c r="X637">
        <v>0</v>
      </c>
      <c r="Z637">
        <v>0</v>
      </c>
    </row>
    <row r="638" spans="1:26">
      <c r="A638" t="s">
        <v>668</v>
      </c>
      <c r="B638" s="3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R638">
        <v>0</v>
      </c>
      <c r="T638">
        <v>1</v>
      </c>
      <c r="V638">
        <v>0</v>
      </c>
      <c r="X638">
        <v>0</v>
      </c>
      <c r="Z638">
        <v>0</v>
      </c>
    </row>
    <row r="639" spans="1:26">
      <c r="A639" t="s">
        <v>669</v>
      </c>
      <c r="B639" s="3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R639">
        <v>0</v>
      </c>
      <c r="T639">
        <v>1</v>
      </c>
      <c r="V639">
        <v>1</v>
      </c>
      <c r="X639">
        <v>1</v>
      </c>
      <c r="Z639">
        <v>0</v>
      </c>
    </row>
    <row r="640" spans="1:26">
      <c r="A640" t="s">
        <v>670</v>
      </c>
      <c r="B640" s="3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R640">
        <v>0</v>
      </c>
      <c r="T640">
        <v>0</v>
      </c>
      <c r="V640">
        <v>0</v>
      </c>
      <c r="X640">
        <v>0</v>
      </c>
      <c r="Z640">
        <v>0</v>
      </c>
    </row>
    <row r="641" spans="1:26">
      <c r="A641" t="s">
        <v>671</v>
      </c>
      <c r="B641" s="3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R641">
        <v>0</v>
      </c>
      <c r="T641">
        <v>0</v>
      </c>
      <c r="V641">
        <v>0</v>
      </c>
      <c r="X641">
        <v>0</v>
      </c>
      <c r="Z641">
        <v>0</v>
      </c>
    </row>
    <row r="642" spans="1:26">
      <c r="A642" t="s">
        <v>672</v>
      </c>
      <c r="B642" s="3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R642">
        <v>0</v>
      </c>
      <c r="T642">
        <v>1</v>
      </c>
      <c r="V642">
        <v>0</v>
      </c>
      <c r="X642">
        <v>0</v>
      </c>
      <c r="Z642">
        <v>0</v>
      </c>
    </row>
    <row r="643" spans="1:26">
      <c r="A643" t="s">
        <v>673</v>
      </c>
      <c r="B643" s="3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R643">
        <v>0</v>
      </c>
      <c r="T643">
        <v>1</v>
      </c>
      <c r="V643">
        <v>0</v>
      </c>
      <c r="X643">
        <v>0</v>
      </c>
      <c r="Z643">
        <v>0</v>
      </c>
    </row>
    <row r="644" spans="1:26">
      <c r="A644" t="s">
        <v>674</v>
      </c>
      <c r="B644" s="3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R644">
        <v>0</v>
      </c>
      <c r="T644">
        <v>0</v>
      </c>
      <c r="V644">
        <v>0</v>
      </c>
      <c r="X644">
        <v>0</v>
      </c>
      <c r="Z644">
        <v>0</v>
      </c>
    </row>
    <row r="645" spans="1:26">
      <c r="A645" t="s">
        <v>675</v>
      </c>
      <c r="B645" s="3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R645">
        <v>0</v>
      </c>
      <c r="T645">
        <v>0</v>
      </c>
      <c r="V645">
        <v>0</v>
      </c>
      <c r="X645">
        <v>0</v>
      </c>
      <c r="Z645">
        <v>0</v>
      </c>
    </row>
    <row r="646" spans="1:26">
      <c r="A646" t="s">
        <v>676</v>
      </c>
      <c r="B646" s="3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R646">
        <v>0</v>
      </c>
      <c r="T646">
        <v>1</v>
      </c>
      <c r="V646">
        <v>0</v>
      </c>
      <c r="X646">
        <v>0</v>
      </c>
      <c r="Z646">
        <v>0</v>
      </c>
    </row>
    <row r="647" spans="1:26">
      <c r="A647" t="s">
        <v>677</v>
      </c>
      <c r="B647" s="3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R647">
        <v>0</v>
      </c>
      <c r="T647">
        <v>1</v>
      </c>
      <c r="V647">
        <v>0</v>
      </c>
      <c r="X647">
        <v>0</v>
      </c>
      <c r="Z647">
        <v>0</v>
      </c>
    </row>
    <row r="648" spans="1:26">
      <c r="A648" t="s">
        <v>678</v>
      </c>
      <c r="B648" s="3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R648">
        <v>0</v>
      </c>
      <c r="T648">
        <v>0</v>
      </c>
      <c r="V648">
        <v>0</v>
      </c>
      <c r="X648">
        <v>0</v>
      </c>
      <c r="Z648">
        <v>0</v>
      </c>
    </row>
    <row r="649" spans="1:26">
      <c r="A649" t="s">
        <v>679</v>
      </c>
      <c r="B649" s="3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R649">
        <v>0</v>
      </c>
      <c r="T649">
        <v>1</v>
      </c>
      <c r="V649">
        <v>0</v>
      </c>
      <c r="X649">
        <v>0</v>
      </c>
      <c r="Z649">
        <v>0</v>
      </c>
    </row>
    <row r="650" spans="1:26">
      <c r="A650" t="s">
        <v>680</v>
      </c>
      <c r="B650" s="3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R650">
        <v>0</v>
      </c>
      <c r="T650">
        <v>0</v>
      </c>
      <c r="V650">
        <v>0</v>
      </c>
      <c r="X650">
        <v>0</v>
      </c>
      <c r="Z650">
        <v>0</v>
      </c>
    </row>
    <row r="651" spans="1:26">
      <c r="A651" t="s">
        <v>681</v>
      </c>
      <c r="B651" s="3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R651">
        <v>0</v>
      </c>
      <c r="T651">
        <v>1</v>
      </c>
      <c r="V651">
        <v>0</v>
      </c>
      <c r="X651">
        <v>0</v>
      </c>
      <c r="Z651">
        <v>0</v>
      </c>
    </row>
    <row r="652" spans="1:26">
      <c r="A652" t="s">
        <v>682</v>
      </c>
      <c r="B652" s="3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R652">
        <v>0</v>
      </c>
      <c r="T652">
        <v>0</v>
      </c>
      <c r="V652">
        <v>0</v>
      </c>
      <c r="X652">
        <v>0</v>
      </c>
      <c r="Z652">
        <v>0</v>
      </c>
    </row>
    <row r="653" spans="1:26">
      <c r="A653" t="s">
        <v>683</v>
      </c>
      <c r="B653" s="3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R653">
        <v>0</v>
      </c>
      <c r="T653">
        <v>1</v>
      </c>
      <c r="V653">
        <v>0</v>
      </c>
      <c r="X653">
        <v>0</v>
      </c>
      <c r="Z653">
        <v>0</v>
      </c>
    </row>
    <row r="654" spans="1:26">
      <c r="A654" t="s">
        <v>684</v>
      </c>
      <c r="B654" s="3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R654">
        <v>0</v>
      </c>
      <c r="T654">
        <v>1</v>
      </c>
      <c r="V654">
        <v>0</v>
      </c>
      <c r="X654">
        <v>0</v>
      </c>
      <c r="Z654">
        <v>1</v>
      </c>
    </row>
    <row r="655" spans="1:26">
      <c r="A655" t="s">
        <v>685</v>
      </c>
      <c r="B655" s="3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R655">
        <v>0</v>
      </c>
      <c r="T655">
        <v>1</v>
      </c>
      <c r="V655">
        <v>0</v>
      </c>
      <c r="X655">
        <v>0</v>
      </c>
      <c r="Z655">
        <v>0</v>
      </c>
    </row>
    <row r="656" spans="1:26">
      <c r="A656" t="s">
        <v>686</v>
      </c>
      <c r="B656" s="3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R656">
        <v>0</v>
      </c>
      <c r="T656">
        <v>0</v>
      </c>
      <c r="V656">
        <v>0</v>
      </c>
      <c r="X656">
        <v>0</v>
      </c>
      <c r="Z656">
        <v>0</v>
      </c>
    </row>
    <row r="657" spans="1:26">
      <c r="A657" t="s">
        <v>687</v>
      </c>
      <c r="B657" s="3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R657">
        <v>0</v>
      </c>
      <c r="T657">
        <v>1</v>
      </c>
      <c r="V657">
        <v>0</v>
      </c>
      <c r="X657">
        <v>0</v>
      </c>
      <c r="Z657">
        <v>0</v>
      </c>
    </row>
    <row r="658" spans="1:26">
      <c r="A658" t="s">
        <v>688</v>
      </c>
      <c r="B658" s="3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R658">
        <v>0</v>
      </c>
      <c r="T658">
        <v>0</v>
      </c>
      <c r="V658">
        <v>0</v>
      </c>
      <c r="X658">
        <v>0</v>
      </c>
      <c r="Z658">
        <v>0</v>
      </c>
    </row>
    <row r="659" spans="1:26">
      <c r="A659" t="s">
        <v>689</v>
      </c>
      <c r="B659" s="3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R659">
        <v>0</v>
      </c>
      <c r="T659">
        <v>1</v>
      </c>
      <c r="V659">
        <v>0</v>
      </c>
      <c r="X659">
        <v>0</v>
      </c>
      <c r="Z659">
        <v>0</v>
      </c>
    </row>
    <row r="660" spans="1:26">
      <c r="A660" t="s">
        <v>690</v>
      </c>
      <c r="B660" s="3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R660">
        <v>0</v>
      </c>
      <c r="T660">
        <v>0</v>
      </c>
      <c r="V660">
        <v>0</v>
      </c>
      <c r="X660">
        <v>0</v>
      </c>
      <c r="Z660">
        <v>0</v>
      </c>
    </row>
    <row r="661" spans="1:26">
      <c r="A661" t="s">
        <v>691</v>
      </c>
      <c r="B661" s="3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R661">
        <v>1</v>
      </c>
      <c r="T661">
        <v>1</v>
      </c>
      <c r="V661">
        <v>1</v>
      </c>
      <c r="X661">
        <v>1</v>
      </c>
      <c r="Z661">
        <v>0</v>
      </c>
    </row>
    <row r="662" spans="1:26">
      <c r="A662" t="s">
        <v>692</v>
      </c>
      <c r="B662" s="3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R662">
        <v>0</v>
      </c>
      <c r="T662">
        <v>1</v>
      </c>
      <c r="V662">
        <v>0</v>
      </c>
      <c r="X662">
        <v>0</v>
      </c>
      <c r="Z662">
        <v>0</v>
      </c>
    </row>
    <row r="663" spans="1:26">
      <c r="A663" t="s">
        <v>693</v>
      </c>
      <c r="B663" s="3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R663">
        <v>0</v>
      </c>
      <c r="T663">
        <v>0</v>
      </c>
      <c r="V663">
        <v>0</v>
      </c>
      <c r="X663">
        <v>0</v>
      </c>
      <c r="Z663">
        <v>0</v>
      </c>
    </row>
    <row r="664" spans="1:26">
      <c r="A664" t="s">
        <v>694</v>
      </c>
      <c r="B664" s="3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R664">
        <v>0</v>
      </c>
      <c r="T664">
        <v>0</v>
      </c>
      <c r="V664">
        <v>0</v>
      </c>
      <c r="X664">
        <v>0</v>
      </c>
      <c r="Z664">
        <v>0</v>
      </c>
    </row>
    <row r="665" spans="1:26">
      <c r="A665" t="s">
        <v>695</v>
      </c>
      <c r="B665" s="3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R665">
        <v>0</v>
      </c>
      <c r="T665">
        <v>1</v>
      </c>
      <c r="V665">
        <v>1</v>
      </c>
      <c r="X665">
        <v>1</v>
      </c>
      <c r="Z665">
        <v>0</v>
      </c>
    </row>
    <row r="666" spans="1:26">
      <c r="A666" t="s">
        <v>696</v>
      </c>
      <c r="B666" s="3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R666">
        <v>0</v>
      </c>
      <c r="T666">
        <v>1</v>
      </c>
      <c r="V666">
        <v>0</v>
      </c>
      <c r="X666">
        <v>0</v>
      </c>
      <c r="Z666">
        <v>3</v>
      </c>
    </row>
    <row r="667" spans="1:26">
      <c r="A667" t="s">
        <v>697</v>
      </c>
      <c r="B667" s="3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R667">
        <v>0</v>
      </c>
      <c r="T667">
        <v>0</v>
      </c>
      <c r="V667">
        <v>0</v>
      </c>
      <c r="X667">
        <v>0</v>
      </c>
      <c r="Z667">
        <v>0</v>
      </c>
    </row>
    <row r="668" spans="1:26">
      <c r="A668" t="s">
        <v>698</v>
      </c>
      <c r="B668" s="3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R668">
        <v>0</v>
      </c>
      <c r="T668">
        <v>0</v>
      </c>
      <c r="V668">
        <v>0</v>
      </c>
      <c r="X668">
        <v>0</v>
      </c>
      <c r="Z668">
        <v>0</v>
      </c>
    </row>
    <row r="669" spans="1:26">
      <c r="A669" t="s">
        <v>699</v>
      </c>
      <c r="B669" s="3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R669">
        <v>0</v>
      </c>
      <c r="T669">
        <v>1</v>
      </c>
      <c r="V669">
        <v>1</v>
      </c>
      <c r="X669">
        <v>0</v>
      </c>
      <c r="Z669">
        <v>1</v>
      </c>
    </row>
    <row r="670" spans="1:26">
      <c r="A670" t="s">
        <v>700</v>
      </c>
      <c r="B670" s="3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R670">
        <v>0</v>
      </c>
      <c r="T670">
        <v>0</v>
      </c>
      <c r="V670">
        <v>0</v>
      </c>
      <c r="X670">
        <v>0</v>
      </c>
      <c r="Z670">
        <v>0</v>
      </c>
    </row>
    <row r="671" spans="1:26">
      <c r="A671" t="s">
        <v>701</v>
      </c>
      <c r="B671" s="3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R671">
        <v>0</v>
      </c>
      <c r="T671">
        <v>1</v>
      </c>
      <c r="V671">
        <v>0</v>
      </c>
      <c r="X671">
        <v>0</v>
      </c>
      <c r="Z671">
        <v>0</v>
      </c>
    </row>
    <row r="672" spans="1:26">
      <c r="A672" t="s">
        <v>702</v>
      </c>
      <c r="B672" s="3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R672">
        <v>0</v>
      </c>
      <c r="T672">
        <v>1</v>
      </c>
      <c r="V672">
        <v>0</v>
      </c>
      <c r="X672">
        <v>0</v>
      </c>
      <c r="Z672">
        <v>0</v>
      </c>
    </row>
    <row r="673" spans="1:26">
      <c r="A673" t="s">
        <v>703</v>
      </c>
      <c r="B673" s="3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R673">
        <v>0</v>
      </c>
      <c r="T673">
        <v>1</v>
      </c>
      <c r="V673">
        <v>1</v>
      </c>
      <c r="X673">
        <v>0</v>
      </c>
      <c r="Z673">
        <v>0</v>
      </c>
    </row>
    <row r="674" spans="1:26">
      <c r="A674" t="s">
        <v>704</v>
      </c>
      <c r="B674" s="3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R674">
        <v>0</v>
      </c>
      <c r="T674">
        <v>1</v>
      </c>
      <c r="V674">
        <v>0</v>
      </c>
      <c r="X674">
        <v>0</v>
      </c>
      <c r="Z674">
        <v>1</v>
      </c>
    </row>
    <row r="675" spans="1:26">
      <c r="A675" t="s">
        <v>705</v>
      </c>
      <c r="B675" s="3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R675">
        <v>0</v>
      </c>
      <c r="T675">
        <v>1</v>
      </c>
      <c r="V675">
        <v>0</v>
      </c>
      <c r="X675">
        <v>0</v>
      </c>
      <c r="Z675">
        <v>0</v>
      </c>
    </row>
    <row r="676" spans="1:26">
      <c r="A676" t="s">
        <v>706</v>
      </c>
      <c r="B676" s="3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R676">
        <v>0</v>
      </c>
      <c r="T676">
        <v>0</v>
      </c>
      <c r="V676">
        <v>0</v>
      </c>
      <c r="X676">
        <v>0</v>
      </c>
      <c r="Z676">
        <v>0</v>
      </c>
    </row>
    <row r="677" spans="1:26">
      <c r="A677" t="s">
        <v>707</v>
      </c>
      <c r="B677" s="3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R677">
        <v>0</v>
      </c>
      <c r="T677">
        <v>1</v>
      </c>
      <c r="V677">
        <v>1</v>
      </c>
      <c r="X677">
        <v>1</v>
      </c>
      <c r="Z677">
        <v>0</v>
      </c>
    </row>
    <row r="678" spans="1:26">
      <c r="A678" t="s">
        <v>708</v>
      </c>
      <c r="B678" s="3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R678">
        <v>0</v>
      </c>
      <c r="T678">
        <v>1</v>
      </c>
      <c r="V678">
        <v>0</v>
      </c>
      <c r="X678">
        <v>0</v>
      </c>
      <c r="Z678">
        <v>0</v>
      </c>
    </row>
    <row r="679" spans="1:26">
      <c r="A679" t="s">
        <v>709</v>
      </c>
      <c r="B679" s="3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R679">
        <v>0</v>
      </c>
      <c r="T679">
        <v>1</v>
      </c>
      <c r="V679">
        <v>0</v>
      </c>
      <c r="X679">
        <v>0</v>
      </c>
      <c r="Z679">
        <v>0</v>
      </c>
    </row>
    <row r="680" spans="1:26">
      <c r="A680" t="s">
        <v>710</v>
      </c>
      <c r="B680" s="3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R680">
        <v>0</v>
      </c>
      <c r="T680">
        <v>1</v>
      </c>
      <c r="V680">
        <v>0</v>
      </c>
      <c r="X680">
        <v>0</v>
      </c>
      <c r="Z680">
        <v>0</v>
      </c>
    </row>
    <row r="681" spans="1:26">
      <c r="A681" t="s">
        <v>711</v>
      </c>
      <c r="B681" s="3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R681">
        <v>0</v>
      </c>
      <c r="T681">
        <v>0</v>
      </c>
      <c r="V681">
        <v>0</v>
      </c>
      <c r="X681">
        <v>0</v>
      </c>
      <c r="Z681">
        <v>1</v>
      </c>
    </row>
    <row r="682" spans="1:26">
      <c r="A682" t="s">
        <v>712</v>
      </c>
      <c r="B682" s="3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R682">
        <v>0</v>
      </c>
      <c r="T682">
        <v>1</v>
      </c>
      <c r="V682">
        <v>1</v>
      </c>
      <c r="X682">
        <v>1</v>
      </c>
      <c r="Z682">
        <v>0</v>
      </c>
    </row>
    <row r="683" spans="1:26">
      <c r="A683" t="s">
        <v>713</v>
      </c>
      <c r="B683" s="3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R683">
        <v>0</v>
      </c>
      <c r="T683">
        <v>1</v>
      </c>
      <c r="V683">
        <v>0</v>
      </c>
      <c r="X683">
        <v>0</v>
      </c>
      <c r="Z683">
        <v>0</v>
      </c>
    </row>
    <row r="684" spans="1:26">
      <c r="A684" t="s">
        <v>714</v>
      </c>
      <c r="B684" s="3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R684">
        <v>0</v>
      </c>
      <c r="T684">
        <v>0</v>
      </c>
      <c r="V684">
        <v>0</v>
      </c>
      <c r="X684">
        <v>0</v>
      </c>
      <c r="Z684">
        <v>0</v>
      </c>
    </row>
    <row r="685" spans="1:26">
      <c r="A685" t="s">
        <v>715</v>
      </c>
      <c r="B685" s="3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R685">
        <v>0</v>
      </c>
      <c r="T685">
        <v>0</v>
      </c>
      <c r="V685">
        <v>0</v>
      </c>
      <c r="X685">
        <v>0</v>
      </c>
      <c r="Z685">
        <v>0</v>
      </c>
    </row>
    <row r="686" spans="1:26">
      <c r="A686" t="s">
        <v>716</v>
      </c>
      <c r="B686" s="3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R686">
        <v>0</v>
      </c>
      <c r="T686">
        <v>1</v>
      </c>
      <c r="V686">
        <v>0</v>
      </c>
      <c r="X686">
        <v>0</v>
      </c>
      <c r="Z686">
        <v>1</v>
      </c>
    </row>
    <row r="687" spans="1:26">
      <c r="A687" t="s">
        <v>717</v>
      </c>
      <c r="B687" s="3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R687">
        <v>0</v>
      </c>
      <c r="T687">
        <v>1</v>
      </c>
      <c r="V687">
        <v>1</v>
      </c>
      <c r="X687">
        <v>1</v>
      </c>
      <c r="Z687">
        <v>0</v>
      </c>
    </row>
    <row r="688" spans="1:26">
      <c r="A688" t="s">
        <v>718</v>
      </c>
      <c r="B688" s="3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R688">
        <v>0</v>
      </c>
      <c r="T688">
        <v>1</v>
      </c>
      <c r="V688">
        <v>0</v>
      </c>
      <c r="X688">
        <v>0</v>
      </c>
      <c r="Z688">
        <v>0</v>
      </c>
    </row>
    <row r="689" spans="1:29">
      <c r="A689" t="s">
        <v>719</v>
      </c>
      <c r="B689" s="3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R689">
        <v>0</v>
      </c>
      <c r="T689">
        <v>0</v>
      </c>
      <c r="V689">
        <v>0</v>
      </c>
      <c r="X689">
        <v>0</v>
      </c>
      <c r="Z689">
        <v>0</v>
      </c>
    </row>
    <row r="690" spans="1:29">
      <c r="A690" t="s">
        <v>720</v>
      </c>
      <c r="B690" s="3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R690">
        <v>0</v>
      </c>
      <c r="T690">
        <v>1</v>
      </c>
      <c r="V690">
        <v>0</v>
      </c>
      <c r="X690">
        <v>0</v>
      </c>
      <c r="Z690">
        <v>0</v>
      </c>
    </row>
    <row r="691" spans="1:29">
      <c r="A691" t="s">
        <v>721</v>
      </c>
      <c r="B691" s="3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R691">
        <v>0</v>
      </c>
      <c r="T691">
        <v>0</v>
      </c>
      <c r="V691">
        <v>0</v>
      </c>
      <c r="X691">
        <v>0</v>
      </c>
      <c r="Z691">
        <v>2</v>
      </c>
    </row>
    <row r="692" spans="1:29">
      <c r="A692" t="s">
        <v>722</v>
      </c>
      <c r="B692" s="3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R692">
        <v>0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f>COUNTA(Z2:Z1409)</f>
        <v>693</v>
      </c>
      <c r="AC692">
        <f>COUNTA(AA2:AA1409)</f>
        <v>715</v>
      </c>
    </row>
    <row r="693" spans="1:29">
      <c r="A693" t="s">
        <v>724</v>
      </c>
      <c r="B693" s="3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3</v>
      </c>
    </row>
    <row r="694" spans="1:29">
      <c r="A694" t="s">
        <v>725</v>
      </c>
      <c r="B694" s="3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R694">
        <v>0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  <c r="Z694">
        <v>0</v>
      </c>
      <c r="AA694">
        <v>0</v>
      </c>
    </row>
    <row r="695" spans="1:29">
      <c r="A695" t="s">
        <v>726</v>
      </c>
      <c r="B695" s="3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S695">
        <v>0</v>
      </c>
      <c r="U695">
        <v>1</v>
      </c>
      <c r="W695">
        <v>0</v>
      </c>
      <c r="Y695">
        <v>0</v>
      </c>
      <c r="AA695">
        <v>0</v>
      </c>
    </row>
    <row r="696" spans="1:29">
      <c r="A696" t="s">
        <v>727</v>
      </c>
      <c r="B696" s="3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S696">
        <v>0</v>
      </c>
      <c r="U696">
        <v>0</v>
      </c>
      <c r="W696">
        <v>0</v>
      </c>
      <c r="Y696">
        <v>0</v>
      </c>
      <c r="AA696">
        <v>0</v>
      </c>
    </row>
    <row r="697" spans="1:29">
      <c r="A697" t="s">
        <v>728</v>
      </c>
      <c r="B697" s="3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S697">
        <v>0</v>
      </c>
      <c r="U697">
        <v>1</v>
      </c>
      <c r="W697">
        <v>0</v>
      </c>
      <c r="Y697">
        <v>0</v>
      </c>
      <c r="AA697">
        <v>0</v>
      </c>
    </row>
    <row r="698" spans="1:29">
      <c r="A698" t="s">
        <v>729</v>
      </c>
      <c r="B698" s="3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S698">
        <v>0</v>
      </c>
      <c r="U698">
        <v>1</v>
      </c>
      <c r="W698">
        <v>0</v>
      </c>
      <c r="Y698">
        <v>0</v>
      </c>
      <c r="AA698">
        <v>0</v>
      </c>
    </row>
    <row r="699" spans="1:29">
      <c r="A699" t="s">
        <v>730</v>
      </c>
      <c r="B699" s="3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S699">
        <v>0</v>
      </c>
      <c r="U699">
        <v>1</v>
      </c>
      <c r="W699">
        <v>1</v>
      </c>
      <c r="Y699">
        <v>1</v>
      </c>
      <c r="AA699">
        <v>0</v>
      </c>
    </row>
    <row r="700" spans="1:29">
      <c r="A700" t="s">
        <v>731</v>
      </c>
      <c r="B700" s="3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S700">
        <v>0</v>
      </c>
      <c r="U700">
        <v>1</v>
      </c>
      <c r="W700">
        <v>0</v>
      </c>
      <c r="Y700">
        <v>0</v>
      </c>
      <c r="AA700">
        <v>1</v>
      </c>
    </row>
    <row r="701" spans="1:29">
      <c r="A701" t="s">
        <v>732</v>
      </c>
      <c r="B701" s="3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S701">
        <v>0</v>
      </c>
      <c r="U701">
        <v>1</v>
      </c>
      <c r="W701">
        <v>0</v>
      </c>
      <c r="Y701">
        <v>0</v>
      </c>
      <c r="AA701">
        <v>1</v>
      </c>
    </row>
    <row r="702" spans="1:29">
      <c r="A702" t="s">
        <v>733</v>
      </c>
      <c r="B702" s="3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S702">
        <v>0</v>
      </c>
      <c r="U702">
        <v>1</v>
      </c>
      <c r="W702">
        <v>1</v>
      </c>
      <c r="Y702">
        <v>1</v>
      </c>
      <c r="AA702">
        <v>0</v>
      </c>
    </row>
    <row r="703" spans="1:29">
      <c r="A703" t="s">
        <v>734</v>
      </c>
      <c r="B703" s="3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S703">
        <v>1</v>
      </c>
      <c r="U703">
        <v>1</v>
      </c>
      <c r="W703">
        <v>0</v>
      </c>
      <c r="Y703">
        <v>0</v>
      </c>
      <c r="AA703">
        <v>0</v>
      </c>
    </row>
    <row r="704" spans="1:29">
      <c r="A704" t="s">
        <v>735</v>
      </c>
      <c r="B704" s="3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S704">
        <v>0</v>
      </c>
      <c r="U704">
        <v>0</v>
      </c>
      <c r="W704">
        <v>0</v>
      </c>
      <c r="Y704">
        <v>0</v>
      </c>
      <c r="AA704">
        <v>3</v>
      </c>
    </row>
    <row r="705" spans="1:27">
      <c r="A705" t="s">
        <v>736</v>
      </c>
      <c r="B705" s="3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S705">
        <v>0</v>
      </c>
      <c r="U705">
        <v>0</v>
      </c>
      <c r="W705">
        <v>0</v>
      </c>
      <c r="Y705">
        <v>0</v>
      </c>
      <c r="AA705">
        <v>1</v>
      </c>
    </row>
    <row r="706" spans="1:27">
      <c r="A706" t="s">
        <v>737</v>
      </c>
      <c r="B706" s="3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S706">
        <v>0</v>
      </c>
      <c r="U706">
        <v>1</v>
      </c>
      <c r="W706">
        <v>1</v>
      </c>
      <c r="Y706">
        <v>1</v>
      </c>
      <c r="AA706">
        <v>1</v>
      </c>
    </row>
    <row r="707" spans="1:27">
      <c r="A707" t="s">
        <v>738</v>
      </c>
      <c r="B707" s="3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S707">
        <v>0</v>
      </c>
      <c r="U707">
        <v>0</v>
      </c>
      <c r="W707">
        <v>0</v>
      </c>
      <c r="Y707">
        <v>0</v>
      </c>
      <c r="AA707">
        <v>0</v>
      </c>
    </row>
    <row r="708" spans="1:27">
      <c r="A708" t="s">
        <v>739</v>
      </c>
      <c r="B708" s="3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S708">
        <v>0</v>
      </c>
      <c r="U708">
        <v>1</v>
      </c>
      <c r="W708">
        <v>0</v>
      </c>
      <c r="Y708">
        <v>0</v>
      </c>
      <c r="AA708">
        <v>0</v>
      </c>
    </row>
    <row r="709" spans="1:27">
      <c r="A709" t="s">
        <v>740</v>
      </c>
      <c r="B709" s="3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S709">
        <v>0</v>
      </c>
      <c r="U709">
        <v>0</v>
      </c>
      <c r="W709">
        <v>0</v>
      </c>
      <c r="Y709">
        <v>0</v>
      </c>
      <c r="AA709">
        <v>0</v>
      </c>
    </row>
    <row r="710" spans="1:27">
      <c r="A710" t="s">
        <v>741</v>
      </c>
      <c r="B710" s="3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S710">
        <v>0</v>
      </c>
      <c r="U710">
        <v>1</v>
      </c>
      <c r="W710">
        <v>0</v>
      </c>
      <c r="Y710">
        <v>0</v>
      </c>
      <c r="AA710">
        <v>0</v>
      </c>
    </row>
    <row r="711" spans="1:27">
      <c r="A711" t="s">
        <v>742</v>
      </c>
      <c r="B711" s="3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S711">
        <v>0</v>
      </c>
      <c r="U711">
        <v>1</v>
      </c>
      <c r="W711">
        <v>1</v>
      </c>
      <c r="Y711">
        <v>1</v>
      </c>
      <c r="AA711">
        <v>1</v>
      </c>
    </row>
    <row r="712" spans="1:27">
      <c r="A712" t="s">
        <v>743</v>
      </c>
      <c r="B712" s="3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S712">
        <v>0</v>
      </c>
      <c r="U712">
        <v>1</v>
      </c>
      <c r="W712">
        <v>0</v>
      </c>
      <c r="Y712">
        <v>0</v>
      </c>
      <c r="AA712">
        <v>0</v>
      </c>
    </row>
    <row r="713" spans="1:27">
      <c r="A713" t="s">
        <v>744</v>
      </c>
      <c r="B713" s="3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S713">
        <v>0</v>
      </c>
      <c r="U713">
        <v>1</v>
      </c>
      <c r="W713">
        <v>0</v>
      </c>
      <c r="Y713">
        <v>0</v>
      </c>
      <c r="AA713">
        <v>0</v>
      </c>
    </row>
    <row r="714" spans="1:27">
      <c r="A714" t="s">
        <v>745</v>
      </c>
      <c r="B714" s="3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S714">
        <v>0</v>
      </c>
      <c r="U714">
        <v>1</v>
      </c>
      <c r="W714">
        <v>1</v>
      </c>
      <c r="Y714">
        <v>1</v>
      </c>
      <c r="AA714">
        <v>0</v>
      </c>
    </row>
    <row r="715" spans="1:27">
      <c r="A715" t="s">
        <v>746</v>
      </c>
      <c r="B715" s="3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S715">
        <v>1</v>
      </c>
      <c r="U715">
        <v>1</v>
      </c>
      <c r="W715">
        <v>1</v>
      </c>
      <c r="Y715">
        <v>1</v>
      </c>
      <c r="AA715">
        <v>2</v>
      </c>
    </row>
    <row r="716" spans="1:27">
      <c r="A716" t="s">
        <v>747</v>
      </c>
      <c r="B716" s="3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S716">
        <v>1</v>
      </c>
      <c r="U716">
        <v>0</v>
      </c>
      <c r="W716">
        <v>0</v>
      </c>
      <c r="Y716">
        <v>0</v>
      </c>
      <c r="AA716">
        <v>0</v>
      </c>
    </row>
    <row r="717" spans="1:27">
      <c r="A717" t="s">
        <v>748</v>
      </c>
      <c r="B717" s="3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S717">
        <v>0</v>
      </c>
      <c r="U717">
        <v>1</v>
      </c>
      <c r="W717">
        <v>0</v>
      </c>
      <c r="Y717">
        <v>0</v>
      </c>
      <c r="AA717">
        <v>0</v>
      </c>
    </row>
    <row r="718" spans="1:27">
      <c r="A718" t="s">
        <v>749</v>
      </c>
      <c r="B718" s="3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S718">
        <v>0</v>
      </c>
      <c r="U718">
        <v>1</v>
      </c>
      <c r="W718">
        <v>1</v>
      </c>
      <c r="Y718">
        <v>1</v>
      </c>
      <c r="AA718">
        <v>0</v>
      </c>
    </row>
    <row r="719" spans="1:27">
      <c r="A719" t="s">
        <v>750</v>
      </c>
      <c r="B719" s="3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S719">
        <v>0</v>
      </c>
      <c r="U719">
        <v>0</v>
      </c>
      <c r="W719">
        <v>0</v>
      </c>
      <c r="Y719">
        <v>0</v>
      </c>
      <c r="AA719">
        <v>0</v>
      </c>
    </row>
    <row r="720" spans="1:27">
      <c r="A720" t="s">
        <v>751</v>
      </c>
      <c r="B720" s="3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S720">
        <v>0</v>
      </c>
      <c r="U720">
        <v>0</v>
      </c>
      <c r="W720">
        <v>0</v>
      </c>
      <c r="Y720">
        <v>0</v>
      </c>
      <c r="AA720">
        <v>0</v>
      </c>
    </row>
    <row r="721" spans="1:27">
      <c r="A721" t="s">
        <v>752</v>
      </c>
      <c r="B721" s="3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S721">
        <v>0</v>
      </c>
      <c r="U721">
        <v>0</v>
      </c>
      <c r="W721">
        <v>0</v>
      </c>
      <c r="Y721">
        <v>0</v>
      </c>
      <c r="AA721">
        <v>2</v>
      </c>
    </row>
    <row r="722" spans="1:27">
      <c r="A722" t="s">
        <v>753</v>
      </c>
      <c r="B722" s="3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S722">
        <v>0</v>
      </c>
      <c r="U722">
        <v>1</v>
      </c>
      <c r="W722">
        <v>1</v>
      </c>
      <c r="Y722">
        <v>0</v>
      </c>
      <c r="AA722">
        <v>0</v>
      </c>
    </row>
    <row r="723" spans="1:27">
      <c r="A723" t="s">
        <v>754</v>
      </c>
      <c r="B723" s="3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S723">
        <v>0</v>
      </c>
      <c r="U723">
        <v>1</v>
      </c>
      <c r="W723">
        <v>0</v>
      </c>
      <c r="Y723">
        <v>0</v>
      </c>
      <c r="AA723">
        <v>0</v>
      </c>
    </row>
    <row r="724" spans="1:27">
      <c r="A724" t="s">
        <v>755</v>
      </c>
      <c r="B724" s="3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S724">
        <v>0</v>
      </c>
      <c r="U724">
        <v>0</v>
      </c>
      <c r="W724">
        <v>0</v>
      </c>
      <c r="Y724">
        <v>0</v>
      </c>
      <c r="AA724">
        <v>0</v>
      </c>
    </row>
    <row r="725" spans="1:27">
      <c r="A725" t="s">
        <v>756</v>
      </c>
      <c r="B725" s="3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S725">
        <v>0</v>
      </c>
      <c r="U725">
        <v>1</v>
      </c>
      <c r="W725">
        <v>0</v>
      </c>
      <c r="Y725">
        <v>0</v>
      </c>
      <c r="AA725">
        <v>0</v>
      </c>
    </row>
    <row r="726" spans="1:27">
      <c r="A726" t="s">
        <v>757</v>
      </c>
      <c r="B726" s="3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S726">
        <v>0</v>
      </c>
      <c r="U726">
        <v>0</v>
      </c>
      <c r="W726">
        <v>0</v>
      </c>
      <c r="Y726">
        <v>0</v>
      </c>
      <c r="AA726">
        <v>0</v>
      </c>
    </row>
    <row r="727" spans="1:27">
      <c r="A727" t="s">
        <v>758</v>
      </c>
      <c r="B727" s="3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S727">
        <v>0</v>
      </c>
      <c r="U727">
        <v>1</v>
      </c>
      <c r="W727">
        <v>1</v>
      </c>
      <c r="Y727">
        <v>1</v>
      </c>
      <c r="AA727">
        <v>0</v>
      </c>
    </row>
    <row r="728" spans="1:27">
      <c r="A728" t="s">
        <v>759</v>
      </c>
      <c r="B728" s="3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S728">
        <v>0</v>
      </c>
      <c r="U728">
        <v>1</v>
      </c>
      <c r="W728">
        <v>1</v>
      </c>
      <c r="Y728">
        <v>0</v>
      </c>
      <c r="AA728">
        <v>2</v>
      </c>
    </row>
    <row r="729" spans="1:27">
      <c r="A729" t="s">
        <v>760</v>
      </c>
      <c r="B729" s="3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S729">
        <v>0</v>
      </c>
      <c r="U729">
        <v>1</v>
      </c>
      <c r="W729">
        <v>1</v>
      </c>
      <c r="Y729">
        <v>1</v>
      </c>
      <c r="AA729">
        <v>0</v>
      </c>
    </row>
    <row r="730" spans="1:27">
      <c r="A730" t="s">
        <v>761</v>
      </c>
      <c r="B730" s="3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S730">
        <v>1</v>
      </c>
      <c r="U730">
        <v>1</v>
      </c>
      <c r="W730">
        <v>0</v>
      </c>
      <c r="Y730">
        <v>0</v>
      </c>
      <c r="AA730">
        <v>0</v>
      </c>
    </row>
    <row r="731" spans="1:27">
      <c r="A731" t="s">
        <v>762</v>
      </c>
      <c r="B731" s="3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S731">
        <v>0</v>
      </c>
      <c r="U731">
        <v>0</v>
      </c>
      <c r="W731">
        <v>0</v>
      </c>
      <c r="Y731">
        <v>0</v>
      </c>
      <c r="AA731">
        <v>0</v>
      </c>
    </row>
    <row r="732" spans="1:27">
      <c r="A732" t="s">
        <v>763</v>
      </c>
      <c r="B732" s="3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S732">
        <v>0</v>
      </c>
      <c r="U732">
        <v>1</v>
      </c>
      <c r="W732">
        <v>0</v>
      </c>
      <c r="Y732">
        <v>0</v>
      </c>
      <c r="AA732">
        <v>2</v>
      </c>
    </row>
    <row r="733" spans="1:27">
      <c r="A733" t="s">
        <v>764</v>
      </c>
      <c r="B733" s="3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S733">
        <v>0</v>
      </c>
      <c r="U733">
        <v>1</v>
      </c>
      <c r="W733">
        <v>1</v>
      </c>
      <c r="Y733">
        <v>1</v>
      </c>
      <c r="AA733">
        <v>1</v>
      </c>
    </row>
    <row r="734" spans="1:27">
      <c r="A734" t="s">
        <v>765</v>
      </c>
      <c r="B734" s="3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S734">
        <v>1</v>
      </c>
      <c r="U734">
        <v>1</v>
      </c>
      <c r="W734">
        <v>1</v>
      </c>
      <c r="Y734">
        <v>1</v>
      </c>
      <c r="AA734">
        <v>0</v>
      </c>
    </row>
    <row r="735" spans="1:27">
      <c r="A735" t="s">
        <v>766</v>
      </c>
      <c r="B735" s="3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S735">
        <v>0</v>
      </c>
      <c r="U735">
        <v>1</v>
      </c>
      <c r="W735">
        <v>1</v>
      </c>
      <c r="Y735">
        <v>0</v>
      </c>
      <c r="AA735">
        <v>0</v>
      </c>
    </row>
    <row r="736" spans="1:27">
      <c r="A736" t="s">
        <v>767</v>
      </c>
      <c r="B736" s="3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S736">
        <v>0</v>
      </c>
      <c r="U736">
        <v>1</v>
      </c>
      <c r="W736">
        <v>0</v>
      </c>
      <c r="Y736">
        <v>0</v>
      </c>
      <c r="AA736">
        <v>1</v>
      </c>
    </row>
    <row r="737" spans="1:27">
      <c r="A737" t="s">
        <v>768</v>
      </c>
      <c r="B737" s="3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S737">
        <v>0</v>
      </c>
      <c r="U737">
        <v>1</v>
      </c>
      <c r="W737">
        <v>1</v>
      </c>
      <c r="Y737">
        <v>0</v>
      </c>
      <c r="AA737">
        <v>1</v>
      </c>
    </row>
    <row r="738" spans="1:27">
      <c r="A738" t="s">
        <v>769</v>
      </c>
      <c r="B738" s="3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S738">
        <v>0</v>
      </c>
      <c r="U738">
        <v>1</v>
      </c>
      <c r="W738">
        <v>0</v>
      </c>
      <c r="Y738">
        <v>0</v>
      </c>
      <c r="AA738">
        <v>0</v>
      </c>
    </row>
    <row r="739" spans="1:27">
      <c r="A739" t="s">
        <v>770</v>
      </c>
      <c r="B739" s="3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S739">
        <v>0</v>
      </c>
      <c r="U739">
        <v>1</v>
      </c>
      <c r="W739">
        <v>1</v>
      </c>
      <c r="Y739">
        <v>1</v>
      </c>
      <c r="AA739">
        <v>0</v>
      </c>
    </row>
    <row r="740" spans="1:27">
      <c r="A740" t="s">
        <v>771</v>
      </c>
      <c r="B740" s="3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S740">
        <v>0</v>
      </c>
      <c r="U740">
        <v>0</v>
      </c>
      <c r="W740">
        <v>0</v>
      </c>
      <c r="Y740">
        <v>0</v>
      </c>
      <c r="AA740">
        <v>2</v>
      </c>
    </row>
    <row r="741" spans="1:27">
      <c r="A741" t="s">
        <v>772</v>
      </c>
      <c r="B741" s="3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S741">
        <v>0</v>
      </c>
      <c r="U741">
        <v>0</v>
      </c>
      <c r="W741">
        <v>0</v>
      </c>
      <c r="Y741">
        <v>0</v>
      </c>
      <c r="AA741">
        <v>1</v>
      </c>
    </row>
    <row r="742" spans="1:27">
      <c r="A742" t="s">
        <v>773</v>
      </c>
      <c r="B742" s="3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S742">
        <v>0</v>
      </c>
      <c r="U742">
        <v>1</v>
      </c>
      <c r="W742">
        <v>0</v>
      </c>
      <c r="Y742">
        <v>0</v>
      </c>
      <c r="AA742">
        <v>2</v>
      </c>
    </row>
    <row r="743" spans="1:27">
      <c r="A743" t="s">
        <v>774</v>
      </c>
      <c r="B743" s="3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S743">
        <v>0</v>
      </c>
      <c r="U743">
        <v>0</v>
      </c>
      <c r="W743">
        <v>0</v>
      </c>
      <c r="Y743">
        <v>0</v>
      </c>
      <c r="AA743">
        <v>0</v>
      </c>
    </row>
    <row r="744" spans="1:27">
      <c r="A744" t="s">
        <v>775</v>
      </c>
      <c r="B744" s="3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S744">
        <v>0</v>
      </c>
      <c r="U744">
        <v>1</v>
      </c>
      <c r="W744">
        <v>1</v>
      </c>
      <c r="Y744">
        <v>1</v>
      </c>
      <c r="AA744">
        <v>0</v>
      </c>
    </row>
    <row r="745" spans="1:27">
      <c r="A745" t="s">
        <v>776</v>
      </c>
      <c r="B745" s="3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S745">
        <v>0</v>
      </c>
      <c r="U745">
        <v>0</v>
      </c>
      <c r="W745">
        <v>0</v>
      </c>
      <c r="Y745">
        <v>0</v>
      </c>
      <c r="AA745">
        <v>0</v>
      </c>
    </row>
    <row r="746" spans="1:27">
      <c r="A746" t="s">
        <v>777</v>
      </c>
      <c r="B746" s="3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S746">
        <v>0</v>
      </c>
      <c r="U746">
        <v>1</v>
      </c>
      <c r="W746">
        <v>1</v>
      </c>
      <c r="Y746">
        <v>1</v>
      </c>
      <c r="AA746">
        <v>0</v>
      </c>
    </row>
    <row r="747" spans="1:27">
      <c r="A747" t="s">
        <v>778</v>
      </c>
      <c r="B747" s="3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S747">
        <v>0</v>
      </c>
      <c r="U747">
        <v>0</v>
      </c>
      <c r="W747">
        <v>0</v>
      </c>
      <c r="Y747">
        <v>0</v>
      </c>
      <c r="AA747">
        <v>0</v>
      </c>
    </row>
    <row r="748" spans="1:27">
      <c r="A748" t="s">
        <v>779</v>
      </c>
      <c r="B748" s="3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S748">
        <v>0</v>
      </c>
      <c r="U748">
        <v>1</v>
      </c>
      <c r="W748">
        <v>0</v>
      </c>
      <c r="Y748">
        <v>0</v>
      </c>
      <c r="AA748">
        <v>0</v>
      </c>
    </row>
    <row r="749" spans="1:27">
      <c r="A749" t="s">
        <v>780</v>
      </c>
      <c r="B749" s="3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S749">
        <v>0</v>
      </c>
      <c r="U749">
        <v>1</v>
      </c>
      <c r="W749">
        <v>0</v>
      </c>
      <c r="Y749">
        <v>0</v>
      </c>
      <c r="AA749">
        <v>0</v>
      </c>
    </row>
    <row r="750" spans="1:27">
      <c r="A750" t="s">
        <v>781</v>
      </c>
      <c r="B750" s="3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S750">
        <v>0</v>
      </c>
      <c r="U750">
        <v>0</v>
      </c>
      <c r="W750">
        <v>0</v>
      </c>
      <c r="Y750">
        <v>0</v>
      </c>
      <c r="AA750">
        <v>0</v>
      </c>
    </row>
    <row r="751" spans="1:27">
      <c r="A751" t="s">
        <v>782</v>
      </c>
      <c r="B751" s="3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S751">
        <v>0</v>
      </c>
      <c r="U751">
        <v>1</v>
      </c>
      <c r="W751">
        <v>0</v>
      </c>
      <c r="Y751">
        <v>0</v>
      </c>
      <c r="AA751">
        <v>0</v>
      </c>
    </row>
    <row r="752" spans="1:27">
      <c r="A752" t="s">
        <v>783</v>
      </c>
      <c r="B752" s="3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S752">
        <v>0</v>
      </c>
      <c r="U752">
        <v>0</v>
      </c>
      <c r="W752">
        <v>0</v>
      </c>
      <c r="Y752">
        <v>0</v>
      </c>
      <c r="AA752">
        <v>0</v>
      </c>
    </row>
    <row r="753" spans="1:27">
      <c r="A753" t="s">
        <v>784</v>
      </c>
      <c r="B753" s="3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S753">
        <v>0</v>
      </c>
      <c r="U753">
        <v>0</v>
      </c>
      <c r="W753">
        <v>0</v>
      </c>
      <c r="Y753">
        <v>0</v>
      </c>
      <c r="AA753">
        <v>0</v>
      </c>
    </row>
    <row r="754" spans="1:27">
      <c r="A754" t="s">
        <v>785</v>
      </c>
      <c r="B754" s="3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S754">
        <v>0</v>
      </c>
      <c r="U754">
        <v>1</v>
      </c>
      <c r="W754">
        <v>0</v>
      </c>
      <c r="Y754">
        <v>0</v>
      </c>
      <c r="AA754">
        <v>0</v>
      </c>
    </row>
    <row r="755" spans="1:27">
      <c r="A755" t="s">
        <v>786</v>
      </c>
      <c r="B755" s="3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S755">
        <v>0</v>
      </c>
      <c r="U755">
        <v>1</v>
      </c>
      <c r="W755">
        <v>0</v>
      </c>
      <c r="Y755">
        <v>0</v>
      </c>
      <c r="AA755">
        <v>1</v>
      </c>
    </row>
    <row r="756" spans="1:27">
      <c r="A756" t="s">
        <v>787</v>
      </c>
      <c r="B756" s="3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S756">
        <v>0</v>
      </c>
      <c r="U756">
        <v>0</v>
      </c>
      <c r="W756">
        <v>0</v>
      </c>
      <c r="Y756">
        <v>0</v>
      </c>
      <c r="AA756">
        <v>3</v>
      </c>
    </row>
    <row r="757" spans="1:27">
      <c r="A757" t="s">
        <v>788</v>
      </c>
      <c r="B757" s="3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S757">
        <v>0</v>
      </c>
      <c r="U757">
        <v>1</v>
      </c>
      <c r="W757">
        <v>0</v>
      </c>
      <c r="Y757">
        <v>0</v>
      </c>
      <c r="AA757">
        <v>0</v>
      </c>
    </row>
    <row r="758" spans="1:27">
      <c r="A758" t="s">
        <v>789</v>
      </c>
      <c r="B758" s="3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S758">
        <v>0</v>
      </c>
      <c r="U758">
        <v>0</v>
      </c>
      <c r="W758">
        <v>0</v>
      </c>
      <c r="Y758">
        <v>0</v>
      </c>
      <c r="AA758">
        <v>1</v>
      </c>
    </row>
    <row r="759" spans="1:27">
      <c r="A759" t="s">
        <v>790</v>
      </c>
      <c r="B759" s="3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S759">
        <v>0</v>
      </c>
      <c r="U759">
        <v>1</v>
      </c>
      <c r="W759">
        <v>1</v>
      </c>
      <c r="Y759">
        <v>1</v>
      </c>
      <c r="AA759">
        <v>1</v>
      </c>
    </row>
    <row r="760" spans="1:27">
      <c r="A760" t="s">
        <v>791</v>
      </c>
      <c r="B760" s="3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S760">
        <v>1</v>
      </c>
      <c r="U760">
        <v>1</v>
      </c>
      <c r="W760">
        <v>0</v>
      </c>
      <c r="Y760">
        <v>0</v>
      </c>
      <c r="AA760">
        <v>0</v>
      </c>
    </row>
    <row r="761" spans="1:27">
      <c r="A761" t="s">
        <v>792</v>
      </c>
      <c r="B761" s="3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S761">
        <v>0</v>
      </c>
      <c r="U761">
        <v>1</v>
      </c>
      <c r="W761">
        <v>1</v>
      </c>
      <c r="Y761">
        <v>1</v>
      </c>
      <c r="AA761">
        <v>0</v>
      </c>
    </row>
    <row r="762" spans="1:27">
      <c r="A762" t="s">
        <v>793</v>
      </c>
      <c r="B762" s="3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S762">
        <v>0</v>
      </c>
      <c r="U762">
        <v>0</v>
      </c>
      <c r="W762">
        <v>0</v>
      </c>
      <c r="Y762">
        <v>0</v>
      </c>
      <c r="AA762">
        <v>0</v>
      </c>
    </row>
    <row r="763" spans="1:27">
      <c r="A763" t="s">
        <v>794</v>
      </c>
      <c r="B763" s="3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S763">
        <v>0</v>
      </c>
      <c r="U763">
        <v>0</v>
      </c>
      <c r="W763">
        <v>0</v>
      </c>
      <c r="Y763">
        <v>0</v>
      </c>
      <c r="AA763">
        <v>0</v>
      </c>
    </row>
    <row r="764" spans="1:27">
      <c r="A764" t="s">
        <v>795</v>
      </c>
      <c r="B764" s="3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S764">
        <v>0</v>
      </c>
      <c r="U764">
        <v>1</v>
      </c>
      <c r="W764">
        <v>1</v>
      </c>
      <c r="Y764">
        <v>0</v>
      </c>
      <c r="AA764">
        <v>2</v>
      </c>
    </row>
    <row r="765" spans="1:27">
      <c r="A765" t="s">
        <v>796</v>
      </c>
      <c r="B765" s="3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S765">
        <v>0</v>
      </c>
      <c r="U765">
        <v>1</v>
      </c>
      <c r="W765">
        <v>1</v>
      </c>
      <c r="Y765">
        <v>0</v>
      </c>
      <c r="AA765">
        <v>0</v>
      </c>
    </row>
    <row r="766" spans="1:27">
      <c r="A766" t="s">
        <v>797</v>
      </c>
      <c r="B766" s="3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S766">
        <v>0</v>
      </c>
      <c r="U766">
        <v>0</v>
      </c>
      <c r="W766">
        <v>0</v>
      </c>
      <c r="Y766">
        <v>0</v>
      </c>
      <c r="AA766">
        <v>1</v>
      </c>
    </row>
    <row r="767" spans="1:27">
      <c r="A767" t="s">
        <v>798</v>
      </c>
      <c r="B767" s="3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S767">
        <v>0</v>
      </c>
      <c r="U767">
        <v>1</v>
      </c>
      <c r="W767">
        <v>1</v>
      </c>
      <c r="Y767">
        <v>1</v>
      </c>
      <c r="AA767">
        <v>1</v>
      </c>
    </row>
    <row r="768" spans="1:27">
      <c r="A768" t="s">
        <v>799</v>
      </c>
      <c r="B768" s="3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S768">
        <v>0</v>
      </c>
      <c r="U768">
        <v>1</v>
      </c>
      <c r="W768">
        <v>1</v>
      </c>
      <c r="Y768">
        <v>0</v>
      </c>
      <c r="AA768">
        <v>2</v>
      </c>
    </row>
    <row r="769" spans="1:27">
      <c r="A769" t="s">
        <v>800</v>
      </c>
      <c r="B769" s="3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S769">
        <v>0</v>
      </c>
      <c r="U769">
        <v>1</v>
      </c>
      <c r="W769">
        <v>0</v>
      </c>
      <c r="Y769">
        <v>0</v>
      </c>
      <c r="AA769">
        <v>0</v>
      </c>
    </row>
    <row r="770" spans="1:27">
      <c r="A770" t="s">
        <v>801</v>
      </c>
      <c r="B770" s="3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S770">
        <v>0</v>
      </c>
      <c r="U770">
        <v>1</v>
      </c>
      <c r="W770">
        <v>0</v>
      </c>
      <c r="Y770">
        <v>0</v>
      </c>
      <c r="AA770">
        <v>0</v>
      </c>
    </row>
    <row r="771" spans="1:27">
      <c r="A771" t="s">
        <v>802</v>
      </c>
      <c r="B771" s="3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S771">
        <v>0</v>
      </c>
      <c r="U771">
        <v>1</v>
      </c>
      <c r="W771">
        <v>1</v>
      </c>
      <c r="Y771">
        <v>1</v>
      </c>
      <c r="AA771">
        <v>0</v>
      </c>
    </row>
    <row r="772" spans="1:27">
      <c r="A772" t="s">
        <v>803</v>
      </c>
      <c r="B772" s="3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S772">
        <v>0</v>
      </c>
      <c r="U772">
        <v>1</v>
      </c>
      <c r="W772">
        <v>0</v>
      </c>
      <c r="Y772">
        <v>0</v>
      </c>
      <c r="AA772">
        <v>0</v>
      </c>
    </row>
    <row r="773" spans="1:27">
      <c r="A773" t="s">
        <v>804</v>
      </c>
      <c r="B773" s="3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S773">
        <v>0</v>
      </c>
      <c r="U773">
        <v>1</v>
      </c>
      <c r="W773">
        <v>0</v>
      </c>
      <c r="Y773">
        <v>0</v>
      </c>
      <c r="AA773">
        <v>0</v>
      </c>
    </row>
    <row r="774" spans="1:27">
      <c r="A774" t="s">
        <v>805</v>
      </c>
      <c r="B774" s="3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S774">
        <v>0</v>
      </c>
      <c r="U774">
        <v>1</v>
      </c>
      <c r="W774">
        <v>0</v>
      </c>
      <c r="Y774">
        <v>0</v>
      </c>
      <c r="AA774">
        <v>0</v>
      </c>
    </row>
    <row r="775" spans="1:27">
      <c r="A775" t="s">
        <v>806</v>
      </c>
      <c r="B775" s="3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S775">
        <v>0</v>
      </c>
      <c r="U775">
        <v>1</v>
      </c>
      <c r="W775">
        <v>1</v>
      </c>
      <c r="Y775">
        <v>0</v>
      </c>
      <c r="AA775">
        <v>0</v>
      </c>
    </row>
    <row r="776" spans="1:27">
      <c r="A776" t="s">
        <v>807</v>
      </c>
      <c r="B776" s="3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S776">
        <v>0</v>
      </c>
      <c r="U776">
        <v>0</v>
      </c>
      <c r="W776">
        <v>0</v>
      </c>
      <c r="Y776">
        <v>0</v>
      </c>
      <c r="AA776">
        <v>2</v>
      </c>
    </row>
    <row r="777" spans="1:27">
      <c r="A777" t="s">
        <v>808</v>
      </c>
      <c r="B777" s="3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S777">
        <v>0</v>
      </c>
      <c r="U777">
        <v>1</v>
      </c>
      <c r="W777">
        <v>0</v>
      </c>
      <c r="Y777">
        <v>0</v>
      </c>
      <c r="AA777">
        <v>0</v>
      </c>
    </row>
    <row r="778" spans="1:27">
      <c r="A778" t="s">
        <v>809</v>
      </c>
      <c r="B778" s="3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S778">
        <v>0</v>
      </c>
      <c r="U778">
        <v>0</v>
      </c>
      <c r="W778">
        <v>0</v>
      </c>
      <c r="Y778">
        <v>0</v>
      </c>
      <c r="AA778">
        <v>0</v>
      </c>
    </row>
    <row r="779" spans="1:27">
      <c r="A779" t="s">
        <v>810</v>
      </c>
      <c r="B779" s="3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S779">
        <v>0</v>
      </c>
      <c r="U779">
        <v>0</v>
      </c>
      <c r="W779">
        <v>0</v>
      </c>
      <c r="Y779">
        <v>0</v>
      </c>
      <c r="AA779">
        <v>0</v>
      </c>
    </row>
    <row r="780" spans="1:27">
      <c r="A780" t="s">
        <v>811</v>
      </c>
      <c r="B780" s="3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S780">
        <v>0</v>
      </c>
      <c r="U780">
        <v>1</v>
      </c>
      <c r="W780">
        <v>0</v>
      </c>
      <c r="Y780">
        <v>0</v>
      </c>
      <c r="AA780">
        <v>0</v>
      </c>
    </row>
    <row r="781" spans="1:27">
      <c r="A781" t="s">
        <v>812</v>
      </c>
      <c r="B781" s="3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S781">
        <v>0</v>
      </c>
      <c r="U781">
        <v>1</v>
      </c>
      <c r="W781">
        <v>1</v>
      </c>
      <c r="Y781">
        <v>0</v>
      </c>
      <c r="AA781">
        <v>0</v>
      </c>
    </row>
    <row r="782" spans="1:27">
      <c r="A782" t="s">
        <v>813</v>
      </c>
      <c r="B782" s="3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S782">
        <v>0</v>
      </c>
      <c r="U782">
        <v>1</v>
      </c>
      <c r="W782">
        <v>0</v>
      </c>
      <c r="Y782">
        <v>0</v>
      </c>
      <c r="AA782">
        <v>0</v>
      </c>
    </row>
    <row r="783" spans="1:27">
      <c r="A783" t="s">
        <v>814</v>
      </c>
      <c r="B783" s="3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S783">
        <v>0</v>
      </c>
      <c r="U783">
        <v>1</v>
      </c>
      <c r="W783">
        <v>1</v>
      </c>
      <c r="Y783">
        <v>1</v>
      </c>
      <c r="AA783">
        <v>0</v>
      </c>
    </row>
    <row r="784" spans="1:27">
      <c r="A784" t="s">
        <v>815</v>
      </c>
      <c r="B784" s="3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S784">
        <v>0</v>
      </c>
      <c r="U784">
        <v>0</v>
      </c>
      <c r="W784">
        <v>0</v>
      </c>
      <c r="Y784">
        <v>0</v>
      </c>
      <c r="AA784">
        <v>0</v>
      </c>
    </row>
    <row r="785" spans="1:27">
      <c r="A785" t="s">
        <v>816</v>
      </c>
      <c r="B785" s="3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S785">
        <v>0</v>
      </c>
      <c r="U785">
        <v>1</v>
      </c>
      <c r="W785">
        <v>0</v>
      </c>
      <c r="Y785">
        <v>0</v>
      </c>
      <c r="AA785">
        <v>0</v>
      </c>
    </row>
    <row r="786" spans="1:27">
      <c r="A786" t="s">
        <v>817</v>
      </c>
      <c r="B786" s="3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S786">
        <v>0</v>
      </c>
      <c r="U786">
        <v>1</v>
      </c>
      <c r="W786">
        <v>1</v>
      </c>
      <c r="Y786">
        <v>0</v>
      </c>
      <c r="AA786">
        <v>0</v>
      </c>
    </row>
    <row r="787" spans="1:27">
      <c r="A787" t="s">
        <v>818</v>
      </c>
      <c r="B787" s="3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S787">
        <v>0</v>
      </c>
      <c r="U787">
        <v>1</v>
      </c>
      <c r="W787">
        <v>0</v>
      </c>
      <c r="Y787">
        <v>0</v>
      </c>
      <c r="AA787">
        <v>0</v>
      </c>
    </row>
    <row r="788" spans="1:27">
      <c r="A788" t="s">
        <v>819</v>
      </c>
      <c r="B788" s="3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S788">
        <v>0</v>
      </c>
      <c r="U788">
        <v>1</v>
      </c>
      <c r="W788">
        <v>1</v>
      </c>
      <c r="Y788">
        <v>0</v>
      </c>
      <c r="AA788">
        <v>0</v>
      </c>
    </row>
    <row r="789" spans="1:27">
      <c r="A789" t="s">
        <v>820</v>
      </c>
      <c r="B789" s="3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S789">
        <v>0</v>
      </c>
      <c r="U789">
        <v>1</v>
      </c>
      <c r="W789">
        <v>0</v>
      </c>
      <c r="Y789">
        <v>0</v>
      </c>
      <c r="AA789">
        <v>0</v>
      </c>
    </row>
    <row r="790" spans="1:27">
      <c r="A790" t="s">
        <v>821</v>
      </c>
      <c r="B790" s="3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S790">
        <v>0</v>
      </c>
      <c r="U790">
        <v>0</v>
      </c>
      <c r="W790">
        <v>0</v>
      </c>
      <c r="Y790">
        <v>0</v>
      </c>
      <c r="AA790">
        <v>0</v>
      </c>
    </row>
    <row r="791" spans="1:27">
      <c r="A791" t="s">
        <v>822</v>
      </c>
      <c r="B791" s="3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S791">
        <v>0</v>
      </c>
      <c r="U791">
        <v>0</v>
      </c>
      <c r="W791">
        <v>0</v>
      </c>
      <c r="Y791">
        <v>0</v>
      </c>
      <c r="AA791">
        <v>0</v>
      </c>
    </row>
    <row r="792" spans="1:27">
      <c r="A792" t="s">
        <v>823</v>
      </c>
      <c r="B792" s="3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S792">
        <v>0</v>
      </c>
      <c r="U792">
        <v>0</v>
      </c>
      <c r="W792">
        <v>0</v>
      </c>
      <c r="Y792">
        <v>0</v>
      </c>
      <c r="AA792">
        <v>0</v>
      </c>
    </row>
    <row r="793" spans="1:27">
      <c r="A793" t="s">
        <v>824</v>
      </c>
      <c r="B793" s="3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S793">
        <v>0</v>
      </c>
      <c r="U793">
        <v>1</v>
      </c>
      <c r="W793">
        <v>1</v>
      </c>
      <c r="Y793">
        <v>0</v>
      </c>
      <c r="AA793">
        <v>1</v>
      </c>
    </row>
    <row r="794" spans="1:27">
      <c r="A794" t="s">
        <v>825</v>
      </c>
      <c r="B794" s="3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S794">
        <v>0</v>
      </c>
      <c r="U794">
        <v>0</v>
      </c>
      <c r="W794">
        <v>0</v>
      </c>
      <c r="Y794">
        <v>0</v>
      </c>
      <c r="AA794">
        <v>0</v>
      </c>
    </row>
    <row r="795" spans="1:27">
      <c r="A795" t="s">
        <v>826</v>
      </c>
      <c r="B795" s="3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S795">
        <v>0</v>
      </c>
      <c r="U795">
        <v>0</v>
      </c>
      <c r="W795">
        <v>0</v>
      </c>
      <c r="Y795">
        <v>0</v>
      </c>
      <c r="AA795">
        <v>0</v>
      </c>
    </row>
    <row r="796" spans="1:27">
      <c r="A796" t="s">
        <v>827</v>
      </c>
      <c r="B796" s="3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S796">
        <v>0</v>
      </c>
      <c r="U796">
        <v>0</v>
      </c>
      <c r="W796">
        <v>0</v>
      </c>
      <c r="Y796">
        <v>0</v>
      </c>
      <c r="AA796">
        <v>3</v>
      </c>
    </row>
    <row r="797" spans="1:27">
      <c r="A797" t="s">
        <v>828</v>
      </c>
      <c r="B797" s="3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S797">
        <v>0</v>
      </c>
      <c r="U797">
        <v>1</v>
      </c>
      <c r="W797">
        <v>0</v>
      </c>
      <c r="Y797">
        <v>0</v>
      </c>
      <c r="AA797">
        <v>0</v>
      </c>
    </row>
    <row r="798" spans="1:27">
      <c r="A798" t="s">
        <v>829</v>
      </c>
      <c r="B798" s="3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S798">
        <v>0</v>
      </c>
      <c r="U798">
        <v>1</v>
      </c>
      <c r="W798">
        <v>0</v>
      </c>
      <c r="Y798">
        <v>0</v>
      </c>
      <c r="AA798">
        <v>0</v>
      </c>
    </row>
    <row r="799" spans="1:27">
      <c r="A799" t="s">
        <v>830</v>
      </c>
      <c r="B799" s="3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S799">
        <v>0</v>
      </c>
      <c r="U799">
        <v>0</v>
      </c>
      <c r="W799">
        <v>0</v>
      </c>
      <c r="Y799">
        <v>0</v>
      </c>
      <c r="AA799">
        <v>1</v>
      </c>
    </row>
    <row r="800" spans="1:27">
      <c r="A800" t="s">
        <v>831</v>
      </c>
      <c r="B800" s="3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S800">
        <v>0</v>
      </c>
      <c r="U800">
        <v>1</v>
      </c>
      <c r="W800">
        <v>1</v>
      </c>
      <c r="Y800">
        <v>1</v>
      </c>
      <c r="AA800">
        <v>0</v>
      </c>
    </row>
    <row r="801" spans="1:27">
      <c r="A801" t="s">
        <v>832</v>
      </c>
      <c r="B801" s="3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S801">
        <v>0</v>
      </c>
      <c r="U801">
        <v>1</v>
      </c>
      <c r="W801">
        <v>0</v>
      </c>
      <c r="Y801">
        <v>0</v>
      </c>
      <c r="AA801">
        <v>0</v>
      </c>
    </row>
    <row r="802" spans="1:27">
      <c r="A802" t="s">
        <v>833</v>
      </c>
      <c r="B802" s="3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S802">
        <v>0</v>
      </c>
      <c r="U802">
        <v>1</v>
      </c>
      <c r="W802">
        <v>1</v>
      </c>
      <c r="Y802">
        <v>1</v>
      </c>
      <c r="AA802">
        <v>0</v>
      </c>
    </row>
    <row r="803" spans="1:27">
      <c r="A803" t="s">
        <v>834</v>
      </c>
      <c r="B803" s="3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S803">
        <v>0</v>
      </c>
      <c r="U803">
        <v>1</v>
      </c>
      <c r="W803">
        <v>1</v>
      </c>
      <c r="Y803">
        <v>1</v>
      </c>
      <c r="AA803">
        <v>0</v>
      </c>
    </row>
    <row r="804" spans="1:27">
      <c r="A804" t="s">
        <v>835</v>
      </c>
      <c r="B804" s="3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S804">
        <v>0</v>
      </c>
      <c r="U804">
        <v>0</v>
      </c>
      <c r="W804">
        <v>0</v>
      </c>
      <c r="Y804">
        <v>0</v>
      </c>
      <c r="AA804">
        <v>0</v>
      </c>
    </row>
    <row r="805" spans="1:27">
      <c r="A805" t="s">
        <v>836</v>
      </c>
      <c r="B805" s="3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S805">
        <v>0</v>
      </c>
      <c r="U805">
        <v>0</v>
      </c>
      <c r="W805">
        <v>0</v>
      </c>
      <c r="Y805">
        <v>0</v>
      </c>
      <c r="AA805">
        <v>2</v>
      </c>
    </row>
    <row r="806" spans="1:27">
      <c r="A806" t="s">
        <v>837</v>
      </c>
      <c r="B806" s="3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S806">
        <v>0</v>
      </c>
      <c r="U806">
        <v>1</v>
      </c>
      <c r="W806">
        <v>1</v>
      </c>
      <c r="Y806">
        <v>1</v>
      </c>
      <c r="AA806">
        <v>0</v>
      </c>
    </row>
    <row r="807" spans="1:27">
      <c r="A807" t="s">
        <v>838</v>
      </c>
      <c r="B807" s="3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S807">
        <v>1</v>
      </c>
      <c r="U807">
        <v>1</v>
      </c>
      <c r="W807">
        <v>0</v>
      </c>
      <c r="Y807">
        <v>0</v>
      </c>
      <c r="AA807">
        <v>2</v>
      </c>
    </row>
    <row r="808" spans="1:27">
      <c r="A808" t="s">
        <v>839</v>
      </c>
      <c r="B808" s="3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S808">
        <v>0</v>
      </c>
      <c r="U808">
        <v>1</v>
      </c>
      <c r="W808">
        <v>0</v>
      </c>
      <c r="Y808">
        <v>0</v>
      </c>
      <c r="AA808">
        <v>0</v>
      </c>
    </row>
    <row r="809" spans="1:27">
      <c r="A809" t="s">
        <v>840</v>
      </c>
      <c r="B809" s="3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S809">
        <v>0</v>
      </c>
      <c r="U809">
        <v>1</v>
      </c>
      <c r="W809">
        <v>0</v>
      </c>
      <c r="Y809">
        <v>0</v>
      </c>
      <c r="AA809">
        <v>0</v>
      </c>
    </row>
    <row r="810" spans="1:27">
      <c r="A810" t="s">
        <v>841</v>
      </c>
      <c r="B810" s="3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S810">
        <v>0</v>
      </c>
      <c r="U810">
        <v>0</v>
      </c>
      <c r="W810">
        <v>0</v>
      </c>
      <c r="Y810">
        <v>0</v>
      </c>
      <c r="AA810">
        <v>0</v>
      </c>
    </row>
    <row r="811" spans="1:27">
      <c r="A811" t="s">
        <v>842</v>
      </c>
      <c r="B811" s="3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S811">
        <v>0</v>
      </c>
      <c r="U811">
        <v>1</v>
      </c>
      <c r="W811">
        <v>0</v>
      </c>
      <c r="Y811">
        <v>0</v>
      </c>
      <c r="AA811">
        <v>0</v>
      </c>
    </row>
    <row r="812" spans="1:27">
      <c r="A812" t="s">
        <v>843</v>
      </c>
      <c r="B812" s="3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S812">
        <v>0</v>
      </c>
      <c r="U812">
        <v>0</v>
      </c>
      <c r="W812">
        <v>0</v>
      </c>
      <c r="Y812">
        <v>0</v>
      </c>
      <c r="AA812">
        <v>1</v>
      </c>
    </row>
    <row r="813" spans="1:27">
      <c r="A813" t="s">
        <v>844</v>
      </c>
      <c r="B813" s="3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S813">
        <v>0</v>
      </c>
      <c r="U813">
        <v>1</v>
      </c>
      <c r="W813">
        <v>0</v>
      </c>
      <c r="Y813">
        <v>0</v>
      </c>
      <c r="AA813">
        <v>0</v>
      </c>
    </row>
    <row r="814" spans="1:27">
      <c r="A814" t="s">
        <v>845</v>
      </c>
      <c r="B814" s="3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S814">
        <v>0</v>
      </c>
      <c r="U814">
        <v>1</v>
      </c>
      <c r="W814">
        <v>0</v>
      </c>
      <c r="Y814">
        <v>0</v>
      </c>
      <c r="AA814">
        <v>0</v>
      </c>
    </row>
    <row r="815" spans="1:27">
      <c r="A815" t="s">
        <v>846</v>
      </c>
      <c r="B815" s="3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S815">
        <v>0</v>
      </c>
      <c r="U815">
        <v>1</v>
      </c>
      <c r="W815">
        <v>1</v>
      </c>
      <c r="Y815">
        <v>1</v>
      </c>
      <c r="AA815">
        <v>3</v>
      </c>
    </row>
    <row r="816" spans="1:27">
      <c r="A816" t="s">
        <v>847</v>
      </c>
      <c r="B816" s="3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S816">
        <v>1</v>
      </c>
      <c r="U816">
        <v>1</v>
      </c>
      <c r="W816">
        <v>0</v>
      </c>
      <c r="Y816">
        <v>0</v>
      </c>
      <c r="AA816">
        <v>0</v>
      </c>
    </row>
    <row r="817" spans="1:27">
      <c r="A817" t="s">
        <v>848</v>
      </c>
      <c r="B817" s="3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S817">
        <v>0</v>
      </c>
      <c r="U817">
        <v>1</v>
      </c>
      <c r="W817">
        <v>0</v>
      </c>
      <c r="Y817">
        <v>0</v>
      </c>
      <c r="AA817">
        <v>0</v>
      </c>
    </row>
    <row r="818" spans="1:27">
      <c r="A818" t="s">
        <v>849</v>
      </c>
      <c r="B818" s="3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S818">
        <v>0</v>
      </c>
      <c r="U818">
        <v>1</v>
      </c>
      <c r="W818">
        <v>1</v>
      </c>
      <c r="Y818">
        <v>0</v>
      </c>
      <c r="AA818">
        <v>0</v>
      </c>
    </row>
    <row r="819" spans="1:27">
      <c r="A819" t="s">
        <v>850</v>
      </c>
      <c r="B819" s="3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S819">
        <v>0</v>
      </c>
      <c r="U819">
        <v>1</v>
      </c>
      <c r="W819">
        <v>0</v>
      </c>
      <c r="Y819">
        <v>0</v>
      </c>
      <c r="AA819">
        <v>0</v>
      </c>
    </row>
    <row r="820" spans="1:27">
      <c r="A820" t="s">
        <v>851</v>
      </c>
      <c r="B820" s="3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S820">
        <v>0</v>
      </c>
      <c r="U820">
        <v>1</v>
      </c>
      <c r="W820">
        <v>1</v>
      </c>
      <c r="Y820">
        <v>1</v>
      </c>
      <c r="AA820">
        <v>2</v>
      </c>
    </row>
    <row r="821" spans="1:27">
      <c r="A821" t="s">
        <v>852</v>
      </c>
      <c r="B821" s="3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S821">
        <v>1</v>
      </c>
      <c r="U821">
        <v>1</v>
      </c>
      <c r="W821">
        <v>0</v>
      </c>
      <c r="Y821">
        <v>0</v>
      </c>
      <c r="AA821">
        <v>0</v>
      </c>
    </row>
    <row r="822" spans="1:27">
      <c r="A822" t="s">
        <v>853</v>
      </c>
      <c r="B822" s="3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S822">
        <v>0</v>
      </c>
      <c r="U822">
        <v>0</v>
      </c>
      <c r="W822">
        <v>0</v>
      </c>
      <c r="Y822">
        <v>0</v>
      </c>
      <c r="AA822">
        <v>0</v>
      </c>
    </row>
    <row r="823" spans="1:27">
      <c r="A823" t="s">
        <v>854</v>
      </c>
      <c r="B823" s="3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S823">
        <v>0</v>
      </c>
      <c r="U823">
        <v>1</v>
      </c>
      <c r="W823">
        <v>0</v>
      </c>
      <c r="Y823">
        <v>0</v>
      </c>
      <c r="AA823">
        <v>1</v>
      </c>
    </row>
    <row r="824" spans="1:27">
      <c r="A824" t="s">
        <v>855</v>
      </c>
      <c r="B824" s="3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S824">
        <v>0</v>
      </c>
      <c r="U824">
        <v>1</v>
      </c>
      <c r="W824">
        <v>0</v>
      </c>
      <c r="Y824">
        <v>0</v>
      </c>
      <c r="AA824">
        <v>2</v>
      </c>
    </row>
    <row r="825" spans="1:27">
      <c r="A825" t="s">
        <v>856</v>
      </c>
      <c r="B825" s="3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S825">
        <v>0</v>
      </c>
      <c r="U825">
        <v>0</v>
      </c>
      <c r="W825">
        <v>0</v>
      </c>
      <c r="Y825">
        <v>0</v>
      </c>
      <c r="AA825">
        <v>0</v>
      </c>
    </row>
    <row r="826" spans="1:27">
      <c r="A826" t="s">
        <v>857</v>
      </c>
      <c r="B826" s="3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S826">
        <v>0</v>
      </c>
      <c r="U826">
        <v>1</v>
      </c>
      <c r="W826">
        <v>1</v>
      </c>
      <c r="Y826">
        <v>1</v>
      </c>
      <c r="AA826">
        <v>1</v>
      </c>
    </row>
    <row r="827" spans="1:27">
      <c r="A827" t="s">
        <v>858</v>
      </c>
      <c r="B827" s="3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S827">
        <v>1</v>
      </c>
      <c r="U827">
        <v>1</v>
      </c>
      <c r="W827">
        <v>0</v>
      </c>
      <c r="Y827">
        <v>0</v>
      </c>
      <c r="AA827">
        <v>3</v>
      </c>
    </row>
    <row r="828" spans="1:27">
      <c r="A828" t="s">
        <v>859</v>
      </c>
      <c r="B828" s="3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S828">
        <v>0</v>
      </c>
      <c r="U828">
        <v>1</v>
      </c>
      <c r="W828">
        <v>0</v>
      </c>
      <c r="Y828">
        <v>0</v>
      </c>
      <c r="AA828">
        <v>0</v>
      </c>
    </row>
    <row r="829" spans="1:27">
      <c r="A829" t="s">
        <v>860</v>
      </c>
      <c r="B829" s="3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S829">
        <v>0</v>
      </c>
      <c r="U829">
        <v>1</v>
      </c>
      <c r="W829">
        <v>1</v>
      </c>
      <c r="Y829">
        <v>0</v>
      </c>
      <c r="AA829">
        <v>0</v>
      </c>
    </row>
    <row r="830" spans="1:27">
      <c r="A830" t="s">
        <v>861</v>
      </c>
      <c r="B830" s="3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S830">
        <v>0</v>
      </c>
      <c r="U830">
        <v>1</v>
      </c>
      <c r="W830">
        <v>0</v>
      </c>
      <c r="Y830">
        <v>0</v>
      </c>
      <c r="AA830">
        <v>0</v>
      </c>
    </row>
    <row r="831" spans="1:27">
      <c r="A831" t="s">
        <v>862</v>
      </c>
      <c r="B831" s="3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S831">
        <v>0</v>
      </c>
      <c r="U831">
        <v>1</v>
      </c>
      <c r="W831">
        <v>1</v>
      </c>
      <c r="Y831">
        <v>1</v>
      </c>
      <c r="AA831">
        <v>0</v>
      </c>
    </row>
    <row r="832" spans="1:27">
      <c r="A832" t="s">
        <v>863</v>
      </c>
      <c r="B832" s="3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S832">
        <v>1</v>
      </c>
      <c r="U832">
        <v>1</v>
      </c>
      <c r="W832">
        <v>0</v>
      </c>
      <c r="Y832">
        <v>0</v>
      </c>
      <c r="AA832">
        <v>0</v>
      </c>
    </row>
    <row r="833" spans="1:27">
      <c r="A833" t="s">
        <v>864</v>
      </c>
      <c r="B833" s="3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S833">
        <v>0</v>
      </c>
      <c r="U833">
        <v>1</v>
      </c>
      <c r="W833">
        <v>1</v>
      </c>
      <c r="Y833">
        <v>1</v>
      </c>
      <c r="AA833">
        <v>0</v>
      </c>
    </row>
    <row r="834" spans="1:27">
      <c r="A834" t="s">
        <v>865</v>
      </c>
      <c r="B834" s="3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S834">
        <v>0</v>
      </c>
      <c r="U834">
        <v>1</v>
      </c>
      <c r="W834">
        <v>1</v>
      </c>
      <c r="Y834">
        <v>1</v>
      </c>
      <c r="AA834">
        <v>0</v>
      </c>
    </row>
    <row r="835" spans="1:27">
      <c r="A835" t="s">
        <v>866</v>
      </c>
      <c r="B835" s="3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S835">
        <v>1</v>
      </c>
      <c r="U835">
        <v>1</v>
      </c>
      <c r="W835">
        <v>1</v>
      </c>
      <c r="Y835">
        <v>1</v>
      </c>
      <c r="AA835">
        <v>1</v>
      </c>
    </row>
    <row r="836" spans="1:27">
      <c r="A836" t="s">
        <v>867</v>
      </c>
      <c r="B836" s="3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S836">
        <v>0</v>
      </c>
      <c r="U836">
        <v>1</v>
      </c>
      <c r="W836">
        <v>0</v>
      </c>
      <c r="Y836">
        <v>0</v>
      </c>
      <c r="AA836">
        <v>0</v>
      </c>
    </row>
    <row r="837" spans="1:27">
      <c r="A837" t="s">
        <v>868</v>
      </c>
      <c r="B837" s="3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S837">
        <v>0</v>
      </c>
      <c r="U837">
        <v>1</v>
      </c>
      <c r="W837">
        <v>1</v>
      </c>
      <c r="Y837">
        <v>1</v>
      </c>
      <c r="AA837">
        <v>0</v>
      </c>
    </row>
    <row r="838" spans="1:27">
      <c r="A838" t="s">
        <v>869</v>
      </c>
      <c r="B838" s="3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S838">
        <v>1</v>
      </c>
      <c r="U838">
        <v>1</v>
      </c>
      <c r="W838">
        <v>1</v>
      </c>
      <c r="Y838">
        <v>1</v>
      </c>
      <c r="AA838">
        <v>0</v>
      </c>
    </row>
    <row r="839" spans="1:27">
      <c r="A839" t="s">
        <v>870</v>
      </c>
      <c r="B839" s="3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S839">
        <v>1</v>
      </c>
      <c r="U839">
        <v>1</v>
      </c>
      <c r="W839">
        <v>0</v>
      </c>
      <c r="Y839">
        <v>0</v>
      </c>
      <c r="AA839">
        <v>1</v>
      </c>
    </row>
    <row r="840" spans="1:27">
      <c r="A840" t="s">
        <v>871</v>
      </c>
      <c r="B840" s="3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S840">
        <v>0</v>
      </c>
      <c r="U840">
        <v>1</v>
      </c>
      <c r="W840">
        <v>1</v>
      </c>
      <c r="Y840">
        <v>1</v>
      </c>
      <c r="AA840">
        <v>0</v>
      </c>
    </row>
    <row r="841" spans="1:27">
      <c r="A841" t="s">
        <v>872</v>
      </c>
      <c r="B841" s="3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S841">
        <v>0</v>
      </c>
      <c r="U841">
        <v>1</v>
      </c>
      <c r="W841">
        <v>0</v>
      </c>
      <c r="Y841">
        <v>0</v>
      </c>
      <c r="AA841">
        <v>0</v>
      </c>
    </row>
    <row r="842" spans="1:27">
      <c r="A842" t="s">
        <v>873</v>
      </c>
      <c r="B842" s="3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S842">
        <v>0</v>
      </c>
      <c r="U842">
        <v>0</v>
      </c>
      <c r="W842">
        <v>0</v>
      </c>
      <c r="Y842">
        <v>0</v>
      </c>
      <c r="AA842">
        <v>0</v>
      </c>
    </row>
    <row r="843" spans="1:27">
      <c r="A843" t="s">
        <v>874</v>
      </c>
      <c r="B843" s="3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S843">
        <v>0</v>
      </c>
      <c r="U843">
        <v>1</v>
      </c>
      <c r="W843">
        <v>1</v>
      </c>
      <c r="Y843">
        <v>1</v>
      </c>
      <c r="AA843">
        <v>0</v>
      </c>
    </row>
    <row r="844" spans="1:27">
      <c r="A844" t="s">
        <v>875</v>
      </c>
      <c r="B844" s="3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S844">
        <v>0</v>
      </c>
      <c r="U844">
        <v>1</v>
      </c>
      <c r="W844">
        <v>0</v>
      </c>
      <c r="Y844">
        <v>0</v>
      </c>
      <c r="AA844">
        <v>0</v>
      </c>
    </row>
    <row r="845" spans="1:27">
      <c r="A845" t="s">
        <v>876</v>
      </c>
      <c r="B845" s="3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S845">
        <v>0</v>
      </c>
      <c r="U845">
        <v>0</v>
      </c>
      <c r="W845">
        <v>0</v>
      </c>
      <c r="Y845">
        <v>0</v>
      </c>
      <c r="AA845">
        <v>0</v>
      </c>
    </row>
    <row r="846" spans="1:27">
      <c r="A846" t="s">
        <v>877</v>
      </c>
      <c r="B846" s="3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S846">
        <v>0</v>
      </c>
      <c r="U846">
        <v>1</v>
      </c>
      <c r="W846">
        <v>0</v>
      </c>
      <c r="Y846">
        <v>0</v>
      </c>
      <c r="AA846">
        <v>0</v>
      </c>
    </row>
    <row r="847" spans="1:27">
      <c r="A847" t="s">
        <v>878</v>
      </c>
      <c r="B847" s="3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S847">
        <v>0</v>
      </c>
      <c r="U847">
        <v>1</v>
      </c>
      <c r="W847">
        <v>0</v>
      </c>
      <c r="Y847">
        <v>0</v>
      </c>
      <c r="AA847">
        <v>0</v>
      </c>
    </row>
    <row r="848" spans="1:27">
      <c r="A848" t="s">
        <v>879</v>
      </c>
      <c r="B848" s="3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S848">
        <v>0</v>
      </c>
      <c r="U848">
        <v>1</v>
      </c>
      <c r="W848">
        <v>1</v>
      </c>
      <c r="Y848">
        <v>0</v>
      </c>
      <c r="AA848">
        <v>0</v>
      </c>
    </row>
    <row r="849" spans="1:27">
      <c r="A849" t="s">
        <v>880</v>
      </c>
      <c r="B849" s="3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S849">
        <v>0</v>
      </c>
      <c r="U849">
        <v>0</v>
      </c>
      <c r="W849">
        <v>0</v>
      </c>
      <c r="Y849">
        <v>0</v>
      </c>
      <c r="AA849">
        <v>0</v>
      </c>
    </row>
    <row r="850" spans="1:27">
      <c r="A850" t="s">
        <v>881</v>
      </c>
      <c r="B850" s="3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S850">
        <v>0</v>
      </c>
      <c r="U850">
        <v>0</v>
      </c>
      <c r="W850">
        <v>0</v>
      </c>
      <c r="Y850">
        <v>0</v>
      </c>
      <c r="AA850">
        <v>0</v>
      </c>
    </row>
    <row r="851" spans="1:27">
      <c r="A851" t="s">
        <v>882</v>
      </c>
      <c r="B851" s="3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S851">
        <v>0</v>
      </c>
      <c r="U851">
        <v>0</v>
      </c>
      <c r="W851">
        <v>0</v>
      </c>
      <c r="Y851">
        <v>0</v>
      </c>
      <c r="AA851">
        <v>0</v>
      </c>
    </row>
    <row r="852" spans="1:27">
      <c r="A852" t="s">
        <v>883</v>
      </c>
      <c r="B852" s="3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S852">
        <v>0</v>
      </c>
      <c r="U852">
        <v>1</v>
      </c>
      <c r="W852">
        <v>1</v>
      </c>
      <c r="Y852">
        <v>1</v>
      </c>
      <c r="AA852">
        <v>0</v>
      </c>
    </row>
    <row r="853" spans="1:27">
      <c r="A853" t="s">
        <v>884</v>
      </c>
      <c r="B853" s="3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S853">
        <v>0</v>
      </c>
      <c r="U853">
        <v>1</v>
      </c>
      <c r="W853">
        <v>0</v>
      </c>
      <c r="Y853">
        <v>0</v>
      </c>
      <c r="AA853">
        <v>0</v>
      </c>
    </row>
    <row r="854" spans="1:27">
      <c r="A854" t="s">
        <v>885</v>
      </c>
      <c r="B854" s="3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S854">
        <v>0</v>
      </c>
      <c r="U854">
        <v>1</v>
      </c>
      <c r="W854">
        <v>1</v>
      </c>
      <c r="Y854">
        <v>1</v>
      </c>
      <c r="AA854">
        <v>0</v>
      </c>
    </row>
    <row r="855" spans="1:27">
      <c r="A855" t="s">
        <v>886</v>
      </c>
      <c r="B855" s="3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S855">
        <v>0</v>
      </c>
      <c r="U855">
        <v>1</v>
      </c>
      <c r="W855">
        <v>1</v>
      </c>
      <c r="Y855">
        <v>1</v>
      </c>
      <c r="AA855">
        <v>0</v>
      </c>
    </row>
    <row r="856" spans="1:27">
      <c r="A856" t="s">
        <v>887</v>
      </c>
      <c r="B856" s="3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S856">
        <v>0</v>
      </c>
      <c r="U856">
        <v>1</v>
      </c>
      <c r="W856">
        <v>1</v>
      </c>
      <c r="Y856">
        <v>1</v>
      </c>
      <c r="AA856">
        <v>0</v>
      </c>
    </row>
    <row r="857" spans="1:27">
      <c r="A857" t="s">
        <v>888</v>
      </c>
      <c r="B857" s="3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S857">
        <v>1</v>
      </c>
      <c r="U857">
        <v>1</v>
      </c>
      <c r="W857">
        <v>1</v>
      </c>
      <c r="Y857">
        <v>1</v>
      </c>
      <c r="AA857">
        <v>0</v>
      </c>
    </row>
    <row r="858" spans="1:27">
      <c r="A858" t="s">
        <v>889</v>
      </c>
      <c r="B858" s="3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S858">
        <v>0</v>
      </c>
      <c r="U858">
        <v>0</v>
      </c>
      <c r="W858">
        <v>0</v>
      </c>
      <c r="Y858">
        <v>0</v>
      </c>
      <c r="AA858">
        <v>1</v>
      </c>
    </row>
    <row r="859" spans="1:27">
      <c r="A859" t="s">
        <v>890</v>
      </c>
      <c r="B859" s="3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S859">
        <v>0</v>
      </c>
      <c r="U859">
        <v>0</v>
      </c>
      <c r="W859">
        <v>0</v>
      </c>
      <c r="Y859">
        <v>0</v>
      </c>
      <c r="AA859">
        <v>0</v>
      </c>
    </row>
    <row r="860" spans="1:27">
      <c r="A860" t="s">
        <v>891</v>
      </c>
      <c r="B860" s="3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S860">
        <v>0</v>
      </c>
      <c r="U860">
        <v>1</v>
      </c>
      <c r="W860">
        <v>1</v>
      </c>
      <c r="Y860">
        <v>1</v>
      </c>
      <c r="AA860">
        <v>0</v>
      </c>
    </row>
    <row r="861" spans="1:27">
      <c r="A861" t="s">
        <v>892</v>
      </c>
      <c r="B861" s="3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S861">
        <v>1</v>
      </c>
      <c r="U861">
        <v>1</v>
      </c>
      <c r="W861">
        <v>0</v>
      </c>
      <c r="Y861">
        <v>0</v>
      </c>
      <c r="AA861">
        <v>2</v>
      </c>
    </row>
    <row r="862" spans="1:27">
      <c r="A862" t="s">
        <v>893</v>
      </c>
      <c r="B862" s="3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S862">
        <v>0</v>
      </c>
      <c r="U862">
        <v>1</v>
      </c>
      <c r="W862">
        <v>1</v>
      </c>
      <c r="Y862">
        <v>1</v>
      </c>
      <c r="AA862">
        <v>0</v>
      </c>
    </row>
    <row r="863" spans="1:27">
      <c r="A863" t="s">
        <v>894</v>
      </c>
      <c r="B863" s="3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S863">
        <v>0</v>
      </c>
      <c r="U863">
        <v>1</v>
      </c>
      <c r="W863">
        <v>1</v>
      </c>
      <c r="Y863">
        <v>1</v>
      </c>
      <c r="AA863">
        <v>0</v>
      </c>
    </row>
    <row r="864" spans="1:27">
      <c r="A864" t="s">
        <v>895</v>
      </c>
      <c r="B864" s="3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S864">
        <v>0</v>
      </c>
      <c r="U864">
        <v>1</v>
      </c>
      <c r="W864">
        <v>0</v>
      </c>
      <c r="Y864">
        <v>0</v>
      </c>
      <c r="AA864">
        <v>0</v>
      </c>
    </row>
    <row r="865" spans="1:27">
      <c r="A865" t="s">
        <v>896</v>
      </c>
      <c r="B865" s="3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S865">
        <v>0</v>
      </c>
      <c r="U865">
        <v>1</v>
      </c>
      <c r="W865">
        <v>0</v>
      </c>
      <c r="Y865">
        <v>0</v>
      </c>
      <c r="AA865">
        <v>3</v>
      </c>
    </row>
    <row r="866" spans="1:27">
      <c r="A866" t="s">
        <v>897</v>
      </c>
      <c r="B866" s="3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S866">
        <v>0</v>
      </c>
      <c r="U866">
        <v>0</v>
      </c>
      <c r="W866">
        <v>0</v>
      </c>
      <c r="Y866">
        <v>0</v>
      </c>
      <c r="AA866">
        <v>1</v>
      </c>
    </row>
    <row r="867" spans="1:27">
      <c r="A867" t="s">
        <v>898</v>
      </c>
      <c r="B867" s="3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S867">
        <v>0</v>
      </c>
      <c r="U867">
        <v>1</v>
      </c>
      <c r="W867">
        <v>0</v>
      </c>
      <c r="Y867">
        <v>0</v>
      </c>
      <c r="AA867">
        <v>1</v>
      </c>
    </row>
    <row r="868" spans="1:27">
      <c r="A868" t="s">
        <v>899</v>
      </c>
      <c r="B868" s="3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S868">
        <v>0</v>
      </c>
      <c r="U868">
        <v>1</v>
      </c>
      <c r="W868">
        <v>0</v>
      </c>
      <c r="Y868">
        <v>0</v>
      </c>
      <c r="AA868">
        <v>0</v>
      </c>
    </row>
    <row r="869" spans="1:27">
      <c r="A869" t="s">
        <v>900</v>
      </c>
      <c r="B869" s="3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S869">
        <v>0</v>
      </c>
      <c r="U869">
        <v>0</v>
      </c>
      <c r="W869">
        <v>0</v>
      </c>
      <c r="Y869">
        <v>0</v>
      </c>
      <c r="AA869">
        <v>0</v>
      </c>
    </row>
    <row r="870" spans="1:27">
      <c r="A870" t="s">
        <v>901</v>
      </c>
      <c r="B870" s="3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S870">
        <v>0</v>
      </c>
      <c r="U870">
        <v>0</v>
      </c>
      <c r="W870">
        <v>0</v>
      </c>
      <c r="Y870">
        <v>0</v>
      </c>
      <c r="AA870">
        <v>0</v>
      </c>
    </row>
    <row r="871" spans="1:27">
      <c r="A871" t="s">
        <v>902</v>
      </c>
      <c r="B871" s="3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S871">
        <v>0</v>
      </c>
      <c r="U871">
        <v>0</v>
      </c>
      <c r="W871">
        <v>0</v>
      </c>
      <c r="Y871">
        <v>0</v>
      </c>
      <c r="AA871">
        <v>1</v>
      </c>
    </row>
    <row r="872" spans="1:27">
      <c r="A872" t="s">
        <v>903</v>
      </c>
      <c r="B872" s="3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S872">
        <v>0</v>
      </c>
      <c r="U872">
        <v>1</v>
      </c>
      <c r="W872">
        <v>0</v>
      </c>
      <c r="Y872">
        <v>0</v>
      </c>
      <c r="AA872">
        <v>0</v>
      </c>
    </row>
    <row r="873" spans="1:27">
      <c r="A873" t="s">
        <v>904</v>
      </c>
      <c r="B873" s="3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S873">
        <v>0</v>
      </c>
      <c r="U873">
        <v>1</v>
      </c>
      <c r="W873">
        <v>0</v>
      </c>
      <c r="Y873">
        <v>0</v>
      </c>
      <c r="AA873">
        <v>1</v>
      </c>
    </row>
    <row r="874" spans="1:27">
      <c r="A874" t="s">
        <v>905</v>
      </c>
      <c r="B874" s="3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S874">
        <v>0</v>
      </c>
      <c r="U874">
        <v>1</v>
      </c>
      <c r="W874">
        <v>0</v>
      </c>
      <c r="Y874">
        <v>0</v>
      </c>
      <c r="AA874">
        <v>0</v>
      </c>
    </row>
    <row r="875" spans="1:27">
      <c r="A875" t="s">
        <v>906</v>
      </c>
      <c r="B875" s="3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S875">
        <v>0</v>
      </c>
      <c r="U875">
        <v>1</v>
      </c>
      <c r="W875">
        <v>0</v>
      </c>
      <c r="Y875">
        <v>0</v>
      </c>
      <c r="AA875">
        <v>0</v>
      </c>
    </row>
    <row r="876" spans="1:27">
      <c r="A876" t="s">
        <v>907</v>
      </c>
      <c r="B876" s="3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S876">
        <v>0</v>
      </c>
      <c r="U876">
        <v>1</v>
      </c>
      <c r="W876">
        <v>1</v>
      </c>
      <c r="Y876">
        <v>1</v>
      </c>
      <c r="AA876">
        <v>1</v>
      </c>
    </row>
    <row r="877" spans="1:27">
      <c r="A877" t="s">
        <v>908</v>
      </c>
      <c r="B877" s="3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S877">
        <v>0</v>
      </c>
      <c r="U877">
        <v>0</v>
      </c>
      <c r="W877">
        <v>0</v>
      </c>
      <c r="Y877">
        <v>0</v>
      </c>
      <c r="AA877">
        <v>0</v>
      </c>
    </row>
    <row r="878" spans="1:27">
      <c r="A878" t="s">
        <v>909</v>
      </c>
      <c r="B878" s="3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S878">
        <v>0</v>
      </c>
      <c r="U878">
        <v>1</v>
      </c>
      <c r="W878">
        <v>0</v>
      </c>
      <c r="Y878">
        <v>0</v>
      </c>
      <c r="AA878">
        <v>0</v>
      </c>
    </row>
    <row r="879" spans="1:27">
      <c r="A879" t="s">
        <v>910</v>
      </c>
      <c r="B879" s="3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S879">
        <v>0</v>
      </c>
      <c r="U879">
        <v>1</v>
      </c>
      <c r="W879">
        <v>1</v>
      </c>
      <c r="Y879">
        <v>0</v>
      </c>
      <c r="AA879">
        <v>0</v>
      </c>
    </row>
    <row r="880" spans="1:27">
      <c r="A880" t="s">
        <v>911</v>
      </c>
      <c r="B880" s="3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S880">
        <v>0</v>
      </c>
      <c r="U880">
        <v>0</v>
      </c>
      <c r="W880">
        <v>0</v>
      </c>
      <c r="Y880">
        <v>0</v>
      </c>
      <c r="AA880">
        <v>0</v>
      </c>
    </row>
    <row r="881" spans="1:27">
      <c r="A881" t="s">
        <v>912</v>
      </c>
      <c r="B881" s="3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S881">
        <v>0</v>
      </c>
      <c r="U881">
        <v>0</v>
      </c>
      <c r="W881">
        <v>0</v>
      </c>
      <c r="Y881">
        <v>0</v>
      </c>
      <c r="AA881">
        <v>0</v>
      </c>
    </row>
    <row r="882" spans="1:27">
      <c r="A882" t="s">
        <v>913</v>
      </c>
      <c r="B882" s="3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S882">
        <v>0</v>
      </c>
      <c r="U882">
        <v>1</v>
      </c>
      <c r="W882">
        <v>1</v>
      </c>
      <c r="Y882">
        <v>1</v>
      </c>
      <c r="AA882">
        <v>0</v>
      </c>
    </row>
    <row r="883" spans="1:27">
      <c r="A883" t="s">
        <v>914</v>
      </c>
      <c r="B883" s="3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S883">
        <v>0</v>
      </c>
      <c r="U883">
        <v>1</v>
      </c>
      <c r="W883">
        <v>0</v>
      </c>
      <c r="Y883">
        <v>0</v>
      </c>
      <c r="AA883">
        <v>0</v>
      </c>
    </row>
    <row r="884" spans="1:27">
      <c r="A884" t="s">
        <v>915</v>
      </c>
      <c r="B884" s="3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S884">
        <v>0</v>
      </c>
      <c r="U884">
        <v>0</v>
      </c>
      <c r="W884">
        <v>0</v>
      </c>
      <c r="Y884">
        <v>0</v>
      </c>
      <c r="AA884">
        <v>0</v>
      </c>
    </row>
    <row r="885" spans="1:27">
      <c r="A885" t="s">
        <v>916</v>
      </c>
      <c r="B885" s="3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S885">
        <v>0</v>
      </c>
      <c r="U885">
        <v>1</v>
      </c>
      <c r="W885">
        <v>0</v>
      </c>
      <c r="Y885">
        <v>0</v>
      </c>
      <c r="AA885">
        <v>4</v>
      </c>
    </row>
    <row r="886" spans="1:27">
      <c r="A886" t="s">
        <v>917</v>
      </c>
      <c r="B886" s="3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S886">
        <v>0</v>
      </c>
      <c r="U886">
        <v>1</v>
      </c>
      <c r="W886">
        <v>1</v>
      </c>
      <c r="Y886">
        <v>1</v>
      </c>
      <c r="AA886">
        <v>0</v>
      </c>
    </row>
    <row r="887" spans="1:27">
      <c r="A887" t="s">
        <v>918</v>
      </c>
      <c r="B887" s="3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S887">
        <v>0</v>
      </c>
      <c r="U887">
        <v>0</v>
      </c>
      <c r="W887">
        <v>0</v>
      </c>
      <c r="Y887">
        <v>0</v>
      </c>
      <c r="AA887">
        <v>0</v>
      </c>
    </row>
    <row r="888" spans="1:27">
      <c r="A888" t="s">
        <v>919</v>
      </c>
      <c r="B888" s="3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S888">
        <v>0</v>
      </c>
      <c r="U888">
        <v>1</v>
      </c>
      <c r="W888">
        <v>0</v>
      </c>
      <c r="Y888">
        <v>0</v>
      </c>
      <c r="AA888">
        <v>0</v>
      </c>
    </row>
    <row r="889" spans="1:27">
      <c r="A889" t="s">
        <v>920</v>
      </c>
      <c r="B889" s="3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S889">
        <v>0</v>
      </c>
      <c r="U889">
        <v>1</v>
      </c>
      <c r="W889">
        <v>0</v>
      </c>
      <c r="Y889">
        <v>0</v>
      </c>
      <c r="AA889">
        <v>0</v>
      </c>
    </row>
    <row r="890" spans="1:27">
      <c r="A890" t="s">
        <v>921</v>
      </c>
      <c r="B890" s="3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S890">
        <v>0</v>
      </c>
      <c r="U890">
        <v>1</v>
      </c>
      <c r="W890">
        <v>1</v>
      </c>
      <c r="Y890">
        <v>1</v>
      </c>
      <c r="AA890">
        <v>0</v>
      </c>
    </row>
    <row r="891" spans="1:27">
      <c r="A891" t="s">
        <v>922</v>
      </c>
      <c r="B891" s="3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S891">
        <v>1</v>
      </c>
      <c r="U891">
        <v>1</v>
      </c>
      <c r="W891">
        <v>0</v>
      </c>
      <c r="Y891">
        <v>0</v>
      </c>
      <c r="AA891">
        <v>0</v>
      </c>
    </row>
    <row r="892" spans="1:27">
      <c r="A892" t="s">
        <v>923</v>
      </c>
      <c r="B892" s="3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S892">
        <v>0</v>
      </c>
      <c r="U892">
        <v>1</v>
      </c>
      <c r="W892">
        <v>0</v>
      </c>
      <c r="Y892">
        <v>0</v>
      </c>
      <c r="AA892">
        <v>0</v>
      </c>
    </row>
    <row r="893" spans="1:27">
      <c r="A893" t="s">
        <v>924</v>
      </c>
      <c r="B893" s="3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S893">
        <v>0</v>
      </c>
      <c r="U893">
        <v>1</v>
      </c>
      <c r="W893">
        <v>1</v>
      </c>
      <c r="Y893">
        <v>1</v>
      </c>
      <c r="AA893">
        <v>0</v>
      </c>
    </row>
    <row r="894" spans="1:27">
      <c r="A894" t="s">
        <v>925</v>
      </c>
      <c r="B894" s="3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S894">
        <v>0</v>
      </c>
      <c r="U894">
        <v>0</v>
      </c>
      <c r="W894">
        <v>0</v>
      </c>
      <c r="Y894">
        <v>0</v>
      </c>
      <c r="AA894">
        <v>0</v>
      </c>
    </row>
    <row r="895" spans="1:27">
      <c r="A895" t="s">
        <v>926</v>
      </c>
      <c r="B895" s="3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S895">
        <v>0</v>
      </c>
      <c r="U895">
        <v>1</v>
      </c>
      <c r="W895">
        <v>1</v>
      </c>
      <c r="Y895">
        <v>1</v>
      </c>
      <c r="AA895">
        <v>0</v>
      </c>
    </row>
    <row r="896" spans="1:27">
      <c r="A896" t="s">
        <v>927</v>
      </c>
      <c r="B896" s="3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S896">
        <v>0</v>
      </c>
      <c r="U896">
        <v>1</v>
      </c>
      <c r="W896">
        <v>1</v>
      </c>
      <c r="Y896">
        <v>0</v>
      </c>
      <c r="AA896">
        <v>2</v>
      </c>
    </row>
    <row r="897" spans="1:27">
      <c r="A897" t="s">
        <v>928</v>
      </c>
      <c r="B897" s="3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S897">
        <v>0</v>
      </c>
      <c r="U897">
        <v>1</v>
      </c>
      <c r="W897">
        <v>1</v>
      </c>
      <c r="Y897">
        <v>0</v>
      </c>
      <c r="AA897">
        <v>0</v>
      </c>
    </row>
    <row r="898" spans="1:27">
      <c r="A898" t="s">
        <v>929</v>
      </c>
      <c r="B898" s="3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S898">
        <v>0</v>
      </c>
      <c r="U898">
        <v>1</v>
      </c>
      <c r="W898">
        <v>1</v>
      </c>
      <c r="Y898">
        <v>0</v>
      </c>
      <c r="AA898">
        <v>0</v>
      </c>
    </row>
    <row r="899" spans="1:27">
      <c r="A899" t="s">
        <v>930</v>
      </c>
      <c r="B899" s="3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S899">
        <v>0</v>
      </c>
      <c r="U899">
        <v>1</v>
      </c>
      <c r="W899">
        <v>0</v>
      </c>
      <c r="Y899">
        <v>0</v>
      </c>
      <c r="AA899">
        <v>0</v>
      </c>
    </row>
    <row r="900" spans="1:27">
      <c r="A900" t="s">
        <v>931</v>
      </c>
      <c r="B900" s="3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S900">
        <v>0</v>
      </c>
      <c r="U900">
        <v>1</v>
      </c>
      <c r="W900">
        <v>1</v>
      </c>
      <c r="Y900">
        <v>0</v>
      </c>
      <c r="AA900">
        <v>0</v>
      </c>
    </row>
    <row r="901" spans="1:27">
      <c r="A901" t="s">
        <v>932</v>
      </c>
      <c r="B901" s="3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S901">
        <v>0</v>
      </c>
      <c r="U901">
        <v>1</v>
      </c>
      <c r="W901">
        <v>0</v>
      </c>
      <c r="Y901">
        <v>0</v>
      </c>
      <c r="AA901">
        <v>2</v>
      </c>
    </row>
    <row r="902" spans="1:27">
      <c r="A902" t="s">
        <v>933</v>
      </c>
      <c r="B902" s="3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S902">
        <v>0</v>
      </c>
      <c r="U902">
        <v>1</v>
      </c>
      <c r="W902">
        <v>0</v>
      </c>
      <c r="Y902">
        <v>0</v>
      </c>
      <c r="AA902">
        <v>0</v>
      </c>
    </row>
    <row r="903" spans="1:27">
      <c r="A903" t="s">
        <v>934</v>
      </c>
      <c r="B903" s="3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S903">
        <v>0</v>
      </c>
      <c r="U903">
        <v>0</v>
      </c>
      <c r="W903">
        <v>0</v>
      </c>
      <c r="Y903">
        <v>0</v>
      </c>
      <c r="AA903">
        <v>0</v>
      </c>
    </row>
    <row r="904" spans="1:27">
      <c r="A904" t="s">
        <v>935</v>
      </c>
      <c r="B904" s="3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S904">
        <v>0</v>
      </c>
      <c r="U904">
        <v>1</v>
      </c>
      <c r="W904">
        <v>0</v>
      </c>
      <c r="Y904">
        <v>0</v>
      </c>
      <c r="AA904">
        <v>2</v>
      </c>
    </row>
    <row r="905" spans="1:27">
      <c r="A905" t="s">
        <v>936</v>
      </c>
      <c r="B905" s="3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S905">
        <v>0</v>
      </c>
      <c r="U905">
        <v>1</v>
      </c>
      <c r="W905">
        <v>1</v>
      </c>
      <c r="Y905">
        <v>1</v>
      </c>
      <c r="AA905">
        <v>0</v>
      </c>
    </row>
    <row r="906" spans="1:27">
      <c r="A906" t="s">
        <v>937</v>
      </c>
      <c r="B906" s="3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S906">
        <v>0</v>
      </c>
      <c r="U906">
        <v>1</v>
      </c>
      <c r="W906">
        <v>1</v>
      </c>
      <c r="Y906">
        <v>1</v>
      </c>
      <c r="AA906">
        <v>0</v>
      </c>
    </row>
    <row r="907" spans="1:27">
      <c r="A907" t="s">
        <v>938</v>
      </c>
      <c r="B907" s="3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S907">
        <v>1</v>
      </c>
      <c r="U907">
        <v>1</v>
      </c>
      <c r="W907">
        <v>0</v>
      </c>
      <c r="Y907">
        <v>0</v>
      </c>
      <c r="AA907">
        <v>0</v>
      </c>
    </row>
    <row r="908" spans="1:27">
      <c r="A908" t="s">
        <v>939</v>
      </c>
      <c r="B908" s="3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S908">
        <v>0</v>
      </c>
      <c r="U908">
        <v>1</v>
      </c>
      <c r="W908">
        <v>1</v>
      </c>
      <c r="Y908">
        <v>0</v>
      </c>
      <c r="AA908">
        <v>0</v>
      </c>
    </row>
    <row r="909" spans="1:27">
      <c r="A909" t="s">
        <v>940</v>
      </c>
      <c r="B909" s="3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S909">
        <v>0</v>
      </c>
      <c r="U909">
        <v>1</v>
      </c>
      <c r="W909">
        <v>0</v>
      </c>
      <c r="Y909">
        <v>0</v>
      </c>
      <c r="AA909">
        <v>0</v>
      </c>
    </row>
    <row r="910" spans="1:27">
      <c r="A910" t="s">
        <v>941</v>
      </c>
      <c r="B910" s="3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S910">
        <v>0</v>
      </c>
      <c r="U910">
        <v>1</v>
      </c>
      <c r="W910">
        <v>0</v>
      </c>
      <c r="Y910">
        <v>0</v>
      </c>
      <c r="AA910">
        <v>3</v>
      </c>
    </row>
    <row r="911" spans="1:27">
      <c r="A911" t="s">
        <v>942</v>
      </c>
      <c r="B911" s="3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S911">
        <v>0</v>
      </c>
      <c r="U911">
        <v>0</v>
      </c>
      <c r="W911">
        <v>0</v>
      </c>
      <c r="Y911">
        <v>0</v>
      </c>
      <c r="AA911">
        <v>0</v>
      </c>
    </row>
    <row r="912" spans="1:27">
      <c r="A912" t="s">
        <v>943</v>
      </c>
      <c r="B912" s="3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S912">
        <v>0</v>
      </c>
      <c r="U912">
        <v>1</v>
      </c>
      <c r="W912">
        <v>1</v>
      </c>
      <c r="Y912">
        <v>0</v>
      </c>
      <c r="AA912">
        <v>0</v>
      </c>
    </row>
    <row r="913" spans="1:27">
      <c r="A913" t="s">
        <v>944</v>
      </c>
      <c r="B913" s="3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S913">
        <v>0</v>
      </c>
      <c r="U913">
        <v>1</v>
      </c>
      <c r="W913">
        <v>0</v>
      </c>
      <c r="Y913">
        <v>0</v>
      </c>
      <c r="AA913">
        <v>1</v>
      </c>
    </row>
    <row r="914" spans="1:27">
      <c r="A914" t="s">
        <v>945</v>
      </c>
      <c r="B914" s="3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S914">
        <v>0</v>
      </c>
      <c r="U914">
        <v>1</v>
      </c>
      <c r="W914">
        <v>0</v>
      </c>
      <c r="Y914">
        <v>0</v>
      </c>
      <c r="AA914">
        <v>0</v>
      </c>
    </row>
    <row r="915" spans="1:27">
      <c r="A915" t="s">
        <v>946</v>
      </c>
      <c r="B915" s="3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S915">
        <v>0</v>
      </c>
      <c r="U915">
        <v>1</v>
      </c>
      <c r="W915">
        <v>1</v>
      </c>
      <c r="Y915">
        <v>1</v>
      </c>
      <c r="AA915">
        <v>0</v>
      </c>
    </row>
    <row r="916" spans="1:27">
      <c r="A916" t="s">
        <v>947</v>
      </c>
      <c r="B916" s="3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S916">
        <v>0</v>
      </c>
      <c r="U916">
        <v>1</v>
      </c>
      <c r="W916">
        <v>0</v>
      </c>
      <c r="Y916">
        <v>0</v>
      </c>
      <c r="AA916">
        <v>0</v>
      </c>
    </row>
    <row r="917" spans="1:27">
      <c r="A917" t="s">
        <v>948</v>
      </c>
      <c r="B917" s="3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S917">
        <v>0</v>
      </c>
      <c r="U917">
        <v>1</v>
      </c>
      <c r="W917">
        <v>0</v>
      </c>
      <c r="Y917">
        <v>0</v>
      </c>
      <c r="AA917">
        <v>0</v>
      </c>
    </row>
    <row r="918" spans="1:27">
      <c r="A918" t="s">
        <v>949</v>
      </c>
      <c r="B918" s="3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S918">
        <v>0</v>
      </c>
      <c r="U918">
        <v>1</v>
      </c>
      <c r="W918">
        <v>1</v>
      </c>
      <c r="Y918">
        <v>1</v>
      </c>
      <c r="AA918">
        <v>0</v>
      </c>
    </row>
    <row r="919" spans="1:27">
      <c r="A919" t="s">
        <v>950</v>
      </c>
      <c r="B919" s="3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S919">
        <v>0</v>
      </c>
      <c r="U919">
        <v>0</v>
      </c>
      <c r="W919">
        <v>0</v>
      </c>
      <c r="Y919">
        <v>0</v>
      </c>
      <c r="AA919">
        <v>0</v>
      </c>
    </row>
    <row r="920" spans="1:27">
      <c r="A920" t="s">
        <v>951</v>
      </c>
      <c r="B920" s="3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S920">
        <v>0</v>
      </c>
      <c r="U920">
        <v>1</v>
      </c>
      <c r="W920">
        <v>0</v>
      </c>
      <c r="Y920">
        <v>0</v>
      </c>
      <c r="AA920">
        <v>0</v>
      </c>
    </row>
    <row r="921" spans="1:27">
      <c r="A921" t="s">
        <v>952</v>
      </c>
      <c r="B921" s="3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S921">
        <v>0</v>
      </c>
      <c r="U921">
        <v>1</v>
      </c>
      <c r="W921">
        <v>0</v>
      </c>
      <c r="Y921">
        <v>0</v>
      </c>
      <c r="AA921">
        <v>0</v>
      </c>
    </row>
    <row r="922" spans="1:27">
      <c r="A922" t="s">
        <v>953</v>
      </c>
      <c r="B922" s="3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S922">
        <v>0</v>
      </c>
      <c r="U922">
        <v>1</v>
      </c>
      <c r="W922">
        <v>1</v>
      </c>
      <c r="Y922">
        <v>1</v>
      </c>
      <c r="AA922">
        <v>0</v>
      </c>
    </row>
    <row r="923" spans="1:27">
      <c r="A923" t="s">
        <v>954</v>
      </c>
      <c r="B923" s="3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S923">
        <v>1</v>
      </c>
      <c r="U923">
        <v>0</v>
      </c>
      <c r="W923">
        <v>0</v>
      </c>
      <c r="Y923">
        <v>0</v>
      </c>
      <c r="AA923">
        <v>0</v>
      </c>
    </row>
    <row r="924" spans="1:27">
      <c r="A924" t="s">
        <v>955</v>
      </c>
      <c r="B924" s="3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S924">
        <v>0</v>
      </c>
      <c r="U924">
        <v>1</v>
      </c>
      <c r="W924">
        <v>1</v>
      </c>
      <c r="Y924">
        <v>1</v>
      </c>
      <c r="AA924">
        <v>0</v>
      </c>
    </row>
    <row r="925" spans="1:27">
      <c r="A925" t="s">
        <v>956</v>
      </c>
      <c r="B925" s="3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S925">
        <v>0</v>
      </c>
      <c r="U925">
        <v>1</v>
      </c>
      <c r="W925">
        <v>0</v>
      </c>
      <c r="Y925">
        <v>0</v>
      </c>
      <c r="AA925">
        <v>0</v>
      </c>
    </row>
    <row r="926" spans="1:27">
      <c r="A926" t="s">
        <v>957</v>
      </c>
      <c r="B926" s="3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S926">
        <v>0</v>
      </c>
      <c r="U926">
        <v>0</v>
      </c>
      <c r="W926">
        <v>0</v>
      </c>
      <c r="Y926">
        <v>0</v>
      </c>
      <c r="AA926">
        <v>0</v>
      </c>
    </row>
    <row r="927" spans="1:27">
      <c r="A927" t="s">
        <v>958</v>
      </c>
      <c r="B927" s="3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S927">
        <v>0</v>
      </c>
      <c r="U927">
        <v>1</v>
      </c>
      <c r="W927">
        <v>1</v>
      </c>
      <c r="Y927">
        <v>1</v>
      </c>
      <c r="AA927">
        <v>0</v>
      </c>
    </row>
    <row r="928" spans="1:27">
      <c r="A928" t="s">
        <v>959</v>
      </c>
      <c r="B928" s="3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S928">
        <v>0</v>
      </c>
      <c r="U928">
        <v>1</v>
      </c>
      <c r="W928">
        <v>0</v>
      </c>
      <c r="Y928">
        <v>0</v>
      </c>
      <c r="AA928">
        <v>0</v>
      </c>
    </row>
    <row r="929" spans="1:27">
      <c r="A929" t="s">
        <v>960</v>
      </c>
      <c r="B929" s="3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S929">
        <v>0</v>
      </c>
      <c r="U929">
        <v>0</v>
      </c>
      <c r="W929">
        <v>0</v>
      </c>
      <c r="Y929">
        <v>0</v>
      </c>
      <c r="AA929">
        <v>0</v>
      </c>
    </row>
    <row r="930" spans="1:27">
      <c r="A930" t="s">
        <v>961</v>
      </c>
      <c r="B930" s="3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S930">
        <v>0</v>
      </c>
      <c r="U930">
        <v>0</v>
      </c>
      <c r="W930">
        <v>0</v>
      </c>
      <c r="Y930">
        <v>0</v>
      </c>
      <c r="AA930">
        <v>0</v>
      </c>
    </row>
    <row r="931" spans="1:27">
      <c r="A931" t="s">
        <v>962</v>
      </c>
      <c r="B931" s="3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S931">
        <v>0</v>
      </c>
      <c r="U931">
        <v>1</v>
      </c>
      <c r="W931">
        <v>1</v>
      </c>
      <c r="Y931">
        <v>0</v>
      </c>
      <c r="AA931">
        <v>0</v>
      </c>
    </row>
    <row r="932" spans="1:27">
      <c r="A932" t="s">
        <v>963</v>
      </c>
      <c r="B932" s="3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S932">
        <v>0</v>
      </c>
      <c r="U932">
        <v>1</v>
      </c>
      <c r="W932">
        <v>1</v>
      </c>
      <c r="Y932">
        <v>1</v>
      </c>
      <c r="AA932">
        <v>0</v>
      </c>
    </row>
    <row r="933" spans="1:27">
      <c r="A933" t="s">
        <v>964</v>
      </c>
      <c r="B933" s="3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S933">
        <v>1</v>
      </c>
      <c r="U933">
        <v>0</v>
      </c>
      <c r="W933">
        <v>0</v>
      </c>
      <c r="Y933">
        <v>0</v>
      </c>
      <c r="AA933">
        <v>1</v>
      </c>
    </row>
    <row r="934" spans="1:27">
      <c r="A934" t="s">
        <v>965</v>
      </c>
      <c r="B934" s="3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S934">
        <v>0</v>
      </c>
      <c r="U934">
        <v>1</v>
      </c>
      <c r="W934">
        <v>0</v>
      </c>
      <c r="Y934">
        <v>0</v>
      </c>
      <c r="AA934">
        <v>0</v>
      </c>
    </row>
    <row r="935" spans="1:27">
      <c r="A935" t="s">
        <v>966</v>
      </c>
      <c r="B935" s="3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S935">
        <v>0</v>
      </c>
      <c r="U935">
        <v>1</v>
      </c>
      <c r="W935">
        <v>0</v>
      </c>
      <c r="Y935">
        <v>0</v>
      </c>
      <c r="AA935">
        <v>0</v>
      </c>
    </row>
    <row r="936" spans="1:27">
      <c r="A936" t="s">
        <v>967</v>
      </c>
      <c r="B936" s="3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S936">
        <v>0</v>
      </c>
      <c r="U936">
        <v>1</v>
      </c>
      <c r="W936">
        <v>1</v>
      </c>
      <c r="Y936">
        <v>0</v>
      </c>
      <c r="AA936">
        <v>0</v>
      </c>
    </row>
    <row r="937" spans="1:27">
      <c r="A937" t="s">
        <v>968</v>
      </c>
      <c r="B937" s="3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S937">
        <v>0</v>
      </c>
      <c r="U937">
        <v>1</v>
      </c>
      <c r="W937">
        <v>1</v>
      </c>
      <c r="Y937">
        <v>1</v>
      </c>
      <c r="AA937">
        <v>0</v>
      </c>
    </row>
    <row r="938" spans="1:27">
      <c r="A938" t="s">
        <v>969</v>
      </c>
      <c r="B938" s="3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S938">
        <v>0</v>
      </c>
      <c r="U938">
        <v>0</v>
      </c>
      <c r="W938">
        <v>0</v>
      </c>
      <c r="Y938">
        <v>0</v>
      </c>
      <c r="AA938">
        <v>0</v>
      </c>
    </row>
    <row r="939" spans="1:27">
      <c r="A939" t="s">
        <v>970</v>
      </c>
      <c r="B939" s="3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S939">
        <v>0</v>
      </c>
      <c r="U939">
        <v>0</v>
      </c>
      <c r="W939">
        <v>0</v>
      </c>
      <c r="Y939">
        <v>0</v>
      </c>
      <c r="AA939">
        <v>0</v>
      </c>
    </row>
    <row r="940" spans="1:27">
      <c r="A940" t="s">
        <v>971</v>
      </c>
      <c r="B940" s="3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S940">
        <v>0</v>
      </c>
      <c r="U940">
        <v>1</v>
      </c>
      <c r="W940">
        <v>1</v>
      </c>
      <c r="Y940">
        <v>0</v>
      </c>
      <c r="AA940">
        <v>0</v>
      </c>
    </row>
    <row r="941" spans="1:27">
      <c r="A941" t="s">
        <v>972</v>
      </c>
      <c r="B941" s="3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S941">
        <v>0</v>
      </c>
      <c r="U941">
        <v>0</v>
      </c>
      <c r="W941">
        <v>0</v>
      </c>
      <c r="Y941">
        <v>0</v>
      </c>
      <c r="AA941">
        <v>0</v>
      </c>
    </row>
    <row r="942" spans="1:27">
      <c r="A942" t="s">
        <v>973</v>
      </c>
      <c r="B942" s="3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S942">
        <v>0</v>
      </c>
      <c r="U942">
        <v>1</v>
      </c>
      <c r="W942">
        <v>1</v>
      </c>
      <c r="Y942">
        <v>1</v>
      </c>
      <c r="AA942">
        <v>2</v>
      </c>
    </row>
    <row r="943" spans="1:27">
      <c r="A943" t="s">
        <v>974</v>
      </c>
      <c r="B943" s="3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S943">
        <v>0</v>
      </c>
      <c r="U943">
        <v>1</v>
      </c>
      <c r="W943">
        <v>1</v>
      </c>
      <c r="Y943">
        <v>0</v>
      </c>
      <c r="AA943">
        <v>0</v>
      </c>
    </row>
    <row r="944" spans="1:27">
      <c r="A944" t="s">
        <v>975</v>
      </c>
      <c r="B944" s="3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S944">
        <v>0</v>
      </c>
      <c r="U944">
        <v>1</v>
      </c>
      <c r="W944">
        <v>1</v>
      </c>
      <c r="Y944">
        <v>1</v>
      </c>
      <c r="AA944">
        <v>1</v>
      </c>
    </row>
    <row r="945" spans="1:27">
      <c r="A945" t="s">
        <v>976</v>
      </c>
      <c r="B945" s="3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S945">
        <v>1</v>
      </c>
      <c r="U945">
        <v>1</v>
      </c>
      <c r="W945">
        <v>0</v>
      </c>
      <c r="Y945">
        <v>0</v>
      </c>
      <c r="AA945">
        <v>0</v>
      </c>
    </row>
    <row r="946" spans="1:27">
      <c r="A946" t="s">
        <v>977</v>
      </c>
      <c r="B946" s="3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S946">
        <v>0</v>
      </c>
      <c r="U946">
        <v>1</v>
      </c>
      <c r="W946">
        <v>0</v>
      </c>
      <c r="Y946">
        <v>0</v>
      </c>
      <c r="AA946">
        <v>0</v>
      </c>
    </row>
    <row r="947" spans="1:27">
      <c r="A947" t="s">
        <v>978</v>
      </c>
      <c r="B947" s="3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S947">
        <v>0</v>
      </c>
      <c r="U947">
        <v>1</v>
      </c>
      <c r="W947">
        <v>0</v>
      </c>
      <c r="Y947">
        <v>0</v>
      </c>
      <c r="AA947">
        <v>3</v>
      </c>
    </row>
    <row r="948" spans="1:27">
      <c r="A948" t="s">
        <v>979</v>
      </c>
      <c r="B948" s="3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S948">
        <v>0</v>
      </c>
      <c r="U948">
        <v>0</v>
      </c>
      <c r="W948">
        <v>0</v>
      </c>
      <c r="Y948">
        <v>0</v>
      </c>
      <c r="AA948">
        <v>0</v>
      </c>
    </row>
    <row r="949" spans="1:27">
      <c r="A949" t="s">
        <v>980</v>
      </c>
      <c r="B949" s="3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S949">
        <v>0</v>
      </c>
      <c r="U949">
        <v>1</v>
      </c>
      <c r="W949">
        <v>1</v>
      </c>
      <c r="Y949">
        <v>1</v>
      </c>
      <c r="AA949">
        <v>0</v>
      </c>
    </row>
    <row r="950" spans="1:27">
      <c r="A950" t="s">
        <v>981</v>
      </c>
      <c r="B950" s="3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S950">
        <v>1</v>
      </c>
      <c r="U950">
        <v>1</v>
      </c>
      <c r="W950">
        <v>1</v>
      </c>
      <c r="Y950">
        <v>1</v>
      </c>
      <c r="AA950">
        <v>0</v>
      </c>
    </row>
    <row r="951" spans="1:27">
      <c r="A951" t="s">
        <v>982</v>
      </c>
      <c r="B951" s="3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S951">
        <v>0</v>
      </c>
      <c r="U951">
        <v>0</v>
      </c>
      <c r="W951">
        <v>0</v>
      </c>
      <c r="Y951">
        <v>0</v>
      </c>
      <c r="AA951">
        <v>0</v>
      </c>
    </row>
    <row r="952" spans="1:27">
      <c r="A952" t="s">
        <v>983</v>
      </c>
      <c r="B952" s="3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S952">
        <v>0</v>
      </c>
      <c r="U952">
        <v>1</v>
      </c>
      <c r="W952">
        <v>0</v>
      </c>
      <c r="Y952">
        <v>0</v>
      </c>
      <c r="AA952">
        <v>0</v>
      </c>
    </row>
    <row r="953" spans="1:27">
      <c r="A953" t="s">
        <v>984</v>
      </c>
      <c r="B953" s="3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S953">
        <v>0</v>
      </c>
      <c r="U953">
        <v>1</v>
      </c>
      <c r="W953">
        <v>0</v>
      </c>
      <c r="Y953">
        <v>0</v>
      </c>
      <c r="AA953">
        <v>0</v>
      </c>
    </row>
    <row r="954" spans="1:27">
      <c r="A954" t="s">
        <v>985</v>
      </c>
      <c r="B954" s="3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S954">
        <v>0</v>
      </c>
      <c r="U954">
        <v>0</v>
      </c>
      <c r="W954">
        <v>0</v>
      </c>
      <c r="Y954">
        <v>0</v>
      </c>
      <c r="AA954">
        <v>1</v>
      </c>
    </row>
    <row r="955" spans="1:27">
      <c r="A955" t="s">
        <v>986</v>
      </c>
      <c r="B955" s="3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S955">
        <v>0</v>
      </c>
      <c r="U955">
        <v>1</v>
      </c>
      <c r="W955">
        <v>0</v>
      </c>
      <c r="Y955">
        <v>0</v>
      </c>
      <c r="AA955">
        <v>1</v>
      </c>
    </row>
    <row r="956" spans="1:27">
      <c r="A956" t="s">
        <v>987</v>
      </c>
      <c r="B956" s="3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S956">
        <v>0</v>
      </c>
      <c r="U956">
        <v>1</v>
      </c>
      <c r="W956">
        <v>0</v>
      </c>
      <c r="Y956">
        <v>0</v>
      </c>
      <c r="AA956">
        <v>0</v>
      </c>
    </row>
    <row r="957" spans="1:27">
      <c r="A957" t="s">
        <v>988</v>
      </c>
      <c r="B957" s="3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S957">
        <v>0</v>
      </c>
      <c r="U957">
        <v>0</v>
      </c>
      <c r="W957">
        <v>0</v>
      </c>
      <c r="Y957">
        <v>0</v>
      </c>
      <c r="AA957">
        <v>2</v>
      </c>
    </row>
    <row r="958" spans="1:27">
      <c r="A958" t="s">
        <v>989</v>
      </c>
      <c r="B958" s="3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S958">
        <v>0</v>
      </c>
      <c r="U958">
        <v>0</v>
      </c>
      <c r="W958">
        <v>0</v>
      </c>
      <c r="Y958">
        <v>0</v>
      </c>
      <c r="AA958">
        <v>0</v>
      </c>
    </row>
    <row r="959" spans="1:27">
      <c r="A959" t="s">
        <v>990</v>
      </c>
      <c r="B959" s="3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S959">
        <v>0</v>
      </c>
      <c r="U959">
        <v>0</v>
      </c>
      <c r="W959">
        <v>0</v>
      </c>
      <c r="Y959">
        <v>0</v>
      </c>
      <c r="AA959">
        <v>1</v>
      </c>
    </row>
    <row r="960" spans="1:27">
      <c r="A960" t="s">
        <v>991</v>
      </c>
      <c r="B960" s="3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S960">
        <v>0</v>
      </c>
      <c r="U960">
        <v>1</v>
      </c>
      <c r="W960">
        <v>0</v>
      </c>
      <c r="Y960">
        <v>0</v>
      </c>
      <c r="AA960">
        <v>0</v>
      </c>
    </row>
    <row r="961" spans="1:27">
      <c r="A961" t="s">
        <v>992</v>
      </c>
      <c r="B961" s="3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S961">
        <v>0</v>
      </c>
      <c r="U961">
        <v>1</v>
      </c>
      <c r="W961">
        <v>0</v>
      </c>
      <c r="Y961">
        <v>0</v>
      </c>
      <c r="AA961">
        <v>2</v>
      </c>
    </row>
    <row r="962" spans="1:27">
      <c r="A962" t="s">
        <v>993</v>
      </c>
      <c r="B962" s="3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S962">
        <v>0</v>
      </c>
      <c r="U962">
        <v>1</v>
      </c>
      <c r="W962">
        <v>1</v>
      </c>
      <c r="Y962">
        <v>1</v>
      </c>
      <c r="AA962">
        <v>1</v>
      </c>
    </row>
    <row r="963" spans="1:27">
      <c r="A963" t="s">
        <v>994</v>
      </c>
      <c r="B963" s="3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S963">
        <v>0</v>
      </c>
      <c r="U963">
        <v>1</v>
      </c>
      <c r="W963">
        <v>0</v>
      </c>
      <c r="Y963">
        <v>0</v>
      </c>
      <c r="AA963">
        <v>0</v>
      </c>
    </row>
    <row r="964" spans="1:27">
      <c r="A964" t="s">
        <v>995</v>
      </c>
      <c r="B964" s="3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S964">
        <v>0</v>
      </c>
      <c r="U964">
        <v>0</v>
      </c>
      <c r="W964">
        <v>0</v>
      </c>
      <c r="Y964">
        <v>0</v>
      </c>
      <c r="AA964">
        <v>1</v>
      </c>
    </row>
    <row r="965" spans="1:27">
      <c r="A965" t="s">
        <v>996</v>
      </c>
      <c r="B965" s="3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S965">
        <v>0</v>
      </c>
      <c r="U965">
        <v>0</v>
      </c>
      <c r="W965">
        <v>0</v>
      </c>
      <c r="Y965">
        <v>0</v>
      </c>
      <c r="AA965">
        <v>0</v>
      </c>
    </row>
    <row r="966" spans="1:27">
      <c r="A966" t="s">
        <v>997</v>
      </c>
      <c r="B966" s="3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S966">
        <v>0</v>
      </c>
      <c r="U966">
        <v>1</v>
      </c>
      <c r="W966">
        <v>0</v>
      </c>
      <c r="Y966">
        <v>0</v>
      </c>
      <c r="AA966">
        <v>0</v>
      </c>
    </row>
    <row r="967" spans="1:27">
      <c r="A967" t="s">
        <v>998</v>
      </c>
      <c r="B967" s="3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S967">
        <v>0</v>
      </c>
      <c r="U967">
        <v>0</v>
      </c>
      <c r="W967">
        <v>0</v>
      </c>
      <c r="Y967">
        <v>0</v>
      </c>
      <c r="AA967">
        <v>0</v>
      </c>
    </row>
    <row r="968" spans="1:27">
      <c r="A968" t="s">
        <v>999</v>
      </c>
      <c r="B968" s="3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S968">
        <v>0</v>
      </c>
      <c r="U968">
        <v>1</v>
      </c>
      <c r="W968">
        <v>0</v>
      </c>
      <c r="Y968">
        <v>0</v>
      </c>
      <c r="AA968">
        <v>0</v>
      </c>
    </row>
    <row r="969" spans="1:27">
      <c r="A969" t="s">
        <v>1000</v>
      </c>
      <c r="B969" s="3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S969">
        <v>0</v>
      </c>
      <c r="U969">
        <v>1</v>
      </c>
      <c r="W969">
        <v>0</v>
      </c>
      <c r="Y969">
        <v>0</v>
      </c>
      <c r="AA969">
        <v>0</v>
      </c>
    </row>
    <row r="970" spans="1:27">
      <c r="A970" t="s">
        <v>1001</v>
      </c>
      <c r="B970" s="3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S970">
        <v>0</v>
      </c>
      <c r="U970">
        <v>0</v>
      </c>
      <c r="W970">
        <v>0</v>
      </c>
      <c r="Y970">
        <v>0</v>
      </c>
      <c r="AA970">
        <v>0</v>
      </c>
    </row>
    <row r="971" spans="1:27">
      <c r="A971" t="s">
        <v>1002</v>
      </c>
      <c r="B971" s="3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S971">
        <v>0</v>
      </c>
      <c r="U971">
        <v>0</v>
      </c>
      <c r="W971">
        <v>0</v>
      </c>
      <c r="Y971">
        <v>0</v>
      </c>
      <c r="AA971">
        <v>1</v>
      </c>
    </row>
    <row r="972" spans="1:27">
      <c r="A972" t="s">
        <v>1003</v>
      </c>
      <c r="B972" s="3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S972">
        <v>0</v>
      </c>
      <c r="U972">
        <v>1</v>
      </c>
      <c r="W972">
        <v>1</v>
      </c>
      <c r="Y972">
        <v>1</v>
      </c>
      <c r="AA972">
        <v>0</v>
      </c>
    </row>
    <row r="973" spans="1:27">
      <c r="A973" t="s">
        <v>1004</v>
      </c>
      <c r="B973" s="3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S973">
        <v>0</v>
      </c>
      <c r="U973">
        <v>0</v>
      </c>
      <c r="W973">
        <v>0</v>
      </c>
      <c r="Y973">
        <v>0</v>
      </c>
      <c r="AA973">
        <v>0</v>
      </c>
    </row>
    <row r="974" spans="1:27">
      <c r="A974" t="s">
        <v>1005</v>
      </c>
      <c r="B974" s="3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S974">
        <v>0</v>
      </c>
      <c r="U974">
        <v>1</v>
      </c>
      <c r="W974">
        <v>1</v>
      </c>
      <c r="Y974">
        <v>1</v>
      </c>
      <c r="AA974">
        <v>0</v>
      </c>
    </row>
    <row r="975" spans="1:27">
      <c r="A975" t="s">
        <v>1006</v>
      </c>
      <c r="B975" s="3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S975">
        <v>0</v>
      </c>
      <c r="U975">
        <v>1</v>
      </c>
      <c r="W975">
        <v>1</v>
      </c>
      <c r="Y975">
        <v>1</v>
      </c>
      <c r="AA975">
        <v>0</v>
      </c>
    </row>
    <row r="976" spans="1:27">
      <c r="A976" t="s">
        <v>1007</v>
      </c>
      <c r="B976" s="3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S976">
        <v>0</v>
      </c>
      <c r="U976">
        <v>1</v>
      </c>
      <c r="W976">
        <v>0</v>
      </c>
      <c r="Y976">
        <v>0</v>
      </c>
      <c r="AA976">
        <v>0</v>
      </c>
    </row>
    <row r="977" spans="1:27">
      <c r="A977" t="s">
        <v>1008</v>
      </c>
      <c r="B977" s="3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S977">
        <v>0</v>
      </c>
      <c r="U977">
        <v>1</v>
      </c>
      <c r="W977">
        <v>0</v>
      </c>
      <c r="Y977">
        <v>0</v>
      </c>
      <c r="AA977">
        <v>0</v>
      </c>
    </row>
    <row r="978" spans="1:27">
      <c r="A978" t="s">
        <v>1009</v>
      </c>
      <c r="B978" s="3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S978">
        <v>0</v>
      </c>
      <c r="U978">
        <v>1</v>
      </c>
      <c r="W978">
        <v>1</v>
      </c>
      <c r="Y978">
        <v>0</v>
      </c>
      <c r="AA978">
        <v>0</v>
      </c>
    </row>
    <row r="979" spans="1:27">
      <c r="A979" t="s">
        <v>1010</v>
      </c>
      <c r="B979" s="3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S979">
        <v>0</v>
      </c>
      <c r="U979">
        <v>1</v>
      </c>
      <c r="W979">
        <v>1</v>
      </c>
      <c r="Y979">
        <v>1</v>
      </c>
      <c r="AA979">
        <v>1</v>
      </c>
    </row>
    <row r="980" spans="1:27">
      <c r="A980" t="s">
        <v>1011</v>
      </c>
      <c r="B980" s="3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S980">
        <v>0</v>
      </c>
      <c r="U980">
        <v>1</v>
      </c>
      <c r="W980">
        <v>0</v>
      </c>
      <c r="Y980">
        <v>0</v>
      </c>
      <c r="AA980">
        <v>0</v>
      </c>
    </row>
    <row r="981" spans="1:27">
      <c r="A981" t="s">
        <v>1012</v>
      </c>
      <c r="B981" s="3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S981">
        <v>0</v>
      </c>
      <c r="U981">
        <v>1</v>
      </c>
      <c r="W981">
        <v>0</v>
      </c>
      <c r="Y981">
        <v>0</v>
      </c>
      <c r="AA981">
        <v>1</v>
      </c>
    </row>
    <row r="982" spans="1:27">
      <c r="A982" t="s">
        <v>1013</v>
      </c>
      <c r="B982" s="3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S982">
        <v>0</v>
      </c>
      <c r="U982">
        <v>1</v>
      </c>
      <c r="W982">
        <v>0</v>
      </c>
      <c r="Y982">
        <v>0</v>
      </c>
      <c r="AA982">
        <v>0</v>
      </c>
    </row>
    <row r="983" spans="1:27">
      <c r="A983" t="s">
        <v>1014</v>
      </c>
      <c r="B983" s="3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S983">
        <v>0</v>
      </c>
      <c r="U983">
        <v>1</v>
      </c>
      <c r="W983">
        <v>0</v>
      </c>
      <c r="Y983">
        <v>0</v>
      </c>
      <c r="AA983">
        <v>3</v>
      </c>
    </row>
    <row r="984" spans="1:27">
      <c r="A984" t="s">
        <v>1015</v>
      </c>
      <c r="B984" s="3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S984">
        <v>0</v>
      </c>
      <c r="U984">
        <v>1</v>
      </c>
      <c r="W984">
        <v>0</v>
      </c>
      <c r="Y984">
        <v>0</v>
      </c>
      <c r="AA984">
        <v>0</v>
      </c>
    </row>
    <row r="985" spans="1:27">
      <c r="A985" t="s">
        <v>1016</v>
      </c>
      <c r="B985" s="3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S985">
        <v>0</v>
      </c>
      <c r="U985">
        <v>1</v>
      </c>
      <c r="W985">
        <v>0</v>
      </c>
      <c r="Y985">
        <v>0</v>
      </c>
      <c r="AA985">
        <v>0</v>
      </c>
    </row>
    <row r="986" spans="1:27">
      <c r="A986" t="s">
        <v>1017</v>
      </c>
      <c r="B986" s="3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S986">
        <v>0</v>
      </c>
      <c r="U986">
        <v>1</v>
      </c>
      <c r="W986">
        <v>0</v>
      </c>
      <c r="Y986">
        <v>0</v>
      </c>
      <c r="AA986">
        <v>0</v>
      </c>
    </row>
    <row r="987" spans="1:27">
      <c r="A987" t="s">
        <v>1018</v>
      </c>
      <c r="B987" s="3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S987">
        <v>0</v>
      </c>
      <c r="U987">
        <v>1</v>
      </c>
      <c r="W987">
        <v>0</v>
      </c>
      <c r="Y987">
        <v>0</v>
      </c>
      <c r="AA987">
        <v>0</v>
      </c>
    </row>
    <row r="988" spans="1:27">
      <c r="A988" t="s">
        <v>1019</v>
      </c>
      <c r="B988" s="3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S988">
        <v>0</v>
      </c>
      <c r="U988">
        <v>0</v>
      </c>
      <c r="W988">
        <v>0</v>
      </c>
      <c r="Y988">
        <v>0</v>
      </c>
      <c r="AA988">
        <v>2</v>
      </c>
    </row>
    <row r="989" spans="1:27">
      <c r="A989" t="s">
        <v>1020</v>
      </c>
      <c r="B989" s="3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S989">
        <v>0</v>
      </c>
      <c r="U989">
        <v>1</v>
      </c>
      <c r="W989">
        <v>0</v>
      </c>
      <c r="Y989">
        <v>0</v>
      </c>
      <c r="AA989">
        <v>0</v>
      </c>
    </row>
    <row r="990" spans="1:27">
      <c r="A990" t="s">
        <v>1021</v>
      </c>
      <c r="B990" s="3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S990">
        <v>0</v>
      </c>
      <c r="U990">
        <v>0</v>
      </c>
      <c r="W990">
        <v>0</v>
      </c>
      <c r="Y990">
        <v>0</v>
      </c>
      <c r="AA990">
        <v>0</v>
      </c>
    </row>
    <row r="991" spans="1:27">
      <c r="A991" t="s">
        <v>1022</v>
      </c>
      <c r="B991" s="3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S991">
        <v>0</v>
      </c>
      <c r="U991">
        <v>1</v>
      </c>
      <c r="W991">
        <v>0</v>
      </c>
      <c r="Y991">
        <v>0</v>
      </c>
      <c r="AA991">
        <v>1</v>
      </c>
    </row>
    <row r="992" spans="1:27">
      <c r="A992" t="s">
        <v>1023</v>
      </c>
      <c r="B992" s="3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S992">
        <v>0</v>
      </c>
      <c r="U992">
        <v>1</v>
      </c>
      <c r="W992">
        <v>0</v>
      </c>
      <c r="Y992">
        <v>0</v>
      </c>
      <c r="AA992">
        <v>0</v>
      </c>
    </row>
    <row r="993" spans="1:27">
      <c r="A993" t="s">
        <v>1024</v>
      </c>
      <c r="B993" s="3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S993">
        <v>0</v>
      </c>
      <c r="U993">
        <v>1</v>
      </c>
      <c r="W993">
        <v>1</v>
      </c>
      <c r="Y993">
        <v>0</v>
      </c>
      <c r="AA993">
        <v>0</v>
      </c>
    </row>
    <row r="994" spans="1:27">
      <c r="A994" t="s">
        <v>1025</v>
      </c>
      <c r="B994" s="3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S994">
        <v>0</v>
      </c>
      <c r="U994">
        <v>1</v>
      </c>
      <c r="W994">
        <v>1</v>
      </c>
      <c r="Y994">
        <v>1</v>
      </c>
      <c r="AA994">
        <v>0</v>
      </c>
    </row>
    <row r="995" spans="1:27">
      <c r="A995" t="s">
        <v>1026</v>
      </c>
      <c r="B995" s="3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S995">
        <v>1</v>
      </c>
      <c r="U995">
        <v>0</v>
      </c>
      <c r="W995">
        <v>0</v>
      </c>
      <c r="Y995">
        <v>0</v>
      </c>
      <c r="AA995">
        <v>0</v>
      </c>
    </row>
    <row r="996" spans="1:27">
      <c r="A996" t="s">
        <v>1027</v>
      </c>
      <c r="B996" s="3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S996">
        <v>0</v>
      </c>
      <c r="U996">
        <v>0</v>
      </c>
      <c r="W996">
        <v>0</v>
      </c>
      <c r="Y996">
        <v>0</v>
      </c>
      <c r="AA996">
        <v>0</v>
      </c>
    </row>
    <row r="997" spans="1:27">
      <c r="A997" t="s">
        <v>1028</v>
      </c>
      <c r="B997" s="3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S997">
        <v>0</v>
      </c>
      <c r="U997">
        <v>0</v>
      </c>
      <c r="W997">
        <v>0</v>
      </c>
      <c r="Y997">
        <v>0</v>
      </c>
      <c r="AA997">
        <v>1</v>
      </c>
    </row>
    <row r="998" spans="1:27">
      <c r="A998" t="s">
        <v>1029</v>
      </c>
      <c r="B998" s="3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S998">
        <v>0</v>
      </c>
      <c r="U998">
        <v>1</v>
      </c>
      <c r="W998">
        <v>1</v>
      </c>
      <c r="Y998">
        <v>1</v>
      </c>
      <c r="AA998">
        <v>0</v>
      </c>
    </row>
    <row r="999" spans="1:27">
      <c r="A999" t="s">
        <v>1030</v>
      </c>
      <c r="B999" s="3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S999">
        <v>1</v>
      </c>
      <c r="U999">
        <v>1</v>
      </c>
      <c r="W999">
        <v>0</v>
      </c>
      <c r="Y999">
        <v>0</v>
      </c>
      <c r="AA999">
        <v>0</v>
      </c>
    </row>
    <row r="1000" spans="1:27">
      <c r="A1000" t="s">
        <v>1031</v>
      </c>
      <c r="B1000" s="3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S1000">
        <v>0</v>
      </c>
      <c r="U1000">
        <v>1</v>
      </c>
      <c r="W1000">
        <v>1</v>
      </c>
      <c r="Y1000">
        <v>1</v>
      </c>
      <c r="AA1000">
        <v>0</v>
      </c>
    </row>
    <row r="1001" spans="1:27">
      <c r="A1001" t="s">
        <v>1032</v>
      </c>
      <c r="B1001" s="3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S1001">
        <v>0</v>
      </c>
      <c r="U1001">
        <v>1</v>
      </c>
      <c r="W1001">
        <v>0</v>
      </c>
      <c r="Y1001">
        <v>0</v>
      </c>
      <c r="AA1001">
        <v>1</v>
      </c>
    </row>
    <row r="1002" spans="1:27">
      <c r="A1002" t="s">
        <v>1033</v>
      </c>
      <c r="B1002" s="3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S1002">
        <v>0</v>
      </c>
      <c r="U1002">
        <v>0</v>
      </c>
      <c r="W1002">
        <v>0</v>
      </c>
      <c r="Y1002">
        <v>0</v>
      </c>
      <c r="AA1002">
        <v>0</v>
      </c>
    </row>
    <row r="1003" spans="1:27">
      <c r="A1003" t="s">
        <v>1034</v>
      </c>
      <c r="B1003" s="3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S1003">
        <v>0</v>
      </c>
      <c r="U1003">
        <v>0</v>
      </c>
      <c r="W1003">
        <v>0</v>
      </c>
      <c r="Y1003">
        <v>0</v>
      </c>
      <c r="AA1003">
        <v>1</v>
      </c>
    </row>
    <row r="1004" spans="1:27">
      <c r="A1004" t="s">
        <v>1035</v>
      </c>
      <c r="B1004" s="3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S1004">
        <v>0</v>
      </c>
      <c r="U1004">
        <v>1</v>
      </c>
      <c r="W1004">
        <v>1</v>
      </c>
      <c r="Y1004">
        <v>0</v>
      </c>
      <c r="AA1004">
        <v>0</v>
      </c>
    </row>
    <row r="1005" spans="1:27">
      <c r="A1005" t="s">
        <v>1036</v>
      </c>
      <c r="B1005" s="3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S1005">
        <v>0</v>
      </c>
      <c r="U1005">
        <v>1</v>
      </c>
      <c r="W1005">
        <v>1</v>
      </c>
      <c r="Y1005">
        <v>1</v>
      </c>
      <c r="AA1005">
        <v>2</v>
      </c>
    </row>
    <row r="1006" spans="1:27">
      <c r="A1006" t="s">
        <v>1037</v>
      </c>
      <c r="B1006" s="3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S1006">
        <v>0</v>
      </c>
      <c r="U1006">
        <v>1</v>
      </c>
      <c r="W1006">
        <v>1</v>
      </c>
      <c r="Y1006">
        <v>1</v>
      </c>
      <c r="AA1006">
        <v>0</v>
      </c>
    </row>
    <row r="1007" spans="1:27">
      <c r="A1007" t="s">
        <v>1038</v>
      </c>
      <c r="B1007" s="3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S1007">
        <v>0</v>
      </c>
      <c r="U1007">
        <v>1</v>
      </c>
      <c r="W1007">
        <v>0</v>
      </c>
      <c r="Y1007">
        <v>0</v>
      </c>
      <c r="AA1007">
        <v>0</v>
      </c>
    </row>
    <row r="1008" spans="1:27">
      <c r="A1008" t="s">
        <v>1039</v>
      </c>
      <c r="B1008" s="3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S1008">
        <v>0</v>
      </c>
      <c r="U1008">
        <v>1</v>
      </c>
      <c r="W1008">
        <v>0</v>
      </c>
      <c r="Y1008">
        <v>0</v>
      </c>
      <c r="AA1008">
        <v>0</v>
      </c>
    </row>
    <row r="1009" spans="1:27">
      <c r="A1009" t="s">
        <v>1040</v>
      </c>
      <c r="B1009" s="3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S1009">
        <v>0</v>
      </c>
      <c r="U1009">
        <v>1</v>
      </c>
      <c r="W1009">
        <v>0</v>
      </c>
      <c r="Y1009">
        <v>0</v>
      </c>
      <c r="AA1009">
        <v>0</v>
      </c>
    </row>
    <row r="1010" spans="1:27">
      <c r="A1010" t="s">
        <v>1041</v>
      </c>
      <c r="B1010" s="3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S1010">
        <v>0</v>
      </c>
      <c r="U1010">
        <v>0</v>
      </c>
      <c r="W1010">
        <v>0</v>
      </c>
      <c r="Y1010">
        <v>0</v>
      </c>
      <c r="AA1010">
        <v>0</v>
      </c>
    </row>
    <row r="1011" spans="1:27">
      <c r="A1011" t="s">
        <v>1042</v>
      </c>
      <c r="B1011" s="3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S1011">
        <v>0</v>
      </c>
      <c r="U1011">
        <v>0</v>
      </c>
      <c r="W1011">
        <v>0</v>
      </c>
      <c r="Y1011">
        <v>0</v>
      </c>
      <c r="AA1011">
        <v>0</v>
      </c>
    </row>
    <row r="1012" spans="1:27">
      <c r="A1012" t="s">
        <v>1043</v>
      </c>
      <c r="B1012" s="3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S1012">
        <v>0</v>
      </c>
      <c r="U1012">
        <v>1</v>
      </c>
      <c r="W1012">
        <v>0</v>
      </c>
      <c r="Y1012">
        <v>0</v>
      </c>
      <c r="AA1012">
        <v>1</v>
      </c>
    </row>
    <row r="1013" spans="1:27">
      <c r="A1013" t="s">
        <v>1044</v>
      </c>
      <c r="B1013" s="3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S1013">
        <v>0</v>
      </c>
      <c r="U1013">
        <v>1</v>
      </c>
      <c r="W1013">
        <v>1</v>
      </c>
      <c r="Y1013">
        <v>1</v>
      </c>
      <c r="AA1013">
        <v>1</v>
      </c>
    </row>
    <row r="1014" spans="1:27">
      <c r="A1014" t="s">
        <v>1045</v>
      </c>
      <c r="B1014" s="3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S1014">
        <v>1</v>
      </c>
      <c r="U1014">
        <v>0</v>
      </c>
      <c r="W1014">
        <v>0</v>
      </c>
      <c r="Y1014">
        <v>0</v>
      </c>
      <c r="AA1014">
        <v>0</v>
      </c>
    </row>
    <row r="1015" spans="1:27">
      <c r="A1015" t="s">
        <v>1046</v>
      </c>
      <c r="B1015" s="3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S1015">
        <v>0</v>
      </c>
      <c r="U1015">
        <v>1</v>
      </c>
      <c r="W1015">
        <v>0</v>
      </c>
      <c r="Y1015">
        <v>0</v>
      </c>
      <c r="AA1015">
        <v>0</v>
      </c>
    </row>
    <row r="1016" spans="1:27">
      <c r="A1016" t="s">
        <v>1047</v>
      </c>
      <c r="B1016" s="3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S1016">
        <v>0</v>
      </c>
      <c r="U1016">
        <v>1</v>
      </c>
      <c r="W1016">
        <v>0</v>
      </c>
      <c r="Y1016">
        <v>0</v>
      </c>
      <c r="AA1016">
        <v>0</v>
      </c>
    </row>
    <row r="1017" spans="1:27">
      <c r="A1017" t="s">
        <v>1048</v>
      </c>
      <c r="B1017" s="3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S1017">
        <v>0</v>
      </c>
      <c r="U1017">
        <v>1</v>
      </c>
      <c r="W1017">
        <v>0</v>
      </c>
      <c r="Y1017">
        <v>0</v>
      </c>
      <c r="AA1017">
        <v>0</v>
      </c>
    </row>
    <row r="1018" spans="1:27">
      <c r="A1018" t="s">
        <v>1049</v>
      </c>
      <c r="B1018" s="3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S1018">
        <v>0</v>
      </c>
      <c r="U1018">
        <v>1</v>
      </c>
      <c r="W1018">
        <v>1</v>
      </c>
      <c r="Y1018">
        <v>0</v>
      </c>
      <c r="AA1018">
        <v>1</v>
      </c>
    </row>
    <row r="1019" spans="1:27">
      <c r="A1019" t="s">
        <v>1050</v>
      </c>
      <c r="B1019" s="3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S1019">
        <v>0</v>
      </c>
      <c r="U1019">
        <v>1</v>
      </c>
      <c r="W1019">
        <v>0</v>
      </c>
      <c r="Y1019">
        <v>0</v>
      </c>
      <c r="AA1019">
        <v>0</v>
      </c>
    </row>
    <row r="1020" spans="1:27">
      <c r="A1020" t="s">
        <v>1051</v>
      </c>
      <c r="B1020" s="3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S1020">
        <v>0</v>
      </c>
      <c r="U1020">
        <v>1</v>
      </c>
      <c r="W1020">
        <v>0</v>
      </c>
      <c r="Y1020">
        <v>0</v>
      </c>
      <c r="AA1020">
        <v>0</v>
      </c>
    </row>
    <row r="1021" spans="1:27">
      <c r="A1021" t="s">
        <v>1052</v>
      </c>
      <c r="B1021" s="3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S1021">
        <v>0</v>
      </c>
      <c r="U1021">
        <v>1</v>
      </c>
      <c r="W1021">
        <v>0</v>
      </c>
      <c r="Y1021">
        <v>0</v>
      </c>
      <c r="AA1021">
        <v>0</v>
      </c>
    </row>
    <row r="1022" spans="1:27">
      <c r="A1022" t="s">
        <v>1053</v>
      </c>
      <c r="B1022" s="3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S1022">
        <v>0</v>
      </c>
      <c r="U1022">
        <v>0</v>
      </c>
      <c r="W1022">
        <v>0</v>
      </c>
      <c r="Y1022">
        <v>0</v>
      </c>
      <c r="AA1022">
        <v>0</v>
      </c>
    </row>
    <row r="1023" spans="1:27">
      <c r="A1023" t="s">
        <v>1054</v>
      </c>
      <c r="B1023" s="3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S1023">
        <v>0</v>
      </c>
      <c r="U1023">
        <v>1</v>
      </c>
      <c r="W1023">
        <v>0</v>
      </c>
      <c r="Y1023">
        <v>0</v>
      </c>
      <c r="AA1023">
        <v>0</v>
      </c>
    </row>
    <row r="1024" spans="1:27">
      <c r="A1024" t="s">
        <v>1055</v>
      </c>
      <c r="B1024" s="3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S1024">
        <v>0</v>
      </c>
      <c r="U1024">
        <v>0</v>
      </c>
      <c r="W1024">
        <v>0</v>
      </c>
      <c r="Y1024">
        <v>0</v>
      </c>
      <c r="AA1024">
        <v>0</v>
      </c>
    </row>
    <row r="1025" spans="1:27">
      <c r="A1025" t="s">
        <v>1056</v>
      </c>
      <c r="B1025" s="3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S1025">
        <v>0</v>
      </c>
      <c r="U1025">
        <v>0</v>
      </c>
      <c r="W1025">
        <v>0</v>
      </c>
      <c r="Y1025">
        <v>0</v>
      </c>
      <c r="AA1025">
        <v>0</v>
      </c>
    </row>
    <row r="1026" spans="1:27">
      <c r="A1026" t="s">
        <v>1057</v>
      </c>
      <c r="B1026" s="3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S1026">
        <v>0</v>
      </c>
      <c r="U1026">
        <v>1</v>
      </c>
      <c r="W1026">
        <v>1</v>
      </c>
      <c r="Y1026">
        <v>1</v>
      </c>
      <c r="AA1026">
        <v>0</v>
      </c>
    </row>
    <row r="1027" spans="1:27">
      <c r="A1027" t="s">
        <v>1058</v>
      </c>
      <c r="B1027" s="3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S1027">
        <v>1</v>
      </c>
      <c r="U1027">
        <v>1</v>
      </c>
      <c r="W1027">
        <v>0</v>
      </c>
      <c r="Y1027">
        <v>0</v>
      </c>
      <c r="AA1027">
        <v>0</v>
      </c>
    </row>
    <row r="1028" spans="1:27">
      <c r="A1028" t="s">
        <v>1059</v>
      </c>
      <c r="B1028" s="3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S1028">
        <v>0</v>
      </c>
      <c r="U1028">
        <v>0</v>
      </c>
      <c r="W1028">
        <v>0</v>
      </c>
      <c r="Y1028">
        <v>0</v>
      </c>
      <c r="AA1028">
        <v>0</v>
      </c>
    </row>
    <row r="1029" spans="1:27">
      <c r="A1029" t="s">
        <v>1060</v>
      </c>
      <c r="B1029" s="3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S1029">
        <v>0</v>
      </c>
      <c r="U1029">
        <v>0</v>
      </c>
      <c r="W1029">
        <v>0</v>
      </c>
      <c r="Y1029">
        <v>0</v>
      </c>
      <c r="AA1029">
        <v>1</v>
      </c>
    </row>
    <row r="1030" spans="1:27">
      <c r="A1030" t="s">
        <v>1061</v>
      </c>
      <c r="B1030" s="3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S1030">
        <v>0</v>
      </c>
      <c r="U1030">
        <v>1</v>
      </c>
      <c r="W1030">
        <v>0</v>
      </c>
      <c r="Y1030">
        <v>0</v>
      </c>
      <c r="AA1030">
        <v>2</v>
      </c>
    </row>
    <row r="1031" spans="1:27">
      <c r="A1031" t="s">
        <v>1062</v>
      </c>
      <c r="B1031" s="3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S1031">
        <v>0</v>
      </c>
      <c r="U1031">
        <v>1</v>
      </c>
      <c r="W1031">
        <v>1</v>
      </c>
      <c r="Y1031">
        <v>1</v>
      </c>
      <c r="AA1031">
        <v>0</v>
      </c>
    </row>
    <row r="1032" spans="1:27">
      <c r="A1032" t="s">
        <v>1063</v>
      </c>
      <c r="B1032" s="3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S1032">
        <v>0</v>
      </c>
      <c r="U1032">
        <v>0</v>
      </c>
      <c r="W1032">
        <v>0</v>
      </c>
      <c r="Y1032">
        <v>0</v>
      </c>
      <c r="AA1032">
        <v>0</v>
      </c>
    </row>
    <row r="1033" spans="1:27">
      <c r="A1033" t="s">
        <v>1064</v>
      </c>
      <c r="B1033" s="3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S1033">
        <v>0</v>
      </c>
      <c r="U1033">
        <v>1</v>
      </c>
      <c r="W1033">
        <v>0</v>
      </c>
      <c r="Y1033">
        <v>0</v>
      </c>
      <c r="AA1033">
        <v>0</v>
      </c>
    </row>
    <row r="1034" spans="1:27">
      <c r="A1034" t="s">
        <v>1065</v>
      </c>
      <c r="B1034" s="3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S1034">
        <v>0</v>
      </c>
      <c r="U1034">
        <v>0</v>
      </c>
      <c r="W1034">
        <v>0</v>
      </c>
      <c r="Y1034">
        <v>0</v>
      </c>
      <c r="AA1034">
        <v>0</v>
      </c>
    </row>
    <row r="1035" spans="1:27">
      <c r="A1035" t="s">
        <v>1066</v>
      </c>
      <c r="B1035" s="3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S1035">
        <v>0</v>
      </c>
      <c r="U1035">
        <v>0</v>
      </c>
      <c r="W1035">
        <v>0</v>
      </c>
      <c r="Y1035">
        <v>0</v>
      </c>
      <c r="AA1035">
        <v>0</v>
      </c>
    </row>
    <row r="1036" spans="1:27">
      <c r="A1036" t="s">
        <v>1067</v>
      </c>
      <c r="B1036" s="3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S1036">
        <v>0</v>
      </c>
      <c r="U1036">
        <v>1</v>
      </c>
      <c r="W1036">
        <v>0</v>
      </c>
      <c r="Y1036">
        <v>0</v>
      </c>
      <c r="AA1036">
        <v>0</v>
      </c>
    </row>
    <row r="1037" spans="1:27">
      <c r="A1037" t="s">
        <v>1068</v>
      </c>
      <c r="B1037" s="3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S1037">
        <v>0</v>
      </c>
      <c r="U1037">
        <v>0</v>
      </c>
      <c r="W1037">
        <v>0</v>
      </c>
      <c r="Y1037">
        <v>0</v>
      </c>
      <c r="AA1037">
        <v>0</v>
      </c>
    </row>
    <row r="1038" spans="1:27">
      <c r="A1038" t="s">
        <v>1069</v>
      </c>
      <c r="B1038" s="3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S1038">
        <v>0</v>
      </c>
      <c r="U1038">
        <v>1</v>
      </c>
      <c r="W1038">
        <v>0</v>
      </c>
      <c r="Y1038">
        <v>0</v>
      </c>
      <c r="AA1038">
        <v>0</v>
      </c>
    </row>
    <row r="1039" spans="1:27">
      <c r="A1039" t="s">
        <v>1070</v>
      </c>
      <c r="B1039" s="3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S1039">
        <v>0</v>
      </c>
      <c r="U1039">
        <v>1</v>
      </c>
      <c r="W1039">
        <v>0</v>
      </c>
      <c r="Y1039">
        <v>0</v>
      </c>
      <c r="AA1039">
        <v>3</v>
      </c>
    </row>
    <row r="1040" spans="1:27">
      <c r="A1040" t="s">
        <v>1071</v>
      </c>
      <c r="B1040" s="3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S1040">
        <v>0</v>
      </c>
      <c r="U1040">
        <v>1</v>
      </c>
      <c r="W1040">
        <v>0</v>
      </c>
      <c r="Y1040">
        <v>0</v>
      </c>
      <c r="AA1040">
        <v>1</v>
      </c>
    </row>
    <row r="1041" spans="1:27">
      <c r="A1041" t="s">
        <v>1072</v>
      </c>
      <c r="B1041" s="3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S1041">
        <v>0</v>
      </c>
      <c r="U1041">
        <v>1</v>
      </c>
      <c r="W1041">
        <v>0</v>
      </c>
      <c r="Y1041">
        <v>0</v>
      </c>
      <c r="AA1041">
        <v>0</v>
      </c>
    </row>
    <row r="1042" spans="1:27">
      <c r="A1042" t="s">
        <v>1073</v>
      </c>
      <c r="B1042" s="3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S1042">
        <v>0</v>
      </c>
      <c r="U1042">
        <v>1</v>
      </c>
      <c r="W1042">
        <v>0</v>
      </c>
      <c r="Y1042">
        <v>0</v>
      </c>
      <c r="AA1042">
        <v>0</v>
      </c>
    </row>
    <row r="1043" spans="1:27">
      <c r="A1043" t="s">
        <v>1074</v>
      </c>
      <c r="B1043" s="3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S1043">
        <v>0</v>
      </c>
      <c r="U1043">
        <v>0</v>
      </c>
      <c r="W1043">
        <v>0</v>
      </c>
      <c r="Y1043">
        <v>0</v>
      </c>
      <c r="AA1043">
        <v>1</v>
      </c>
    </row>
    <row r="1044" spans="1:27">
      <c r="A1044" t="s">
        <v>1075</v>
      </c>
      <c r="B1044" s="3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S1044">
        <v>0</v>
      </c>
      <c r="U1044">
        <v>0</v>
      </c>
      <c r="W1044">
        <v>0</v>
      </c>
      <c r="Y1044">
        <v>0</v>
      </c>
      <c r="AA1044">
        <v>2</v>
      </c>
    </row>
    <row r="1045" spans="1:27">
      <c r="A1045" t="s">
        <v>1076</v>
      </c>
      <c r="B1045" s="3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S1045">
        <v>0</v>
      </c>
      <c r="U1045">
        <v>0</v>
      </c>
      <c r="W1045">
        <v>0</v>
      </c>
      <c r="Y1045">
        <v>0</v>
      </c>
      <c r="AA1045">
        <v>0</v>
      </c>
    </row>
    <row r="1046" spans="1:27">
      <c r="A1046" t="s">
        <v>1077</v>
      </c>
      <c r="B1046" s="3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S1046">
        <v>0</v>
      </c>
      <c r="U1046">
        <v>1</v>
      </c>
      <c r="W1046">
        <v>0</v>
      </c>
      <c r="Y1046">
        <v>0</v>
      </c>
      <c r="AA1046">
        <v>0</v>
      </c>
    </row>
    <row r="1047" spans="1:27">
      <c r="A1047" t="s">
        <v>1078</v>
      </c>
      <c r="B1047" s="3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S1047">
        <v>0</v>
      </c>
      <c r="U1047">
        <v>1</v>
      </c>
      <c r="W1047">
        <v>0</v>
      </c>
      <c r="Y1047">
        <v>0</v>
      </c>
      <c r="AA1047">
        <v>0</v>
      </c>
    </row>
    <row r="1048" spans="1:27">
      <c r="A1048" t="s">
        <v>1079</v>
      </c>
      <c r="B1048" s="3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S1048">
        <v>0</v>
      </c>
      <c r="U1048">
        <v>1</v>
      </c>
      <c r="W1048">
        <v>0</v>
      </c>
      <c r="Y1048">
        <v>0</v>
      </c>
      <c r="AA1048">
        <v>0</v>
      </c>
    </row>
    <row r="1049" spans="1:27">
      <c r="A1049" t="s">
        <v>1080</v>
      </c>
      <c r="B1049" s="3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S1049">
        <v>0</v>
      </c>
      <c r="U1049">
        <v>1</v>
      </c>
      <c r="W1049">
        <v>0</v>
      </c>
      <c r="Y1049">
        <v>0</v>
      </c>
      <c r="AA1049">
        <v>0</v>
      </c>
    </row>
    <row r="1050" spans="1:27">
      <c r="A1050" t="s">
        <v>1081</v>
      </c>
      <c r="B1050" s="3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S1050">
        <v>0</v>
      </c>
      <c r="U1050">
        <v>1</v>
      </c>
      <c r="W1050">
        <v>0</v>
      </c>
      <c r="Y1050">
        <v>0</v>
      </c>
      <c r="AA1050">
        <v>0</v>
      </c>
    </row>
    <row r="1051" spans="1:27">
      <c r="A1051" t="s">
        <v>1082</v>
      </c>
      <c r="B1051" s="3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S1051">
        <v>0</v>
      </c>
      <c r="U1051">
        <v>1</v>
      </c>
      <c r="W1051">
        <v>1</v>
      </c>
      <c r="Y1051">
        <v>0</v>
      </c>
      <c r="AA1051">
        <v>1</v>
      </c>
    </row>
    <row r="1052" spans="1:27">
      <c r="A1052" t="s">
        <v>1083</v>
      </c>
      <c r="B1052" s="3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S1052">
        <v>0</v>
      </c>
      <c r="U1052">
        <v>1</v>
      </c>
      <c r="W1052">
        <v>1</v>
      </c>
      <c r="Y1052">
        <v>0</v>
      </c>
      <c r="AA1052">
        <v>0</v>
      </c>
    </row>
    <row r="1053" spans="1:27">
      <c r="A1053" t="s">
        <v>1084</v>
      </c>
      <c r="B1053" s="3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S1053">
        <v>0</v>
      </c>
      <c r="U1053">
        <v>1</v>
      </c>
      <c r="W1053">
        <v>1</v>
      </c>
      <c r="Y1053">
        <v>1</v>
      </c>
      <c r="AA1053">
        <v>0</v>
      </c>
    </row>
    <row r="1054" spans="1:27">
      <c r="A1054" t="s">
        <v>1085</v>
      </c>
      <c r="B1054" s="3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S1054">
        <v>0</v>
      </c>
      <c r="U1054">
        <v>1</v>
      </c>
      <c r="W1054">
        <v>1</v>
      </c>
      <c r="Y1054">
        <v>1</v>
      </c>
      <c r="AA1054">
        <v>0</v>
      </c>
    </row>
    <row r="1055" spans="1:27">
      <c r="A1055" t="s">
        <v>1086</v>
      </c>
      <c r="B1055" s="3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S1055">
        <v>1</v>
      </c>
      <c r="U1055">
        <v>1</v>
      </c>
      <c r="W1055">
        <v>0</v>
      </c>
      <c r="Y1055">
        <v>0</v>
      </c>
      <c r="AA1055">
        <v>1</v>
      </c>
    </row>
    <row r="1056" spans="1:27">
      <c r="A1056" t="s">
        <v>1087</v>
      </c>
      <c r="B1056" s="3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S1056">
        <v>0</v>
      </c>
      <c r="U1056">
        <v>1</v>
      </c>
      <c r="W1056">
        <v>0</v>
      </c>
      <c r="Y1056">
        <v>0</v>
      </c>
      <c r="AA1056">
        <v>0</v>
      </c>
    </row>
    <row r="1057" spans="1:27">
      <c r="A1057" t="s">
        <v>1088</v>
      </c>
      <c r="B1057" s="3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S1057">
        <v>0</v>
      </c>
      <c r="U1057">
        <v>1</v>
      </c>
      <c r="W1057">
        <v>1</v>
      </c>
      <c r="Y1057">
        <v>0</v>
      </c>
      <c r="AA1057">
        <v>0</v>
      </c>
    </row>
    <row r="1058" spans="1:27">
      <c r="A1058" t="s">
        <v>1089</v>
      </c>
      <c r="B1058" s="3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S1058">
        <v>0</v>
      </c>
      <c r="U1058">
        <v>1</v>
      </c>
      <c r="W1058">
        <v>0</v>
      </c>
      <c r="Y1058">
        <v>0</v>
      </c>
      <c r="AA1058">
        <v>0</v>
      </c>
    </row>
    <row r="1059" spans="1:27">
      <c r="A1059" t="s">
        <v>1090</v>
      </c>
      <c r="B1059" s="3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S1059">
        <v>0</v>
      </c>
      <c r="U1059">
        <v>0</v>
      </c>
      <c r="W1059">
        <v>0</v>
      </c>
      <c r="Y1059">
        <v>0</v>
      </c>
      <c r="AA1059">
        <v>0</v>
      </c>
    </row>
    <row r="1060" spans="1:27">
      <c r="A1060" t="s">
        <v>1091</v>
      </c>
      <c r="B1060" s="3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S1060">
        <v>0</v>
      </c>
      <c r="U1060">
        <v>1</v>
      </c>
      <c r="W1060">
        <v>0</v>
      </c>
      <c r="Y1060">
        <v>0</v>
      </c>
      <c r="AA1060">
        <v>0</v>
      </c>
    </row>
    <row r="1061" spans="1:27">
      <c r="A1061" t="s">
        <v>1092</v>
      </c>
      <c r="B1061" s="3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S1061">
        <v>0</v>
      </c>
      <c r="U1061">
        <v>1</v>
      </c>
      <c r="W1061">
        <v>1</v>
      </c>
      <c r="Y1061">
        <v>0</v>
      </c>
      <c r="AA1061">
        <v>1</v>
      </c>
    </row>
    <row r="1062" spans="1:27">
      <c r="A1062" t="s">
        <v>1093</v>
      </c>
      <c r="B1062" s="3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S1062">
        <v>0</v>
      </c>
      <c r="U1062">
        <v>0</v>
      </c>
      <c r="W1062">
        <v>0</v>
      </c>
      <c r="Y1062">
        <v>0</v>
      </c>
      <c r="AA1062">
        <v>0</v>
      </c>
    </row>
    <row r="1063" spans="1:27">
      <c r="A1063" t="s">
        <v>1094</v>
      </c>
      <c r="B1063" s="3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S1063">
        <v>0</v>
      </c>
      <c r="U1063">
        <v>1</v>
      </c>
      <c r="W1063">
        <v>1</v>
      </c>
      <c r="Y1063">
        <v>1</v>
      </c>
      <c r="AA1063">
        <v>2</v>
      </c>
    </row>
    <row r="1064" spans="1:27">
      <c r="A1064" t="s">
        <v>1095</v>
      </c>
      <c r="B1064" s="3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S1064">
        <v>1</v>
      </c>
      <c r="U1064">
        <v>1</v>
      </c>
      <c r="W1064">
        <v>1</v>
      </c>
      <c r="Y1064">
        <v>1</v>
      </c>
      <c r="AA1064">
        <v>0</v>
      </c>
    </row>
    <row r="1065" spans="1:27">
      <c r="A1065" t="s">
        <v>1096</v>
      </c>
      <c r="B1065" s="3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S1065">
        <v>0</v>
      </c>
      <c r="U1065">
        <v>0</v>
      </c>
      <c r="W1065">
        <v>0</v>
      </c>
      <c r="Y1065">
        <v>0</v>
      </c>
      <c r="AA1065">
        <v>0</v>
      </c>
    </row>
    <row r="1066" spans="1:27">
      <c r="A1066" t="s">
        <v>1097</v>
      </c>
      <c r="B1066" s="3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S1066">
        <v>0</v>
      </c>
      <c r="U1066">
        <v>1</v>
      </c>
      <c r="W1066">
        <v>1</v>
      </c>
      <c r="Y1066">
        <v>1</v>
      </c>
      <c r="AA1066">
        <v>0</v>
      </c>
    </row>
    <row r="1067" spans="1:27">
      <c r="A1067" t="s">
        <v>1098</v>
      </c>
      <c r="B1067" s="3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S1067">
        <v>0</v>
      </c>
      <c r="U1067">
        <v>1</v>
      </c>
      <c r="W1067">
        <v>0</v>
      </c>
      <c r="Y1067">
        <v>0</v>
      </c>
      <c r="AA1067">
        <v>1</v>
      </c>
    </row>
    <row r="1068" spans="1:27">
      <c r="A1068" t="s">
        <v>1099</v>
      </c>
      <c r="B1068" s="3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S1068">
        <v>0</v>
      </c>
      <c r="U1068">
        <v>1</v>
      </c>
      <c r="W1068">
        <v>0</v>
      </c>
      <c r="Y1068">
        <v>0</v>
      </c>
      <c r="AA1068">
        <v>0</v>
      </c>
    </row>
    <row r="1069" spans="1:27">
      <c r="A1069" t="s">
        <v>1100</v>
      </c>
      <c r="B1069" s="3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S1069">
        <v>0</v>
      </c>
      <c r="U1069">
        <v>0</v>
      </c>
      <c r="W1069">
        <v>0</v>
      </c>
      <c r="Y1069">
        <v>0</v>
      </c>
      <c r="AA1069">
        <v>1</v>
      </c>
    </row>
    <row r="1070" spans="1:27">
      <c r="A1070" t="s">
        <v>1101</v>
      </c>
      <c r="B1070" s="3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S1070">
        <v>0</v>
      </c>
      <c r="U1070">
        <v>1</v>
      </c>
      <c r="W1070">
        <v>1</v>
      </c>
      <c r="Y1070">
        <v>1</v>
      </c>
      <c r="AA1070">
        <v>0</v>
      </c>
    </row>
    <row r="1071" spans="1:27">
      <c r="A1071" t="s">
        <v>1102</v>
      </c>
      <c r="B1071" s="3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S1071">
        <v>0</v>
      </c>
      <c r="U1071">
        <v>1</v>
      </c>
      <c r="W1071">
        <v>0</v>
      </c>
      <c r="Y1071">
        <v>0</v>
      </c>
      <c r="AA1071">
        <v>2</v>
      </c>
    </row>
    <row r="1072" spans="1:27">
      <c r="A1072" t="s">
        <v>1103</v>
      </c>
      <c r="B1072" s="3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S1072">
        <v>0</v>
      </c>
      <c r="U1072">
        <v>1</v>
      </c>
      <c r="W1072">
        <v>1</v>
      </c>
      <c r="Y1072">
        <v>1</v>
      </c>
      <c r="AA1072">
        <v>0</v>
      </c>
    </row>
    <row r="1073" spans="1:27">
      <c r="A1073" t="s">
        <v>1104</v>
      </c>
      <c r="B1073" s="3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S1073">
        <v>0</v>
      </c>
      <c r="U1073">
        <v>0</v>
      </c>
      <c r="W1073">
        <v>0</v>
      </c>
      <c r="Y1073">
        <v>0</v>
      </c>
      <c r="AA1073">
        <v>0</v>
      </c>
    </row>
    <row r="1074" spans="1:27">
      <c r="A1074" t="s">
        <v>1105</v>
      </c>
      <c r="B1074" s="3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S1074">
        <v>0</v>
      </c>
      <c r="U1074">
        <v>1</v>
      </c>
      <c r="W1074">
        <v>0</v>
      </c>
      <c r="Y1074">
        <v>0</v>
      </c>
      <c r="AA1074">
        <v>1</v>
      </c>
    </row>
    <row r="1075" spans="1:27">
      <c r="A1075" t="s">
        <v>1106</v>
      </c>
      <c r="B1075" s="3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S1075">
        <v>0</v>
      </c>
      <c r="U1075">
        <v>1</v>
      </c>
      <c r="W1075">
        <v>1</v>
      </c>
      <c r="Y1075">
        <v>1</v>
      </c>
      <c r="AA1075">
        <v>2</v>
      </c>
    </row>
    <row r="1076" spans="1:27">
      <c r="A1076" t="s">
        <v>1107</v>
      </c>
      <c r="B1076" s="3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S1076">
        <v>1</v>
      </c>
      <c r="U1076">
        <v>1</v>
      </c>
      <c r="W1076">
        <v>0</v>
      </c>
      <c r="Y1076">
        <v>0</v>
      </c>
      <c r="AA1076">
        <v>0</v>
      </c>
    </row>
    <row r="1077" spans="1:27">
      <c r="A1077" t="s">
        <v>1108</v>
      </c>
      <c r="B1077" s="3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S1077">
        <v>0</v>
      </c>
      <c r="U1077">
        <v>1</v>
      </c>
      <c r="W1077">
        <v>0</v>
      </c>
      <c r="Y1077">
        <v>0</v>
      </c>
      <c r="AA1077">
        <v>0</v>
      </c>
    </row>
    <row r="1078" spans="1:27">
      <c r="A1078" t="s">
        <v>1109</v>
      </c>
      <c r="B1078" s="3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S1078">
        <v>0</v>
      </c>
      <c r="U1078">
        <v>1</v>
      </c>
      <c r="W1078">
        <v>1</v>
      </c>
      <c r="Y1078">
        <v>1</v>
      </c>
      <c r="AA1078">
        <v>0</v>
      </c>
    </row>
    <row r="1079" spans="1:27">
      <c r="A1079" t="s">
        <v>1110</v>
      </c>
      <c r="B1079" s="3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S1079">
        <v>1</v>
      </c>
      <c r="U1079">
        <v>1</v>
      </c>
      <c r="W1079">
        <v>1</v>
      </c>
      <c r="Y1079">
        <v>1</v>
      </c>
      <c r="AA1079">
        <v>0</v>
      </c>
    </row>
    <row r="1080" spans="1:27">
      <c r="A1080" t="s">
        <v>1111</v>
      </c>
      <c r="B1080" s="3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S1080">
        <v>1</v>
      </c>
      <c r="U1080">
        <v>0</v>
      </c>
      <c r="W1080">
        <v>0</v>
      </c>
      <c r="Y1080">
        <v>0</v>
      </c>
      <c r="AA1080">
        <v>1</v>
      </c>
    </row>
    <row r="1081" spans="1:27">
      <c r="A1081" t="s">
        <v>1112</v>
      </c>
      <c r="B1081" s="3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S1081">
        <v>0</v>
      </c>
      <c r="U1081">
        <v>1</v>
      </c>
      <c r="W1081">
        <v>0</v>
      </c>
      <c r="Y1081">
        <v>0</v>
      </c>
      <c r="AA1081">
        <v>0</v>
      </c>
    </row>
    <row r="1082" spans="1:27">
      <c r="A1082" t="s">
        <v>1113</v>
      </c>
      <c r="B1082" s="3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S1082">
        <v>0</v>
      </c>
      <c r="U1082">
        <v>1</v>
      </c>
      <c r="W1082">
        <v>0</v>
      </c>
      <c r="Y1082">
        <v>0</v>
      </c>
      <c r="AA1082">
        <v>0</v>
      </c>
    </row>
    <row r="1083" spans="1:27">
      <c r="A1083" t="s">
        <v>1114</v>
      </c>
      <c r="B1083" s="3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S1083">
        <v>0</v>
      </c>
      <c r="U1083">
        <v>1</v>
      </c>
      <c r="W1083">
        <v>1</v>
      </c>
      <c r="Y1083">
        <v>1</v>
      </c>
      <c r="AA1083">
        <v>0</v>
      </c>
    </row>
    <row r="1084" spans="1:27">
      <c r="A1084" t="s">
        <v>1115</v>
      </c>
      <c r="B1084" s="3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S1084">
        <v>0</v>
      </c>
      <c r="U1084">
        <v>0</v>
      </c>
      <c r="W1084">
        <v>0</v>
      </c>
      <c r="Y1084">
        <v>0</v>
      </c>
      <c r="AA1084">
        <v>1</v>
      </c>
    </row>
    <row r="1085" spans="1:27">
      <c r="A1085" t="s">
        <v>1116</v>
      </c>
      <c r="B1085" s="3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S1085">
        <v>0</v>
      </c>
      <c r="U1085">
        <v>0</v>
      </c>
      <c r="W1085">
        <v>0</v>
      </c>
      <c r="Y1085">
        <v>0</v>
      </c>
      <c r="AA1085">
        <v>0</v>
      </c>
    </row>
    <row r="1086" spans="1:27">
      <c r="A1086" t="s">
        <v>1117</v>
      </c>
      <c r="B1086" s="3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S1086">
        <v>0</v>
      </c>
      <c r="U1086">
        <v>1</v>
      </c>
      <c r="W1086">
        <v>1</v>
      </c>
      <c r="Y1086">
        <v>1</v>
      </c>
      <c r="AA1086">
        <v>1</v>
      </c>
    </row>
    <row r="1087" spans="1:27">
      <c r="A1087" t="s">
        <v>1118</v>
      </c>
      <c r="B1087" s="3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S1087">
        <v>0</v>
      </c>
      <c r="U1087">
        <v>1</v>
      </c>
      <c r="W1087">
        <v>1</v>
      </c>
      <c r="Y1087">
        <v>1</v>
      </c>
      <c r="AA1087">
        <v>0</v>
      </c>
    </row>
    <row r="1088" spans="1:27">
      <c r="A1088" t="s">
        <v>1119</v>
      </c>
      <c r="B1088" s="3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S1088">
        <v>0</v>
      </c>
      <c r="U1088">
        <v>1</v>
      </c>
      <c r="W1088">
        <v>0</v>
      </c>
      <c r="Y1088">
        <v>0</v>
      </c>
      <c r="AA1088">
        <v>0</v>
      </c>
    </row>
    <row r="1089" spans="1:27">
      <c r="A1089" t="s">
        <v>1120</v>
      </c>
      <c r="B1089" s="3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S1089">
        <v>0</v>
      </c>
      <c r="U1089">
        <v>1</v>
      </c>
      <c r="W1089">
        <v>1</v>
      </c>
      <c r="Y1089">
        <v>1</v>
      </c>
      <c r="AA1089">
        <v>1</v>
      </c>
    </row>
    <row r="1090" spans="1:27">
      <c r="A1090" t="s">
        <v>1121</v>
      </c>
      <c r="B1090" s="3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S1090">
        <v>0</v>
      </c>
      <c r="U1090">
        <v>1</v>
      </c>
      <c r="W1090">
        <v>0</v>
      </c>
      <c r="Y1090">
        <v>0</v>
      </c>
      <c r="AA1090">
        <v>0</v>
      </c>
    </row>
    <row r="1091" spans="1:27">
      <c r="A1091" t="s">
        <v>1122</v>
      </c>
      <c r="B1091" s="3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S1091">
        <v>0</v>
      </c>
      <c r="U1091">
        <v>1</v>
      </c>
      <c r="W1091">
        <v>0</v>
      </c>
      <c r="Y1091">
        <v>0</v>
      </c>
      <c r="AA1091">
        <v>0</v>
      </c>
    </row>
    <row r="1092" spans="1:27">
      <c r="A1092" t="s">
        <v>1123</v>
      </c>
      <c r="B1092" s="3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S1092">
        <v>0</v>
      </c>
      <c r="U1092">
        <v>0</v>
      </c>
      <c r="W1092">
        <v>0</v>
      </c>
      <c r="Y1092">
        <v>0</v>
      </c>
      <c r="AA1092">
        <v>1</v>
      </c>
    </row>
    <row r="1093" spans="1:27">
      <c r="A1093" t="s">
        <v>1124</v>
      </c>
      <c r="B1093" s="3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S1093">
        <v>0</v>
      </c>
      <c r="U1093">
        <v>0</v>
      </c>
      <c r="W1093">
        <v>0</v>
      </c>
      <c r="Y1093">
        <v>0</v>
      </c>
      <c r="AA1093">
        <v>0</v>
      </c>
    </row>
    <row r="1094" spans="1:27">
      <c r="A1094" t="s">
        <v>1125</v>
      </c>
      <c r="B1094" s="3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S1094">
        <v>0</v>
      </c>
      <c r="U1094">
        <v>1</v>
      </c>
      <c r="W1094">
        <v>0</v>
      </c>
      <c r="Y1094">
        <v>0</v>
      </c>
      <c r="AA1094">
        <v>0</v>
      </c>
    </row>
    <row r="1095" spans="1:27">
      <c r="A1095" t="s">
        <v>1126</v>
      </c>
      <c r="B1095" s="3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S1095">
        <v>0</v>
      </c>
      <c r="U1095">
        <v>0</v>
      </c>
      <c r="W1095">
        <v>0</v>
      </c>
      <c r="Y1095">
        <v>0</v>
      </c>
      <c r="AA1095">
        <v>0</v>
      </c>
    </row>
    <row r="1096" spans="1:27">
      <c r="A1096" t="s">
        <v>1127</v>
      </c>
      <c r="B1096" s="3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S1096">
        <v>0</v>
      </c>
      <c r="U1096">
        <v>1</v>
      </c>
      <c r="W1096">
        <v>1</v>
      </c>
      <c r="Y1096">
        <v>1</v>
      </c>
      <c r="AA1096">
        <v>1</v>
      </c>
    </row>
    <row r="1097" spans="1:27">
      <c r="A1097" t="s">
        <v>1128</v>
      </c>
      <c r="B1097" s="3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S1097">
        <v>0</v>
      </c>
      <c r="U1097">
        <v>1</v>
      </c>
      <c r="W1097">
        <v>1</v>
      </c>
      <c r="Y1097">
        <v>1</v>
      </c>
      <c r="AA1097">
        <v>0</v>
      </c>
    </row>
    <row r="1098" spans="1:27">
      <c r="A1098" t="s">
        <v>1129</v>
      </c>
      <c r="B1098" s="3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S1098">
        <v>0</v>
      </c>
      <c r="U1098">
        <v>1</v>
      </c>
      <c r="W1098">
        <v>0</v>
      </c>
      <c r="Y1098">
        <v>0</v>
      </c>
      <c r="AA1098">
        <v>0</v>
      </c>
    </row>
    <row r="1099" spans="1:27">
      <c r="A1099" t="s">
        <v>1130</v>
      </c>
      <c r="B1099" s="3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S1099">
        <v>0</v>
      </c>
      <c r="U1099">
        <v>1</v>
      </c>
      <c r="W1099">
        <v>0</v>
      </c>
      <c r="Y1099">
        <v>0</v>
      </c>
      <c r="AA1099">
        <v>0</v>
      </c>
    </row>
    <row r="1100" spans="1:27">
      <c r="A1100" t="s">
        <v>1131</v>
      </c>
      <c r="B1100" s="3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S1100">
        <v>0</v>
      </c>
      <c r="U1100">
        <v>1</v>
      </c>
      <c r="W1100">
        <v>0</v>
      </c>
      <c r="Y1100">
        <v>0</v>
      </c>
      <c r="AA1100">
        <v>0</v>
      </c>
    </row>
    <row r="1101" spans="1:27">
      <c r="A1101" t="s">
        <v>1132</v>
      </c>
      <c r="B1101" s="3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S1101">
        <v>0</v>
      </c>
      <c r="U1101">
        <v>1</v>
      </c>
      <c r="W1101">
        <v>1</v>
      </c>
      <c r="Y1101">
        <v>1</v>
      </c>
      <c r="AA1101">
        <v>1</v>
      </c>
    </row>
    <row r="1102" spans="1:27">
      <c r="A1102" t="s">
        <v>1133</v>
      </c>
      <c r="B1102" s="3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S1102">
        <v>0</v>
      </c>
      <c r="U1102">
        <v>1</v>
      </c>
      <c r="W1102">
        <v>0</v>
      </c>
      <c r="Y1102">
        <v>0</v>
      </c>
      <c r="AA1102">
        <v>0</v>
      </c>
    </row>
    <row r="1103" spans="1:27">
      <c r="A1103" t="s">
        <v>1134</v>
      </c>
      <c r="B1103" s="3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S1103">
        <v>0</v>
      </c>
      <c r="U1103">
        <v>1</v>
      </c>
      <c r="W1103">
        <v>1</v>
      </c>
      <c r="Y1103">
        <v>1</v>
      </c>
      <c r="AA1103">
        <v>0</v>
      </c>
    </row>
    <row r="1104" spans="1:27">
      <c r="A1104" t="s">
        <v>1135</v>
      </c>
      <c r="B1104" s="3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S1104">
        <v>0</v>
      </c>
      <c r="U1104">
        <v>1</v>
      </c>
      <c r="W1104">
        <v>1</v>
      </c>
      <c r="Y1104">
        <v>0</v>
      </c>
      <c r="AA1104">
        <v>0</v>
      </c>
    </row>
    <row r="1105" spans="1:27">
      <c r="A1105" t="s">
        <v>1136</v>
      </c>
      <c r="B1105" s="3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S1105">
        <v>0</v>
      </c>
      <c r="U1105">
        <v>0</v>
      </c>
      <c r="W1105">
        <v>0</v>
      </c>
      <c r="Y1105">
        <v>0</v>
      </c>
      <c r="AA1105">
        <v>0</v>
      </c>
    </row>
    <row r="1106" spans="1:27">
      <c r="A1106" t="s">
        <v>1137</v>
      </c>
      <c r="B1106" s="3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S1106">
        <v>0</v>
      </c>
      <c r="U1106">
        <v>1</v>
      </c>
      <c r="W1106">
        <v>0</v>
      </c>
      <c r="Y1106">
        <v>0</v>
      </c>
      <c r="AA1106">
        <v>0</v>
      </c>
    </row>
    <row r="1107" spans="1:27">
      <c r="A1107" t="s">
        <v>1138</v>
      </c>
      <c r="B1107" s="3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S1107">
        <v>0</v>
      </c>
      <c r="U1107">
        <v>1</v>
      </c>
      <c r="W1107">
        <v>1</v>
      </c>
      <c r="Y1107">
        <v>1</v>
      </c>
      <c r="AA1107">
        <v>0</v>
      </c>
    </row>
    <row r="1108" spans="1:27">
      <c r="A1108" t="s">
        <v>1139</v>
      </c>
      <c r="B1108" s="3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S1108">
        <v>0</v>
      </c>
      <c r="U1108">
        <v>0</v>
      </c>
      <c r="W1108">
        <v>0</v>
      </c>
      <c r="Y1108">
        <v>0</v>
      </c>
      <c r="AA1108">
        <v>1</v>
      </c>
    </row>
    <row r="1109" spans="1:27">
      <c r="A1109" t="s">
        <v>1140</v>
      </c>
      <c r="B1109" s="3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S1109">
        <v>0</v>
      </c>
      <c r="U1109">
        <v>1</v>
      </c>
      <c r="W1109">
        <v>0</v>
      </c>
      <c r="Y1109">
        <v>0</v>
      </c>
      <c r="AA1109">
        <v>0</v>
      </c>
    </row>
    <row r="1110" spans="1:27">
      <c r="A1110" t="s">
        <v>1141</v>
      </c>
      <c r="B1110" s="3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S1110">
        <v>0</v>
      </c>
      <c r="U1110">
        <v>0</v>
      </c>
      <c r="W1110">
        <v>0</v>
      </c>
      <c r="Y1110">
        <v>0</v>
      </c>
      <c r="AA1110">
        <v>0</v>
      </c>
    </row>
    <row r="1111" spans="1:27">
      <c r="A1111" t="s">
        <v>1142</v>
      </c>
      <c r="B1111" s="3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S1111">
        <v>0</v>
      </c>
      <c r="U1111">
        <v>1</v>
      </c>
      <c r="W1111">
        <v>0</v>
      </c>
      <c r="Y1111">
        <v>0</v>
      </c>
      <c r="AA1111">
        <v>0</v>
      </c>
    </row>
    <row r="1112" spans="1:27">
      <c r="A1112" t="s">
        <v>1143</v>
      </c>
      <c r="B1112" s="3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S1112">
        <v>0</v>
      </c>
      <c r="U1112">
        <v>1</v>
      </c>
      <c r="W1112">
        <v>0</v>
      </c>
      <c r="Y1112">
        <v>0</v>
      </c>
      <c r="AA1112">
        <v>1</v>
      </c>
    </row>
    <row r="1113" spans="1:27">
      <c r="A1113" t="s">
        <v>1144</v>
      </c>
      <c r="B1113" s="3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S1113">
        <v>0</v>
      </c>
      <c r="U1113">
        <v>1</v>
      </c>
      <c r="W1113">
        <v>1</v>
      </c>
      <c r="Y1113">
        <v>1</v>
      </c>
      <c r="AA1113">
        <v>1</v>
      </c>
    </row>
    <row r="1114" spans="1:27">
      <c r="A1114" t="s">
        <v>1145</v>
      </c>
      <c r="B1114" s="3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S1114">
        <v>0</v>
      </c>
      <c r="U1114">
        <v>1</v>
      </c>
      <c r="W1114">
        <v>1</v>
      </c>
      <c r="Y1114">
        <v>1</v>
      </c>
      <c r="AA1114">
        <v>2</v>
      </c>
    </row>
    <row r="1115" spans="1:27">
      <c r="A1115" t="s">
        <v>1146</v>
      </c>
      <c r="B1115" s="3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S1115">
        <v>0</v>
      </c>
      <c r="U1115">
        <v>1</v>
      </c>
      <c r="W1115">
        <v>1</v>
      </c>
      <c r="Y1115">
        <v>1</v>
      </c>
      <c r="AA1115">
        <v>1</v>
      </c>
    </row>
    <row r="1116" spans="1:27">
      <c r="A1116" t="s">
        <v>1147</v>
      </c>
      <c r="B1116" s="3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S1116">
        <v>1</v>
      </c>
      <c r="U1116">
        <v>1</v>
      </c>
      <c r="W1116">
        <v>0</v>
      </c>
      <c r="Y1116">
        <v>0</v>
      </c>
      <c r="AA1116">
        <v>0</v>
      </c>
    </row>
    <row r="1117" spans="1:27">
      <c r="A1117" t="s">
        <v>1148</v>
      </c>
      <c r="B1117" s="3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S1117">
        <v>0</v>
      </c>
      <c r="U1117">
        <v>1</v>
      </c>
      <c r="W1117">
        <v>1</v>
      </c>
      <c r="Y1117">
        <v>0</v>
      </c>
      <c r="AA1117">
        <v>0</v>
      </c>
    </row>
    <row r="1118" spans="1:27">
      <c r="A1118" t="s">
        <v>1149</v>
      </c>
      <c r="B1118" s="3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S1118">
        <v>0</v>
      </c>
      <c r="U1118">
        <v>1</v>
      </c>
      <c r="W1118">
        <v>1</v>
      </c>
      <c r="Y1118">
        <v>1</v>
      </c>
      <c r="AA1118">
        <v>3</v>
      </c>
    </row>
    <row r="1119" spans="1:27">
      <c r="A1119" t="s">
        <v>1150</v>
      </c>
      <c r="B1119" s="3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S1119">
        <v>0</v>
      </c>
      <c r="U1119">
        <v>1</v>
      </c>
      <c r="W1119">
        <v>1</v>
      </c>
      <c r="Y1119">
        <v>0</v>
      </c>
      <c r="AA1119">
        <v>0</v>
      </c>
    </row>
    <row r="1120" spans="1:27">
      <c r="A1120" t="s">
        <v>1151</v>
      </c>
      <c r="B1120" s="3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S1120">
        <v>0</v>
      </c>
      <c r="U1120">
        <v>1</v>
      </c>
      <c r="W1120">
        <v>0</v>
      </c>
      <c r="Y1120">
        <v>0</v>
      </c>
      <c r="AA1120">
        <v>0</v>
      </c>
    </row>
    <row r="1121" spans="1:27">
      <c r="A1121" t="s">
        <v>1152</v>
      </c>
      <c r="B1121" s="3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S1121">
        <v>0</v>
      </c>
      <c r="U1121">
        <v>1</v>
      </c>
      <c r="W1121">
        <v>0</v>
      </c>
      <c r="Y1121">
        <v>0</v>
      </c>
      <c r="AA1121">
        <v>0</v>
      </c>
    </row>
    <row r="1122" spans="1:27">
      <c r="A1122" t="s">
        <v>1153</v>
      </c>
      <c r="B1122" s="3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S1122">
        <v>0</v>
      </c>
      <c r="U1122">
        <v>1</v>
      </c>
      <c r="W1122">
        <v>0</v>
      </c>
      <c r="Y1122">
        <v>0</v>
      </c>
      <c r="AA1122">
        <v>0</v>
      </c>
    </row>
    <row r="1123" spans="1:27">
      <c r="A1123" t="s">
        <v>1154</v>
      </c>
      <c r="B1123" s="3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S1123">
        <v>0</v>
      </c>
      <c r="U1123">
        <v>1</v>
      </c>
      <c r="W1123">
        <v>0</v>
      </c>
      <c r="Y1123">
        <v>0</v>
      </c>
      <c r="AA1123">
        <v>0</v>
      </c>
    </row>
    <row r="1124" spans="1:27">
      <c r="A1124" t="s">
        <v>1155</v>
      </c>
      <c r="B1124" s="3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S1124">
        <v>0</v>
      </c>
      <c r="U1124">
        <v>0</v>
      </c>
      <c r="W1124">
        <v>0</v>
      </c>
      <c r="Y1124">
        <v>0</v>
      </c>
      <c r="AA1124">
        <v>0</v>
      </c>
    </row>
    <row r="1125" spans="1:27">
      <c r="A1125" t="s">
        <v>1156</v>
      </c>
      <c r="B1125" s="3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S1125">
        <v>0</v>
      </c>
      <c r="U1125">
        <v>1</v>
      </c>
      <c r="W1125">
        <v>1</v>
      </c>
      <c r="Y1125">
        <v>0</v>
      </c>
      <c r="AA1125">
        <v>0</v>
      </c>
    </row>
    <row r="1126" spans="1:27">
      <c r="A1126" t="s">
        <v>1157</v>
      </c>
      <c r="B1126" s="3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S1126">
        <v>0</v>
      </c>
      <c r="U1126">
        <v>1</v>
      </c>
      <c r="W1126">
        <v>1</v>
      </c>
      <c r="Y1126">
        <v>1</v>
      </c>
      <c r="AA1126">
        <v>3</v>
      </c>
    </row>
    <row r="1127" spans="1:27">
      <c r="A1127" t="s">
        <v>1158</v>
      </c>
      <c r="B1127" s="3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S1127">
        <v>0</v>
      </c>
      <c r="U1127">
        <v>1</v>
      </c>
      <c r="W1127">
        <v>0</v>
      </c>
      <c r="Y1127">
        <v>0</v>
      </c>
      <c r="AA1127">
        <v>0</v>
      </c>
    </row>
    <row r="1128" spans="1:27">
      <c r="A1128" t="s">
        <v>1159</v>
      </c>
      <c r="B1128" s="3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S1128">
        <v>0</v>
      </c>
      <c r="U1128">
        <v>1</v>
      </c>
      <c r="W1128">
        <v>0</v>
      </c>
      <c r="Y1128">
        <v>0</v>
      </c>
      <c r="AA1128">
        <v>0</v>
      </c>
    </row>
    <row r="1129" spans="1:27">
      <c r="A1129" t="s">
        <v>1160</v>
      </c>
      <c r="B1129" s="3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S1129">
        <v>0</v>
      </c>
      <c r="U1129">
        <v>1</v>
      </c>
      <c r="W1129">
        <v>0</v>
      </c>
      <c r="Y1129">
        <v>0</v>
      </c>
      <c r="AA1129">
        <v>0</v>
      </c>
    </row>
    <row r="1130" spans="1:27">
      <c r="A1130" t="s">
        <v>1161</v>
      </c>
      <c r="B1130" s="3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S1130">
        <v>0</v>
      </c>
      <c r="U1130">
        <v>0</v>
      </c>
      <c r="W1130">
        <v>0</v>
      </c>
      <c r="Y1130">
        <v>0</v>
      </c>
      <c r="AA1130">
        <v>0</v>
      </c>
    </row>
    <row r="1131" spans="1:27">
      <c r="A1131" t="s">
        <v>1162</v>
      </c>
      <c r="B1131" s="3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S1131">
        <v>0</v>
      </c>
      <c r="U1131">
        <v>1</v>
      </c>
      <c r="W1131">
        <v>0</v>
      </c>
      <c r="Y1131">
        <v>0</v>
      </c>
      <c r="AA1131">
        <v>0</v>
      </c>
    </row>
    <row r="1132" spans="1:27">
      <c r="A1132" t="s">
        <v>1163</v>
      </c>
      <c r="B1132" s="3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S1132">
        <v>0</v>
      </c>
      <c r="U1132">
        <v>1</v>
      </c>
      <c r="W1132">
        <v>1</v>
      </c>
      <c r="Y1132">
        <v>1</v>
      </c>
      <c r="AA1132">
        <v>3</v>
      </c>
    </row>
    <row r="1133" spans="1:27">
      <c r="A1133" t="s">
        <v>1164</v>
      </c>
      <c r="B1133" s="3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S1133">
        <v>0</v>
      </c>
      <c r="U1133">
        <v>0</v>
      </c>
      <c r="W1133">
        <v>0</v>
      </c>
      <c r="Y1133">
        <v>0</v>
      </c>
      <c r="AA1133">
        <v>0</v>
      </c>
    </row>
    <row r="1134" spans="1:27">
      <c r="A1134" t="s">
        <v>1165</v>
      </c>
      <c r="B1134" s="3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S1134">
        <v>0</v>
      </c>
      <c r="U1134">
        <v>1</v>
      </c>
      <c r="W1134">
        <v>0</v>
      </c>
      <c r="Y1134">
        <v>0</v>
      </c>
      <c r="AA1134">
        <v>3</v>
      </c>
    </row>
    <row r="1135" spans="1:27">
      <c r="A1135" t="s">
        <v>1166</v>
      </c>
      <c r="B1135" s="3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S1135">
        <v>0</v>
      </c>
      <c r="U1135">
        <v>1</v>
      </c>
      <c r="W1135">
        <v>0</v>
      </c>
      <c r="Y1135">
        <v>0</v>
      </c>
      <c r="AA1135">
        <v>0</v>
      </c>
    </row>
    <row r="1136" spans="1:27">
      <c r="A1136" t="s">
        <v>1167</v>
      </c>
      <c r="B1136" s="3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S1136">
        <v>0</v>
      </c>
      <c r="U1136">
        <v>1</v>
      </c>
      <c r="W1136">
        <v>0</v>
      </c>
      <c r="Y1136">
        <v>0</v>
      </c>
      <c r="AA1136">
        <v>0</v>
      </c>
    </row>
    <row r="1137" spans="1:27">
      <c r="A1137" t="s">
        <v>1168</v>
      </c>
      <c r="B1137" s="3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S1137">
        <v>0</v>
      </c>
      <c r="U1137">
        <v>1</v>
      </c>
      <c r="W1137">
        <v>0</v>
      </c>
      <c r="Y1137">
        <v>0</v>
      </c>
      <c r="AA1137">
        <v>2</v>
      </c>
    </row>
    <row r="1138" spans="1:27">
      <c r="A1138" t="s">
        <v>1169</v>
      </c>
      <c r="B1138" s="3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S1138">
        <v>0</v>
      </c>
      <c r="U1138">
        <v>1</v>
      </c>
      <c r="W1138">
        <v>1</v>
      </c>
      <c r="Y1138">
        <v>0</v>
      </c>
      <c r="AA1138">
        <v>0</v>
      </c>
    </row>
    <row r="1139" spans="1:27">
      <c r="A1139" t="s">
        <v>1170</v>
      </c>
      <c r="B1139" s="3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S1139">
        <v>0</v>
      </c>
      <c r="U1139">
        <v>1</v>
      </c>
      <c r="W1139">
        <v>1</v>
      </c>
      <c r="Y1139">
        <v>0</v>
      </c>
      <c r="AA1139">
        <v>0</v>
      </c>
    </row>
    <row r="1140" spans="1:27">
      <c r="A1140" t="s">
        <v>1171</v>
      </c>
      <c r="B1140" s="3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S1140">
        <v>0</v>
      </c>
      <c r="U1140">
        <v>1</v>
      </c>
      <c r="W1140">
        <v>0</v>
      </c>
      <c r="Y1140">
        <v>0</v>
      </c>
      <c r="AA1140">
        <v>0</v>
      </c>
    </row>
    <row r="1141" spans="1:27">
      <c r="A1141" t="s">
        <v>1172</v>
      </c>
      <c r="B1141" s="3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S1141">
        <v>0</v>
      </c>
      <c r="U1141">
        <v>1</v>
      </c>
      <c r="W1141">
        <v>0</v>
      </c>
      <c r="Y1141">
        <v>0</v>
      </c>
      <c r="AA1141">
        <v>0</v>
      </c>
    </row>
    <row r="1142" spans="1:27">
      <c r="A1142" t="s">
        <v>1173</v>
      </c>
      <c r="B1142" s="3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S1142">
        <v>0</v>
      </c>
      <c r="U1142">
        <v>1</v>
      </c>
      <c r="W1142">
        <v>0</v>
      </c>
      <c r="Y1142">
        <v>0</v>
      </c>
      <c r="AA1142">
        <v>0</v>
      </c>
    </row>
    <row r="1143" spans="1:27">
      <c r="A1143" t="s">
        <v>1174</v>
      </c>
      <c r="B1143" s="3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S1143">
        <v>0</v>
      </c>
      <c r="U1143">
        <v>1</v>
      </c>
      <c r="W1143">
        <v>1</v>
      </c>
      <c r="Y1143">
        <v>1</v>
      </c>
      <c r="AA1143">
        <v>3</v>
      </c>
    </row>
    <row r="1144" spans="1:27">
      <c r="A1144" t="s">
        <v>1175</v>
      </c>
      <c r="B1144" s="3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S1144">
        <v>1</v>
      </c>
      <c r="U1144">
        <v>1</v>
      </c>
      <c r="W1144">
        <v>0</v>
      </c>
      <c r="Y1144">
        <v>0</v>
      </c>
      <c r="AA1144">
        <v>0</v>
      </c>
    </row>
    <row r="1145" spans="1:27">
      <c r="A1145" t="s">
        <v>1176</v>
      </c>
      <c r="B1145" s="3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S1145">
        <v>0</v>
      </c>
      <c r="U1145">
        <v>0</v>
      </c>
      <c r="W1145">
        <v>0</v>
      </c>
      <c r="Y1145">
        <v>0</v>
      </c>
      <c r="AA1145">
        <v>0</v>
      </c>
    </row>
    <row r="1146" spans="1:27">
      <c r="A1146" t="s">
        <v>1177</v>
      </c>
      <c r="B1146" s="3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S1146">
        <v>0</v>
      </c>
      <c r="U1146">
        <v>1</v>
      </c>
      <c r="W1146">
        <v>1</v>
      </c>
      <c r="Y1146">
        <v>1</v>
      </c>
      <c r="AA1146">
        <v>0</v>
      </c>
    </row>
    <row r="1147" spans="1:27">
      <c r="A1147" t="s">
        <v>1178</v>
      </c>
      <c r="B1147" s="3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S1147">
        <v>1</v>
      </c>
      <c r="U1147">
        <v>1</v>
      </c>
      <c r="W1147">
        <v>1</v>
      </c>
      <c r="Y1147">
        <v>1</v>
      </c>
      <c r="AA1147">
        <v>0</v>
      </c>
    </row>
    <row r="1148" spans="1:27">
      <c r="A1148" t="s">
        <v>1179</v>
      </c>
      <c r="B1148" s="3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S1148">
        <v>0</v>
      </c>
      <c r="U1148">
        <v>1</v>
      </c>
      <c r="W1148">
        <v>1</v>
      </c>
      <c r="Y1148">
        <v>1</v>
      </c>
      <c r="AA1148">
        <v>0</v>
      </c>
    </row>
    <row r="1149" spans="1:27">
      <c r="A1149" t="s">
        <v>1180</v>
      </c>
      <c r="B1149" s="3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S1149">
        <v>1</v>
      </c>
      <c r="U1149">
        <v>1</v>
      </c>
      <c r="W1149">
        <v>0</v>
      </c>
      <c r="Y1149">
        <v>0</v>
      </c>
      <c r="AA1149">
        <v>0</v>
      </c>
    </row>
    <row r="1150" spans="1:27">
      <c r="A1150" t="s">
        <v>1181</v>
      </c>
      <c r="B1150" s="3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S1150">
        <v>0</v>
      </c>
      <c r="U1150">
        <v>1</v>
      </c>
      <c r="W1150">
        <v>0</v>
      </c>
      <c r="Y1150">
        <v>0</v>
      </c>
      <c r="AA1150">
        <v>1</v>
      </c>
    </row>
    <row r="1151" spans="1:27">
      <c r="A1151" t="s">
        <v>1182</v>
      </c>
      <c r="B1151" s="3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S1151">
        <v>0</v>
      </c>
      <c r="U1151">
        <v>1</v>
      </c>
      <c r="W1151">
        <v>1</v>
      </c>
      <c r="Y1151">
        <v>0</v>
      </c>
      <c r="AA1151">
        <v>0</v>
      </c>
    </row>
    <row r="1152" spans="1:27">
      <c r="A1152" t="s">
        <v>1183</v>
      </c>
      <c r="B1152" s="3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S1152">
        <v>0</v>
      </c>
      <c r="U1152">
        <v>1</v>
      </c>
      <c r="W1152">
        <v>0</v>
      </c>
      <c r="Y1152">
        <v>0</v>
      </c>
      <c r="AA1152">
        <v>0</v>
      </c>
    </row>
    <row r="1153" spans="1:27">
      <c r="A1153" t="s">
        <v>1184</v>
      </c>
      <c r="B1153" s="3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S1153">
        <v>0</v>
      </c>
      <c r="U1153">
        <v>1</v>
      </c>
      <c r="W1153">
        <v>0</v>
      </c>
      <c r="Y1153">
        <v>0</v>
      </c>
      <c r="AA1153">
        <v>1</v>
      </c>
    </row>
    <row r="1154" spans="1:27">
      <c r="A1154" t="s">
        <v>1185</v>
      </c>
      <c r="B1154" s="3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S1154">
        <v>0</v>
      </c>
      <c r="U1154">
        <v>0</v>
      </c>
      <c r="W1154">
        <v>0</v>
      </c>
      <c r="Y1154">
        <v>0</v>
      </c>
      <c r="AA1154">
        <v>0</v>
      </c>
    </row>
    <row r="1155" spans="1:27">
      <c r="A1155" t="s">
        <v>1186</v>
      </c>
      <c r="B1155" s="3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S1155">
        <v>0</v>
      </c>
      <c r="U1155">
        <v>0</v>
      </c>
      <c r="W1155">
        <v>0</v>
      </c>
      <c r="Y1155">
        <v>0</v>
      </c>
      <c r="AA1155">
        <v>0</v>
      </c>
    </row>
    <row r="1156" spans="1:27">
      <c r="A1156" t="s">
        <v>1187</v>
      </c>
      <c r="B1156" s="3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S1156">
        <v>0</v>
      </c>
      <c r="U1156">
        <v>1</v>
      </c>
      <c r="W1156">
        <v>0</v>
      </c>
      <c r="Y1156">
        <v>0</v>
      </c>
      <c r="AA1156">
        <v>0</v>
      </c>
    </row>
    <row r="1157" spans="1:27">
      <c r="A1157" t="s">
        <v>1188</v>
      </c>
      <c r="B1157" s="3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S1157">
        <v>0</v>
      </c>
      <c r="U1157">
        <v>1</v>
      </c>
      <c r="W1157">
        <v>0</v>
      </c>
      <c r="Y1157">
        <v>0</v>
      </c>
      <c r="AA1157">
        <v>0</v>
      </c>
    </row>
    <row r="1158" spans="1:27">
      <c r="A1158" t="s">
        <v>1189</v>
      </c>
      <c r="B1158" s="3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S1158">
        <v>0</v>
      </c>
      <c r="U1158">
        <v>0</v>
      </c>
      <c r="W1158">
        <v>0</v>
      </c>
      <c r="Y1158">
        <v>0</v>
      </c>
      <c r="AA1158">
        <v>0</v>
      </c>
    </row>
    <row r="1159" spans="1:27">
      <c r="A1159" t="s">
        <v>1190</v>
      </c>
      <c r="B1159" s="3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S1159">
        <v>0</v>
      </c>
      <c r="U1159">
        <v>1</v>
      </c>
      <c r="W1159">
        <v>1</v>
      </c>
      <c r="Y1159">
        <v>0</v>
      </c>
      <c r="AA1159">
        <v>0</v>
      </c>
    </row>
    <row r="1160" spans="1:27">
      <c r="A1160" t="s">
        <v>1191</v>
      </c>
      <c r="B1160" s="3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S1160">
        <v>0</v>
      </c>
      <c r="U1160">
        <v>1</v>
      </c>
      <c r="W1160">
        <v>0</v>
      </c>
      <c r="Y1160">
        <v>0</v>
      </c>
      <c r="AA1160">
        <v>1</v>
      </c>
    </row>
    <row r="1161" spans="1:27">
      <c r="A1161" t="s">
        <v>1192</v>
      </c>
      <c r="B1161" s="3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S1161">
        <v>0</v>
      </c>
      <c r="U1161">
        <v>0</v>
      </c>
      <c r="W1161">
        <v>0</v>
      </c>
      <c r="Y1161">
        <v>0</v>
      </c>
      <c r="AA1161">
        <v>0</v>
      </c>
    </row>
    <row r="1162" spans="1:27">
      <c r="A1162" t="s">
        <v>1193</v>
      </c>
      <c r="B1162" s="3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S1162">
        <v>0</v>
      </c>
      <c r="U1162">
        <v>1</v>
      </c>
      <c r="W1162">
        <v>1</v>
      </c>
      <c r="Y1162">
        <v>1</v>
      </c>
      <c r="AA1162">
        <v>0</v>
      </c>
    </row>
    <row r="1163" spans="1:27">
      <c r="A1163" t="s">
        <v>1194</v>
      </c>
      <c r="B1163" s="3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S1163">
        <v>0</v>
      </c>
      <c r="U1163">
        <v>1</v>
      </c>
      <c r="W1163">
        <v>0</v>
      </c>
      <c r="Y1163">
        <v>0</v>
      </c>
      <c r="AA1163">
        <v>0</v>
      </c>
    </row>
    <row r="1164" spans="1:27">
      <c r="A1164" t="s">
        <v>1195</v>
      </c>
      <c r="B1164" s="3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S1164">
        <v>0</v>
      </c>
      <c r="U1164">
        <v>0</v>
      </c>
      <c r="W1164">
        <v>0</v>
      </c>
      <c r="Y1164">
        <v>0</v>
      </c>
      <c r="AA1164">
        <v>1</v>
      </c>
    </row>
    <row r="1165" spans="1:27">
      <c r="A1165" t="s">
        <v>1196</v>
      </c>
      <c r="B1165" s="3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S1165">
        <v>0</v>
      </c>
      <c r="U1165">
        <v>0</v>
      </c>
      <c r="W1165">
        <v>0</v>
      </c>
      <c r="Y1165">
        <v>0</v>
      </c>
      <c r="AA1165">
        <v>1</v>
      </c>
    </row>
    <row r="1166" spans="1:27">
      <c r="A1166" t="s">
        <v>1197</v>
      </c>
      <c r="B1166" s="3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S1166">
        <v>0</v>
      </c>
      <c r="U1166">
        <v>1</v>
      </c>
      <c r="W1166">
        <v>1</v>
      </c>
      <c r="Y1166">
        <v>1</v>
      </c>
      <c r="AA1166">
        <v>0</v>
      </c>
    </row>
    <row r="1167" spans="1:27">
      <c r="A1167" t="s">
        <v>1198</v>
      </c>
      <c r="B1167" s="3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S1167">
        <v>0</v>
      </c>
      <c r="U1167">
        <v>1</v>
      </c>
      <c r="W1167">
        <v>0</v>
      </c>
      <c r="Y1167">
        <v>0</v>
      </c>
      <c r="AA1167">
        <v>1</v>
      </c>
    </row>
    <row r="1168" spans="1:27">
      <c r="A1168" t="s">
        <v>1199</v>
      </c>
      <c r="B1168" s="3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S1168">
        <v>0</v>
      </c>
      <c r="U1168">
        <v>0</v>
      </c>
      <c r="W1168">
        <v>0</v>
      </c>
      <c r="Y1168">
        <v>0</v>
      </c>
      <c r="AA1168">
        <v>1</v>
      </c>
    </row>
    <row r="1169" spans="1:27">
      <c r="A1169" t="s">
        <v>1200</v>
      </c>
      <c r="B1169" s="3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S1169">
        <v>0</v>
      </c>
      <c r="U1169">
        <v>1</v>
      </c>
      <c r="W1169">
        <v>1</v>
      </c>
      <c r="Y1169">
        <v>1</v>
      </c>
      <c r="AA1169">
        <v>0</v>
      </c>
    </row>
    <row r="1170" spans="1:27">
      <c r="A1170" t="s">
        <v>1201</v>
      </c>
      <c r="B1170" s="3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S1170">
        <v>1</v>
      </c>
      <c r="U1170">
        <v>1</v>
      </c>
      <c r="W1170">
        <v>1</v>
      </c>
      <c r="Y1170">
        <v>1</v>
      </c>
      <c r="AA1170">
        <v>2</v>
      </c>
    </row>
    <row r="1171" spans="1:27">
      <c r="A1171" t="s">
        <v>1202</v>
      </c>
      <c r="B1171" s="3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S1171">
        <v>0</v>
      </c>
      <c r="U1171">
        <v>1</v>
      </c>
      <c r="W1171">
        <v>0</v>
      </c>
      <c r="Y1171">
        <v>0</v>
      </c>
      <c r="AA1171">
        <v>0</v>
      </c>
    </row>
    <row r="1172" spans="1:27">
      <c r="A1172" t="s">
        <v>1203</v>
      </c>
      <c r="B1172" s="3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S1172">
        <v>0</v>
      </c>
      <c r="U1172">
        <v>1</v>
      </c>
      <c r="W1172">
        <v>0</v>
      </c>
      <c r="Y1172">
        <v>0</v>
      </c>
      <c r="AA1172">
        <v>0</v>
      </c>
    </row>
    <row r="1173" spans="1:27">
      <c r="A1173" t="s">
        <v>1204</v>
      </c>
      <c r="B1173" s="3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S1173">
        <v>0</v>
      </c>
      <c r="U1173">
        <v>1</v>
      </c>
      <c r="W1173">
        <v>0</v>
      </c>
      <c r="Y1173">
        <v>0</v>
      </c>
      <c r="AA1173">
        <v>1</v>
      </c>
    </row>
    <row r="1174" spans="1:27">
      <c r="A1174" t="s">
        <v>1205</v>
      </c>
      <c r="B1174" s="3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S1174">
        <v>0</v>
      </c>
      <c r="U1174">
        <v>1</v>
      </c>
      <c r="W1174">
        <v>0</v>
      </c>
      <c r="Y1174">
        <v>0</v>
      </c>
      <c r="AA1174">
        <v>1</v>
      </c>
    </row>
    <row r="1175" spans="1:27">
      <c r="A1175" t="s">
        <v>1206</v>
      </c>
      <c r="B1175" s="3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S1175">
        <v>0</v>
      </c>
      <c r="U1175">
        <v>1</v>
      </c>
      <c r="W1175">
        <v>0</v>
      </c>
      <c r="Y1175">
        <v>0</v>
      </c>
      <c r="AA1175">
        <v>4</v>
      </c>
    </row>
    <row r="1176" spans="1:27">
      <c r="A1176" t="s">
        <v>1207</v>
      </c>
      <c r="B1176" s="3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S1176">
        <v>0</v>
      </c>
      <c r="U1176">
        <v>1</v>
      </c>
      <c r="W1176">
        <v>1</v>
      </c>
      <c r="Y1176">
        <v>1</v>
      </c>
      <c r="AA1176">
        <v>0</v>
      </c>
    </row>
    <row r="1177" spans="1:27">
      <c r="A1177" t="s">
        <v>1208</v>
      </c>
      <c r="B1177" s="3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S1177">
        <v>0</v>
      </c>
      <c r="U1177">
        <v>1</v>
      </c>
      <c r="W1177">
        <v>0</v>
      </c>
      <c r="Y1177">
        <v>0</v>
      </c>
      <c r="AA1177">
        <v>0</v>
      </c>
    </row>
    <row r="1178" spans="1:27">
      <c r="A1178" t="s">
        <v>1209</v>
      </c>
      <c r="B1178" s="3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S1178">
        <v>0</v>
      </c>
      <c r="U1178">
        <v>0</v>
      </c>
      <c r="W1178">
        <v>0</v>
      </c>
      <c r="Y1178">
        <v>0</v>
      </c>
      <c r="AA1178">
        <v>0</v>
      </c>
    </row>
    <row r="1179" spans="1:27">
      <c r="A1179" t="s">
        <v>1210</v>
      </c>
      <c r="B1179" s="3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S1179">
        <v>0</v>
      </c>
      <c r="U1179">
        <v>0</v>
      </c>
      <c r="W1179">
        <v>0</v>
      </c>
      <c r="Y1179">
        <v>0</v>
      </c>
      <c r="AA1179">
        <v>0</v>
      </c>
    </row>
    <row r="1180" spans="1:27">
      <c r="A1180" t="s">
        <v>1211</v>
      </c>
      <c r="B1180" s="3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S1180">
        <v>0</v>
      </c>
      <c r="U1180">
        <v>1</v>
      </c>
      <c r="W1180">
        <v>1</v>
      </c>
      <c r="Y1180">
        <v>1</v>
      </c>
      <c r="AA1180">
        <v>1</v>
      </c>
    </row>
    <row r="1181" spans="1:27">
      <c r="A1181" t="s">
        <v>1212</v>
      </c>
      <c r="B1181" s="3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S1181">
        <v>1</v>
      </c>
      <c r="U1181">
        <v>0</v>
      </c>
      <c r="W1181">
        <v>0</v>
      </c>
      <c r="Y1181">
        <v>0</v>
      </c>
      <c r="AA1181">
        <v>0</v>
      </c>
    </row>
    <row r="1182" spans="1:27">
      <c r="A1182" t="s">
        <v>1213</v>
      </c>
      <c r="B1182" s="3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S1182">
        <v>0</v>
      </c>
      <c r="U1182">
        <v>1</v>
      </c>
      <c r="W1182">
        <v>0</v>
      </c>
      <c r="Y1182">
        <v>0</v>
      </c>
      <c r="AA1182">
        <v>0</v>
      </c>
    </row>
    <row r="1183" spans="1:27">
      <c r="A1183" t="s">
        <v>1214</v>
      </c>
      <c r="B1183" s="3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S1183">
        <v>0</v>
      </c>
      <c r="U1183">
        <v>0</v>
      </c>
      <c r="W1183">
        <v>0</v>
      </c>
      <c r="Y1183">
        <v>0</v>
      </c>
      <c r="AA1183">
        <v>0</v>
      </c>
    </row>
    <row r="1184" spans="1:27">
      <c r="A1184" t="s">
        <v>1215</v>
      </c>
      <c r="B1184" s="3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S1184">
        <v>0</v>
      </c>
      <c r="U1184">
        <v>0</v>
      </c>
      <c r="W1184">
        <v>0</v>
      </c>
      <c r="Y1184">
        <v>0</v>
      </c>
      <c r="AA1184">
        <v>0</v>
      </c>
    </row>
    <row r="1185" spans="1:27">
      <c r="A1185" t="s">
        <v>1216</v>
      </c>
      <c r="B1185" s="3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S1185">
        <v>0</v>
      </c>
      <c r="U1185">
        <v>1</v>
      </c>
      <c r="W1185">
        <v>0</v>
      </c>
      <c r="Y1185">
        <v>0</v>
      </c>
      <c r="AA1185">
        <v>0</v>
      </c>
    </row>
    <row r="1186" spans="1:27">
      <c r="A1186" t="s">
        <v>1217</v>
      </c>
      <c r="B1186" s="3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S1186">
        <v>0</v>
      </c>
      <c r="U1186">
        <v>1</v>
      </c>
      <c r="W1186">
        <v>0</v>
      </c>
      <c r="Y1186">
        <v>0</v>
      </c>
      <c r="AA1186">
        <v>2</v>
      </c>
    </row>
    <row r="1187" spans="1:27">
      <c r="A1187" t="s">
        <v>1218</v>
      </c>
      <c r="B1187" s="3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S1187">
        <v>0</v>
      </c>
      <c r="U1187">
        <v>1</v>
      </c>
      <c r="W1187">
        <v>0</v>
      </c>
      <c r="Y1187">
        <v>0</v>
      </c>
      <c r="AA1187">
        <v>0</v>
      </c>
    </row>
    <row r="1188" spans="1:27">
      <c r="A1188" t="s">
        <v>1219</v>
      </c>
      <c r="B1188" s="3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S1188">
        <v>0</v>
      </c>
      <c r="U1188">
        <v>1</v>
      </c>
      <c r="W1188">
        <v>0</v>
      </c>
      <c r="Y1188">
        <v>0</v>
      </c>
      <c r="AA1188">
        <v>3</v>
      </c>
    </row>
    <row r="1189" spans="1:27">
      <c r="A1189" t="s">
        <v>1220</v>
      </c>
      <c r="B1189" s="3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S1189">
        <v>0</v>
      </c>
      <c r="U1189">
        <v>0</v>
      </c>
      <c r="W1189">
        <v>0</v>
      </c>
      <c r="Y1189">
        <v>0</v>
      </c>
      <c r="AA1189">
        <v>0</v>
      </c>
    </row>
    <row r="1190" spans="1:27">
      <c r="A1190" t="s">
        <v>1221</v>
      </c>
      <c r="B1190" s="3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S1190">
        <v>0</v>
      </c>
      <c r="U1190">
        <v>1</v>
      </c>
      <c r="W1190">
        <v>0</v>
      </c>
      <c r="Y1190">
        <v>0</v>
      </c>
      <c r="AA1190">
        <v>0</v>
      </c>
    </row>
    <row r="1191" spans="1:27">
      <c r="A1191" t="s">
        <v>1222</v>
      </c>
      <c r="B1191" s="3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S1191">
        <v>0</v>
      </c>
      <c r="U1191">
        <v>0</v>
      </c>
      <c r="W1191">
        <v>0</v>
      </c>
      <c r="Y1191">
        <v>0</v>
      </c>
      <c r="AA1191">
        <v>0</v>
      </c>
    </row>
    <row r="1192" spans="1:27">
      <c r="A1192" t="s">
        <v>1223</v>
      </c>
      <c r="B1192" s="3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S1192">
        <v>0</v>
      </c>
      <c r="U1192">
        <v>1</v>
      </c>
      <c r="W1192">
        <v>1</v>
      </c>
      <c r="Y1192">
        <v>1</v>
      </c>
      <c r="AA1192">
        <v>0</v>
      </c>
    </row>
    <row r="1193" spans="1:27">
      <c r="A1193" t="s">
        <v>1224</v>
      </c>
      <c r="B1193" s="3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S1193">
        <v>0</v>
      </c>
      <c r="U1193">
        <v>0</v>
      </c>
      <c r="W1193">
        <v>0</v>
      </c>
      <c r="Y1193">
        <v>0</v>
      </c>
      <c r="AA1193">
        <v>0</v>
      </c>
    </row>
    <row r="1194" spans="1:27">
      <c r="A1194" t="s">
        <v>1225</v>
      </c>
      <c r="B1194" s="3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S1194">
        <v>0</v>
      </c>
      <c r="U1194">
        <v>0</v>
      </c>
      <c r="W1194">
        <v>0</v>
      </c>
      <c r="Y1194">
        <v>0</v>
      </c>
      <c r="AA1194">
        <v>0</v>
      </c>
    </row>
    <row r="1195" spans="1:27">
      <c r="A1195" t="s">
        <v>1226</v>
      </c>
      <c r="B1195" s="3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S1195">
        <v>0</v>
      </c>
      <c r="U1195">
        <v>0</v>
      </c>
      <c r="W1195">
        <v>0</v>
      </c>
      <c r="Y1195">
        <v>0</v>
      </c>
      <c r="AA1195">
        <v>0</v>
      </c>
    </row>
    <row r="1196" spans="1:27">
      <c r="A1196" t="s">
        <v>1227</v>
      </c>
      <c r="B1196" s="3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S1196">
        <v>0</v>
      </c>
      <c r="U1196">
        <v>1</v>
      </c>
      <c r="W1196">
        <v>0</v>
      </c>
      <c r="Y1196">
        <v>0</v>
      </c>
      <c r="AA1196">
        <v>1</v>
      </c>
    </row>
    <row r="1197" spans="1:27">
      <c r="A1197" t="s">
        <v>1228</v>
      </c>
      <c r="B1197" s="3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S1197">
        <v>0</v>
      </c>
      <c r="U1197">
        <v>1</v>
      </c>
      <c r="W1197">
        <v>0</v>
      </c>
      <c r="Y1197">
        <v>0</v>
      </c>
      <c r="AA1197">
        <v>1</v>
      </c>
    </row>
    <row r="1198" spans="1:27">
      <c r="A1198" t="s">
        <v>1229</v>
      </c>
      <c r="B1198" s="3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S1198">
        <v>0</v>
      </c>
      <c r="U1198">
        <v>0</v>
      </c>
      <c r="W1198">
        <v>0</v>
      </c>
      <c r="Y1198">
        <v>0</v>
      </c>
      <c r="AA1198">
        <v>0</v>
      </c>
    </row>
    <row r="1199" spans="1:27">
      <c r="A1199" t="s">
        <v>1230</v>
      </c>
      <c r="B1199" s="3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S1199">
        <v>0</v>
      </c>
      <c r="U1199">
        <v>1</v>
      </c>
      <c r="W1199">
        <v>0</v>
      </c>
      <c r="Y1199">
        <v>0</v>
      </c>
      <c r="AA1199">
        <v>1</v>
      </c>
    </row>
    <row r="1200" spans="1:27">
      <c r="A1200" t="s">
        <v>1231</v>
      </c>
      <c r="B1200" s="3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S1200">
        <v>0</v>
      </c>
      <c r="U1200">
        <v>1</v>
      </c>
      <c r="W1200">
        <v>1</v>
      </c>
      <c r="Y1200">
        <v>1</v>
      </c>
      <c r="AA1200">
        <v>0</v>
      </c>
    </row>
    <row r="1201" spans="1:27">
      <c r="A1201" t="s">
        <v>1232</v>
      </c>
      <c r="B1201" s="3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S1201">
        <v>0</v>
      </c>
      <c r="U1201">
        <v>1</v>
      </c>
      <c r="W1201">
        <v>0</v>
      </c>
      <c r="Y1201">
        <v>0</v>
      </c>
      <c r="AA1201">
        <v>0</v>
      </c>
    </row>
    <row r="1202" spans="1:27">
      <c r="A1202" t="s">
        <v>1233</v>
      </c>
      <c r="B1202" s="3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S1202">
        <v>0</v>
      </c>
      <c r="U1202">
        <v>1</v>
      </c>
      <c r="W1202">
        <v>1</v>
      </c>
      <c r="Y1202">
        <v>0</v>
      </c>
      <c r="AA1202">
        <v>1</v>
      </c>
    </row>
    <row r="1203" spans="1:27">
      <c r="A1203" t="s">
        <v>1234</v>
      </c>
      <c r="B1203" s="3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S1203">
        <v>0</v>
      </c>
      <c r="U1203">
        <v>1</v>
      </c>
      <c r="W1203">
        <v>1</v>
      </c>
      <c r="Y1203">
        <v>1</v>
      </c>
      <c r="AA1203">
        <v>1</v>
      </c>
    </row>
    <row r="1204" spans="1:27">
      <c r="A1204" t="s">
        <v>1235</v>
      </c>
      <c r="B1204" s="3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S1204">
        <v>0</v>
      </c>
      <c r="U1204">
        <v>1</v>
      </c>
      <c r="W1204">
        <v>0</v>
      </c>
      <c r="Y1204">
        <v>0</v>
      </c>
      <c r="AA1204">
        <v>3</v>
      </c>
    </row>
    <row r="1205" spans="1:27">
      <c r="A1205" t="s">
        <v>1236</v>
      </c>
      <c r="B1205" s="3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S1205">
        <v>0</v>
      </c>
      <c r="U1205">
        <v>1</v>
      </c>
      <c r="W1205">
        <v>1</v>
      </c>
      <c r="Y1205">
        <v>1</v>
      </c>
      <c r="AA1205">
        <v>3</v>
      </c>
    </row>
    <row r="1206" spans="1:27">
      <c r="A1206" t="s">
        <v>1237</v>
      </c>
      <c r="B1206" s="3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S1206">
        <v>0</v>
      </c>
      <c r="U1206">
        <v>0</v>
      </c>
      <c r="W1206">
        <v>0</v>
      </c>
      <c r="Y1206">
        <v>0</v>
      </c>
      <c r="AA1206">
        <v>0</v>
      </c>
    </row>
    <row r="1207" spans="1:27">
      <c r="A1207" t="s">
        <v>1238</v>
      </c>
      <c r="B1207" s="3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S1207">
        <v>0</v>
      </c>
      <c r="U1207">
        <v>0</v>
      </c>
      <c r="W1207">
        <v>0</v>
      </c>
      <c r="Y1207">
        <v>0</v>
      </c>
      <c r="AA1207">
        <v>0</v>
      </c>
    </row>
    <row r="1208" spans="1:27">
      <c r="A1208" t="s">
        <v>1239</v>
      </c>
      <c r="B1208" s="3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S1208">
        <v>0</v>
      </c>
      <c r="U1208">
        <v>0</v>
      </c>
      <c r="W1208">
        <v>0</v>
      </c>
      <c r="Y1208">
        <v>0</v>
      </c>
      <c r="AA1208">
        <v>0</v>
      </c>
    </row>
    <row r="1209" spans="1:27">
      <c r="A1209" t="s">
        <v>1240</v>
      </c>
      <c r="B1209" s="3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S1209">
        <v>0</v>
      </c>
      <c r="U1209">
        <v>1</v>
      </c>
      <c r="W1209">
        <v>0</v>
      </c>
      <c r="Y1209">
        <v>0</v>
      </c>
      <c r="AA1209">
        <v>1</v>
      </c>
    </row>
    <row r="1210" spans="1:27">
      <c r="A1210" t="s">
        <v>1241</v>
      </c>
      <c r="B1210" s="3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S1210">
        <v>0</v>
      </c>
      <c r="U1210">
        <v>0</v>
      </c>
      <c r="W1210">
        <v>0</v>
      </c>
      <c r="Y1210">
        <v>0</v>
      </c>
      <c r="AA1210">
        <v>0</v>
      </c>
    </row>
    <row r="1211" spans="1:27">
      <c r="A1211" t="s">
        <v>1242</v>
      </c>
      <c r="B1211" s="3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S1211">
        <v>0</v>
      </c>
      <c r="U1211">
        <v>1</v>
      </c>
      <c r="W1211">
        <v>0</v>
      </c>
      <c r="Y1211">
        <v>0</v>
      </c>
      <c r="AA1211">
        <v>0</v>
      </c>
    </row>
    <row r="1212" spans="1:27">
      <c r="A1212" t="s">
        <v>1243</v>
      </c>
      <c r="B1212" s="3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S1212">
        <v>0</v>
      </c>
      <c r="U1212">
        <v>1</v>
      </c>
      <c r="W1212">
        <v>1</v>
      </c>
      <c r="Y1212">
        <v>0</v>
      </c>
      <c r="AA1212">
        <v>0</v>
      </c>
    </row>
    <row r="1213" spans="1:27">
      <c r="A1213" t="s">
        <v>1244</v>
      </c>
      <c r="B1213" s="3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S1213">
        <v>0</v>
      </c>
      <c r="U1213">
        <v>1</v>
      </c>
      <c r="W1213">
        <v>0</v>
      </c>
      <c r="Y1213">
        <v>0</v>
      </c>
      <c r="AA1213">
        <v>1</v>
      </c>
    </row>
    <row r="1214" spans="1:27">
      <c r="A1214" t="s">
        <v>1245</v>
      </c>
      <c r="B1214" s="3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S1214">
        <v>0</v>
      </c>
      <c r="U1214">
        <v>0</v>
      </c>
      <c r="W1214">
        <v>0</v>
      </c>
      <c r="Y1214">
        <v>0</v>
      </c>
      <c r="AA1214">
        <v>0</v>
      </c>
    </row>
    <row r="1215" spans="1:27">
      <c r="A1215" t="s">
        <v>1246</v>
      </c>
      <c r="B1215" s="3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S1215">
        <v>0</v>
      </c>
      <c r="U1215">
        <v>1</v>
      </c>
      <c r="W1215">
        <v>1</v>
      </c>
      <c r="Y1215">
        <v>0</v>
      </c>
      <c r="AA1215">
        <v>0</v>
      </c>
    </row>
    <row r="1216" spans="1:27">
      <c r="A1216" t="s">
        <v>1247</v>
      </c>
      <c r="B1216" s="3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S1216">
        <v>0</v>
      </c>
      <c r="U1216">
        <v>1</v>
      </c>
      <c r="W1216">
        <v>1</v>
      </c>
      <c r="Y1216">
        <v>1</v>
      </c>
      <c r="AA1216">
        <v>0</v>
      </c>
    </row>
    <row r="1217" spans="1:27">
      <c r="A1217" t="s">
        <v>1248</v>
      </c>
      <c r="B1217" s="3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S1217">
        <v>0</v>
      </c>
      <c r="U1217">
        <v>1</v>
      </c>
      <c r="W1217">
        <v>0</v>
      </c>
      <c r="Y1217">
        <v>0</v>
      </c>
      <c r="AA1217">
        <v>0</v>
      </c>
    </row>
    <row r="1218" spans="1:27">
      <c r="A1218" t="s">
        <v>1249</v>
      </c>
      <c r="B1218" s="3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S1218">
        <v>0</v>
      </c>
      <c r="U1218">
        <v>0</v>
      </c>
      <c r="W1218">
        <v>0</v>
      </c>
      <c r="Y1218">
        <v>0</v>
      </c>
      <c r="AA1218">
        <v>0</v>
      </c>
    </row>
    <row r="1219" spans="1:27">
      <c r="A1219" t="s">
        <v>1250</v>
      </c>
      <c r="B1219" s="3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S1219">
        <v>0</v>
      </c>
      <c r="U1219">
        <v>0</v>
      </c>
      <c r="W1219">
        <v>0</v>
      </c>
      <c r="Y1219">
        <v>0</v>
      </c>
      <c r="AA1219">
        <v>0</v>
      </c>
    </row>
    <row r="1220" spans="1:27">
      <c r="A1220" t="s">
        <v>1251</v>
      </c>
      <c r="B1220" s="3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S1220">
        <v>0</v>
      </c>
      <c r="U1220">
        <v>0</v>
      </c>
      <c r="W1220">
        <v>0</v>
      </c>
      <c r="Y1220">
        <v>0</v>
      </c>
      <c r="AA1220">
        <v>0</v>
      </c>
    </row>
    <row r="1221" spans="1:27">
      <c r="A1221" t="s">
        <v>1252</v>
      </c>
      <c r="B1221" s="3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S1221">
        <v>0</v>
      </c>
      <c r="U1221">
        <v>1</v>
      </c>
      <c r="W1221">
        <v>0</v>
      </c>
      <c r="Y1221">
        <v>0</v>
      </c>
      <c r="AA1221">
        <v>0</v>
      </c>
    </row>
    <row r="1222" spans="1:27">
      <c r="A1222" t="s">
        <v>1253</v>
      </c>
      <c r="B1222" s="3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S1222">
        <v>0</v>
      </c>
      <c r="U1222">
        <v>1</v>
      </c>
      <c r="W1222">
        <v>1</v>
      </c>
      <c r="Y1222">
        <v>1</v>
      </c>
      <c r="AA1222">
        <v>1</v>
      </c>
    </row>
    <row r="1223" spans="1:27">
      <c r="A1223" t="s">
        <v>1254</v>
      </c>
      <c r="B1223" s="3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S1223">
        <v>1</v>
      </c>
      <c r="U1223">
        <v>1</v>
      </c>
      <c r="W1223">
        <v>1</v>
      </c>
      <c r="Y1223">
        <v>1</v>
      </c>
      <c r="AA1223">
        <v>0</v>
      </c>
    </row>
    <row r="1224" spans="1:27">
      <c r="A1224" t="s">
        <v>1255</v>
      </c>
      <c r="B1224" s="3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S1224">
        <v>1</v>
      </c>
      <c r="U1224">
        <v>0</v>
      </c>
      <c r="W1224">
        <v>0</v>
      </c>
      <c r="Y1224">
        <v>0</v>
      </c>
      <c r="AA1224">
        <v>0</v>
      </c>
    </row>
    <row r="1225" spans="1:27">
      <c r="A1225" t="s">
        <v>1256</v>
      </c>
      <c r="B1225" s="3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S1225">
        <v>0</v>
      </c>
      <c r="U1225">
        <v>1</v>
      </c>
      <c r="W1225">
        <v>0</v>
      </c>
      <c r="Y1225">
        <v>0</v>
      </c>
      <c r="AA1225">
        <v>1</v>
      </c>
    </row>
    <row r="1226" spans="1:27">
      <c r="A1226" t="s">
        <v>1257</v>
      </c>
      <c r="B1226" s="3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S1226">
        <v>0</v>
      </c>
      <c r="U1226">
        <v>0</v>
      </c>
      <c r="W1226">
        <v>0</v>
      </c>
      <c r="Y1226">
        <v>0</v>
      </c>
      <c r="AA1226">
        <v>0</v>
      </c>
    </row>
    <row r="1227" spans="1:27">
      <c r="A1227" t="s">
        <v>1258</v>
      </c>
      <c r="B1227" s="3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S1227">
        <v>0</v>
      </c>
      <c r="U1227">
        <v>1</v>
      </c>
      <c r="W1227">
        <v>1</v>
      </c>
      <c r="Y1227">
        <v>1</v>
      </c>
      <c r="AA1227">
        <v>0</v>
      </c>
    </row>
    <row r="1228" spans="1:27">
      <c r="A1228" t="s">
        <v>1259</v>
      </c>
      <c r="B1228" s="3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S1228">
        <v>1</v>
      </c>
      <c r="U1228">
        <v>0</v>
      </c>
      <c r="W1228">
        <v>0</v>
      </c>
      <c r="Y1228">
        <v>0</v>
      </c>
      <c r="AA1228">
        <v>0</v>
      </c>
    </row>
    <row r="1229" spans="1:27">
      <c r="A1229" t="s">
        <v>1260</v>
      </c>
      <c r="B1229" s="3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S1229">
        <v>0</v>
      </c>
      <c r="U1229">
        <v>1</v>
      </c>
      <c r="W1229">
        <v>0</v>
      </c>
      <c r="Y1229">
        <v>0</v>
      </c>
      <c r="AA1229">
        <v>1</v>
      </c>
    </row>
    <row r="1230" spans="1:27">
      <c r="A1230" t="s">
        <v>1261</v>
      </c>
      <c r="B1230" s="3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S1230">
        <v>0</v>
      </c>
      <c r="U1230">
        <v>0</v>
      </c>
      <c r="W1230">
        <v>0</v>
      </c>
      <c r="Y1230">
        <v>0</v>
      </c>
      <c r="AA1230">
        <v>0</v>
      </c>
    </row>
    <row r="1231" spans="1:27">
      <c r="A1231" t="s">
        <v>1262</v>
      </c>
      <c r="B1231" s="3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S1231">
        <v>0</v>
      </c>
      <c r="U1231">
        <v>1</v>
      </c>
      <c r="W1231">
        <v>0</v>
      </c>
      <c r="Y1231">
        <v>0</v>
      </c>
      <c r="AA1231">
        <v>0</v>
      </c>
    </row>
    <row r="1232" spans="1:27">
      <c r="A1232" t="s">
        <v>1263</v>
      </c>
      <c r="B1232" s="3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S1232">
        <v>0</v>
      </c>
      <c r="U1232">
        <v>1</v>
      </c>
      <c r="W1232">
        <v>0</v>
      </c>
      <c r="Y1232">
        <v>0</v>
      </c>
      <c r="AA1232">
        <v>1</v>
      </c>
    </row>
    <row r="1233" spans="1:27">
      <c r="A1233" t="s">
        <v>1264</v>
      </c>
      <c r="B1233" s="3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S1233">
        <v>0</v>
      </c>
      <c r="U1233">
        <v>1</v>
      </c>
      <c r="W1233">
        <v>1</v>
      </c>
      <c r="Y1233">
        <v>1</v>
      </c>
      <c r="AA1233">
        <v>1</v>
      </c>
    </row>
    <row r="1234" spans="1:27">
      <c r="A1234" t="s">
        <v>1265</v>
      </c>
      <c r="B1234" s="3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S1234">
        <v>0</v>
      </c>
      <c r="U1234">
        <v>1</v>
      </c>
      <c r="W1234">
        <v>0</v>
      </c>
      <c r="Y1234">
        <v>0</v>
      </c>
      <c r="AA1234">
        <v>0</v>
      </c>
    </row>
    <row r="1235" spans="1:27">
      <c r="A1235" t="s">
        <v>1266</v>
      </c>
      <c r="B1235" s="3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S1235">
        <v>0</v>
      </c>
      <c r="U1235">
        <v>0</v>
      </c>
      <c r="W1235">
        <v>0</v>
      </c>
      <c r="Y1235">
        <v>0</v>
      </c>
      <c r="AA1235">
        <v>0</v>
      </c>
    </row>
    <row r="1236" spans="1:27">
      <c r="A1236" t="s">
        <v>1267</v>
      </c>
      <c r="B1236" s="3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S1236">
        <v>0</v>
      </c>
      <c r="U1236">
        <v>0</v>
      </c>
      <c r="W1236">
        <v>0</v>
      </c>
      <c r="Y1236">
        <v>0</v>
      </c>
      <c r="AA1236">
        <v>0</v>
      </c>
    </row>
    <row r="1237" spans="1:27">
      <c r="A1237" t="s">
        <v>1268</v>
      </c>
      <c r="B1237" s="3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S1237">
        <v>0</v>
      </c>
      <c r="U1237">
        <v>1</v>
      </c>
      <c r="W1237">
        <v>0</v>
      </c>
      <c r="Y1237">
        <v>0</v>
      </c>
      <c r="AA1237">
        <v>0</v>
      </c>
    </row>
    <row r="1238" spans="1:27">
      <c r="A1238" t="s">
        <v>1269</v>
      </c>
      <c r="B1238" s="3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S1238">
        <v>0</v>
      </c>
      <c r="U1238">
        <v>1</v>
      </c>
      <c r="W1238">
        <v>1</v>
      </c>
      <c r="Y1238">
        <v>1</v>
      </c>
      <c r="AA1238">
        <v>0</v>
      </c>
    </row>
    <row r="1239" spans="1:27">
      <c r="A1239" t="s">
        <v>1270</v>
      </c>
      <c r="B1239" s="3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S1239">
        <v>1</v>
      </c>
      <c r="U1239">
        <v>1</v>
      </c>
      <c r="W1239">
        <v>0</v>
      </c>
      <c r="Y1239">
        <v>0</v>
      </c>
      <c r="AA1239">
        <v>0</v>
      </c>
    </row>
    <row r="1240" spans="1:27">
      <c r="A1240" t="s">
        <v>1271</v>
      </c>
      <c r="B1240" s="3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S1240">
        <v>0</v>
      </c>
      <c r="U1240">
        <v>1</v>
      </c>
      <c r="W1240">
        <v>0</v>
      </c>
      <c r="Y1240">
        <v>0</v>
      </c>
      <c r="AA1240">
        <v>0</v>
      </c>
    </row>
    <row r="1241" spans="1:27">
      <c r="A1241" t="s">
        <v>1272</v>
      </c>
      <c r="B1241" s="3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S1241">
        <v>0</v>
      </c>
      <c r="U1241">
        <v>0</v>
      </c>
      <c r="W1241">
        <v>0</v>
      </c>
      <c r="Y1241">
        <v>0</v>
      </c>
      <c r="AA1241">
        <v>0</v>
      </c>
    </row>
    <row r="1242" spans="1:27">
      <c r="A1242" t="s">
        <v>1273</v>
      </c>
      <c r="B1242" s="3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S1242">
        <v>0</v>
      </c>
      <c r="U1242">
        <v>1</v>
      </c>
      <c r="W1242">
        <v>1</v>
      </c>
      <c r="Y1242">
        <v>0</v>
      </c>
      <c r="AA1242">
        <v>0</v>
      </c>
    </row>
    <row r="1243" spans="1:27">
      <c r="A1243" t="s">
        <v>1274</v>
      </c>
      <c r="B1243" s="3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S1243">
        <v>0</v>
      </c>
      <c r="U1243">
        <v>0</v>
      </c>
      <c r="W1243">
        <v>0</v>
      </c>
      <c r="Y1243">
        <v>0</v>
      </c>
      <c r="AA1243">
        <v>1</v>
      </c>
    </row>
    <row r="1244" spans="1:27">
      <c r="A1244" t="s">
        <v>1275</v>
      </c>
      <c r="B1244" s="3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S1244">
        <v>0</v>
      </c>
      <c r="U1244">
        <v>1</v>
      </c>
      <c r="W1244">
        <v>0</v>
      </c>
      <c r="Y1244">
        <v>0</v>
      </c>
      <c r="AA1244">
        <v>0</v>
      </c>
    </row>
    <row r="1245" spans="1:27">
      <c r="A1245" t="s">
        <v>1276</v>
      </c>
      <c r="B1245" s="3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S1245">
        <v>0</v>
      </c>
      <c r="U1245">
        <v>1</v>
      </c>
      <c r="W1245">
        <v>1</v>
      </c>
      <c r="Y1245">
        <v>0</v>
      </c>
      <c r="AA1245">
        <v>0</v>
      </c>
    </row>
    <row r="1246" spans="1:27">
      <c r="A1246" t="s">
        <v>1277</v>
      </c>
      <c r="B1246" s="3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S1246">
        <v>0</v>
      </c>
      <c r="U1246">
        <v>1</v>
      </c>
      <c r="W1246">
        <v>0</v>
      </c>
      <c r="Y1246">
        <v>0</v>
      </c>
      <c r="AA1246">
        <v>0</v>
      </c>
    </row>
    <row r="1247" spans="1:27">
      <c r="A1247" t="s">
        <v>1278</v>
      </c>
      <c r="B1247" s="3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S1247">
        <v>0</v>
      </c>
      <c r="U1247">
        <v>1</v>
      </c>
      <c r="W1247">
        <v>0</v>
      </c>
      <c r="Y1247">
        <v>0</v>
      </c>
      <c r="AA1247">
        <v>0</v>
      </c>
    </row>
    <row r="1248" spans="1:27">
      <c r="A1248" t="s">
        <v>1279</v>
      </c>
      <c r="B1248" s="3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S1248">
        <v>0</v>
      </c>
      <c r="U1248">
        <v>1</v>
      </c>
      <c r="W1248">
        <v>0</v>
      </c>
      <c r="Y1248">
        <v>0</v>
      </c>
      <c r="AA1248">
        <v>0</v>
      </c>
    </row>
    <row r="1249" spans="1:27">
      <c r="A1249" t="s">
        <v>1280</v>
      </c>
      <c r="B1249" s="3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S1249">
        <v>0</v>
      </c>
      <c r="U1249">
        <v>1</v>
      </c>
      <c r="W1249">
        <v>1</v>
      </c>
      <c r="Y1249">
        <v>1</v>
      </c>
      <c r="AA1249">
        <v>0</v>
      </c>
    </row>
    <row r="1250" spans="1:27">
      <c r="A1250" t="s">
        <v>1281</v>
      </c>
      <c r="B1250" s="3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S1250">
        <v>0</v>
      </c>
      <c r="U1250">
        <v>1</v>
      </c>
      <c r="W1250">
        <v>0</v>
      </c>
      <c r="Y1250">
        <v>0</v>
      </c>
      <c r="AA1250">
        <v>1</v>
      </c>
    </row>
    <row r="1251" spans="1:27">
      <c r="A1251" t="s">
        <v>1282</v>
      </c>
      <c r="B1251" s="3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S1251">
        <v>0</v>
      </c>
      <c r="U1251">
        <v>1</v>
      </c>
      <c r="W1251">
        <v>0</v>
      </c>
      <c r="Y1251">
        <v>0</v>
      </c>
      <c r="AA1251">
        <v>0</v>
      </c>
    </row>
    <row r="1252" spans="1:27">
      <c r="A1252" t="s">
        <v>1283</v>
      </c>
      <c r="B1252" s="3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S1252">
        <v>0</v>
      </c>
      <c r="U1252">
        <v>1</v>
      </c>
      <c r="W1252">
        <v>1</v>
      </c>
      <c r="Y1252">
        <v>1</v>
      </c>
      <c r="AA1252">
        <v>0</v>
      </c>
    </row>
    <row r="1253" spans="1:27">
      <c r="A1253" t="s">
        <v>1284</v>
      </c>
      <c r="B1253" s="3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S1253">
        <v>1</v>
      </c>
      <c r="U1253">
        <v>1</v>
      </c>
      <c r="W1253">
        <v>1</v>
      </c>
      <c r="Y1253">
        <v>0</v>
      </c>
      <c r="AA1253">
        <v>3</v>
      </c>
    </row>
    <row r="1254" spans="1:27">
      <c r="A1254" t="s">
        <v>1285</v>
      </c>
      <c r="B1254" s="3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S1254">
        <v>0</v>
      </c>
      <c r="U1254">
        <v>1</v>
      </c>
      <c r="W1254">
        <v>0</v>
      </c>
      <c r="Y1254">
        <v>0</v>
      </c>
      <c r="AA1254">
        <v>0</v>
      </c>
    </row>
    <row r="1255" spans="1:27">
      <c r="A1255" t="s">
        <v>1286</v>
      </c>
      <c r="B1255" s="3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S1255">
        <v>0</v>
      </c>
      <c r="U1255">
        <v>0</v>
      </c>
      <c r="W1255">
        <v>0</v>
      </c>
      <c r="Y1255">
        <v>0</v>
      </c>
      <c r="AA1255">
        <v>0</v>
      </c>
    </row>
    <row r="1256" spans="1:27">
      <c r="A1256" t="s">
        <v>1287</v>
      </c>
      <c r="B1256" s="3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S1256">
        <v>0</v>
      </c>
      <c r="U1256">
        <v>1</v>
      </c>
      <c r="W1256">
        <v>0</v>
      </c>
      <c r="Y1256">
        <v>0</v>
      </c>
      <c r="AA1256">
        <v>0</v>
      </c>
    </row>
    <row r="1257" spans="1:27">
      <c r="A1257" t="s">
        <v>1288</v>
      </c>
      <c r="B1257" s="3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S1257">
        <v>0</v>
      </c>
      <c r="U1257">
        <v>1</v>
      </c>
      <c r="W1257">
        <v>1</v>
      </c>
      <c r="Y1257">
        <v>1</v>
      </c>
      <c r="AA1257">
        <v>0</v>
      </c>
    </row>
    <row r="1258" spans="1:27">
      <c r="A1258" t="s">
        <v>1289</v>
      </c>
      <c r="B1258" s="3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S1258">
        <v>1</v>
      </c>
      <c r="U1258">
        <v>0</v>
      </c>
      <c r="W1258">
        <v>0</v>
      </c>
      <c r="Y1258">
        <v>0</v>
      </c>
      <c r="AA1258">
        <v>0</v>
      </c>
    </row>
    <row r="1259" spans="1:27">
      <c r="A1259" t="s">
        <v>1290</v>
      </c>
      <c r="B1259" s="3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S1259">
        <v>0</v>
      </c>
      <c r="U1259">
        <v>1</v>
      </c>
      <c r="W1259">
        <v>0</v>
      </c>
      <c r="Y1259">
        <v>0</v>
      </c>
      <c r="AA1259">
        <v>0</v>
      </c>
    </row>
    <row r="1260" spans="1:27">
      <c r="A1260" t="s">
        <v>1291</v>
      </c>
      <c r="B1260" s="3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S1260">
        <v>0</v>
      </c>
      <c r="U1260">
        <v>1</v>
      </c>
      <c r="W1260">
        <v>0</v>
      </c>
      <c r="Y1260">
        <v>0</v>
      </c>
      <c r="AA1260">
        <v>0</v>
      </c>
    </row>
    <row r="1261" spans="1:27">
      <c r="A1261" t="s">
        <v>1292</v>
      </c>
      <c r="B1261" s="3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S1261">
        <v>0</v>
      </c>
      <c r="U1261">
        <v>1</v>
      </c>
      <c r="W1261">
        <v>0</v>
      </c>
      <c r="Y1261">
        <v>0</v>
      </c>
      <c r="AA1261">
        <v>0</v>
      </c>
    </row>
    <row r="1262" spans="1:27">
      <c r="A1262" t="s">
        <v>1293</v>
      </c>
      <c r="B1262" s="3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S1262">
        <v>0</v>
      </c>
      <c r="U1262">
        <v>1</v>
      </c>
      <c r="W1262">
        <v>0</v>
      </c>
      <c r="Y1262">
        <v>0</v>
      </c>
      <c r="AA1262">
        <v>0</v>
      </c>
    </row>
    <row r="1263" spans="1:27">
      <c r="A1263" t="s">
        <v>1294</v>
      </c>
      <c r="B1263" s="3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S1263">
        <v>0</v>
      </c>
      <c r="U1263">
        <v>1</v>
      </c>
      <c r="W1263">
        <v>1</v>
      </c>
      <c r="Y1263">
        <v>1</v>
      </c>
      <c r="AA1263">
        <v>0</v>
      </c>
    </row>
    <row r="1264" spans="1:27">
      <c r="A1264" t="s">
        <v>1295</v>
      </c>
      <c r="B1264" s="3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S1264">
        <v>0</v>
      </c>
      <c r="U1264">
        <v>1</v>
      </c>
      <c r="W1264">
        <v>0</v>
      </c>
      <c r="Y1264">
        <v>0</v>
      </c>
      <c r="AA1264">
        <v>0</v>
      </c>
    </row>
    <row r="1265" spans="1:27">
      <c r="A1265" t="s">
        <v>1296</v>
      </c>
      <c r="B1265" s="3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S1265">
        <v>0</v>
      </c>
      <c r="U1265">
        <v>1</v>
      </c>
      <c r="W1265">
        <v>0</v>
      </c>
      <c r="Y1265">
        <v>0</v>
      </c>
      <c r="AA1265">
        <v>0</v>
      </c>
    </row>
    <row r="1266" spans="1:27">
      <c r="A1266" t="s">
        <v>1297</v>
      </c>
      <c r="B1266" s="3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S1266">
        <v>0</v>
      </c>
      <c r="U1266">
        <v>1</v>
      </c>
      <c r="W1266">
        <v>0</v>
      </c>
      <c r="Y1266">
        <v>0</v>
      </c>
      <c r="AA1266">
        <v>1</v>
      </c>
    </row>
    <row r="1267" spans="1:27">
      <c r="A1267" t="s">
        <v>1298</v>
      </c>
      <c r="B1267" s="3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S1267">
        <v>0</v>
      </c>
      <c r="U1267">
        <v>0</v>
      </c>
      <c r="W1267">
        <v>0</v>
      </c>
      <c r="Y1267">
        <v>0</v>
      </c>
      <c r="AA1267">
        <v>0</v>
      </c>
    </row>
    <row r="1268" spans="1:27">
      <c r="A1268" t="s">
        <v>1299</v>
      </c>
      <c r="B1268" s="3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S1268">
        <v>0</v>
      </c>
      <c r="U1268">
        <v>1</v>
      </c>
      <c r="W1268">
        <v>0</v>
      </c>
      <c r="Y1268">
        <v>0</v>
      </c>
      <c r="AA1268">
        <v>0</v>
      </c>
    </row>
    <row r="1269" spans="1:27">
      <c r="A1269" t="s">
        <v>1300</v>
      </c>
      <c r="B1269" s="3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S1269">
        <v>0</v>
      </c>
      <c r="U1269">
        <v>0</v>
      </c>
      <c r="W1269">
        <v>0</v>
      </c>
      <c r="Y1269">
        <v>0</v>
      </c>
      <c r="AA1269">
        <v>0</v>
      </c>
    </row>
    <row r="1270" spans="1:27">
      <c r="A1270" t="s">
        <v>1301</v>
      </c>
      <c r="B1270" s="3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S1270">
        <v>0</v>
      </c>
      <c r="U1270">
        <v>0</v>
      </c>
      <c r="W1270">
        <v>0</v>
      </c>
      <c r="Y1270">
        <v>0</v>
      </c>
      <c r="AA1270">
        <v>1</v>
      </c>
    </row>
    <row r="1271" spans="1:27">
      <c r="A1271" t="s">
        <v>1302</v>
      </c>
      <c r="B1271" s="3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S1271">
        <v>0</v>
      </c>
      <c r="U1271">
        <v>1</v>
      </c>
      <c r="W1271">
        <v>1</v>
      </c>
      <c r="Y1271">
        <v>0</v>
      </c>
      <c r="AA1271">
        <v>0</v>
      </c>
    </row>
    <row r="1272" spans="1:27">
      <c r="A1272" t="s">
        <v>1303</v>
      </c>
      <c r="B1272" s="3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S1272">
        <v>0</v>
      </c>
      <c r="U1272">
        <v>1</v>
      </c>
      <c r="W1272">
        <v>0</v>
      </c>
      <c r="Y1272">
        <v>0</v>
      </c>
      <c r="AA1272">
        <v>1</v>
      </c>
    </row>
    <row r="1273" spans="1:27">
      <c r="A1273" t="s">
        <v>1304</v>
      </c>
      <c r="B1273" s="3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S1273">
        <v>0</v>
      </c>
      <c r="U1273">
        <v>1</v>
      </c>
      <c r="W1273">
        <v>0</v>
      </c>
      <c r="Y1273">
        <v>0</v>
      </c>
      <c r="AA1273">
        <v>0</v>
      </c>
    </row>
    <row r="1274" spans="1:27">
      <c r="A1274" t="s">
        <v>1305</v>
      </c>
      <c r="B1274" s="3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S1274">
        <v>0</v>
      </c>
      <c r="U1274">
        <v>1</v>
      </c>
      <c r="W1274">
        <v>1</v>
      </c>
      <c r="Y1274">
        <v>1</v>
      </c>
      <c r="AA1274">
        <v>3</v>
      </c>
    </row>
    <row r="1275" spans="1:27">
      <c r="A1275" t="s">
        <v>1306</v>
      </c>
      <c r="B1275" s="3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S1275">
        <v>0</v>
      </c>
      <c r="U1275">
        <v>1</v>
      </c>
      <c r="W1275">
        <v>0</v>
      </c>
      <c r="Y1275">
        <v>0</v>
      </c>
      <c r="AA1275">
        <v>0</v>
      </c>
    </row>
    <row r="1276" spans="1:27">
      <c r="A1276" t="s">
        <v>1307</v>
      </c>
      <c r="B1276" s="3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S1276">
        <v>0</v>
      </c>
      <c r="U1276">
        <v>1</v>
      </c>
      <c r="W1276">
        <v>1</v>
      </c>
      <c r="Y1276">
        <v>1</v>
      </c>
      <c r="AA1276">
        <v>1</v>
      </c>
    </row>
    <row r="1277" spans="1:27">
      <c r="A1277" t="s">
        <v>1308</v>
      </c>
      <c r="B1277" s="3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S1277">
        <v>0</v>
      </c>
      <c r="U1277">
        <v>1</v>
      </c>
      <c r="W1277">
        <v>1</v>
      </c>
      <c r="Y1277">
        <v>0</v>
      </c>
      <c r="AA1277">
        <v>0</v>
      </c>
    </row>
    <row r="1278" spans="1:27">
      <c r="A1278" t="s">
        <v>1309</v>
      </c>
      <c r="B1278" s="3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S1278">
        <v>0</v>
      </c>
      <c r="U1278">
        <v>1</v>
      </c>
      <c r="W1278">
        <v>1</v>
      </c>
      <c r="Y1278">
        <v>1</v>
      </c>
      <c r="AA1278">
        <v>0</v>
      </c>
    </row>
    <row r="1279" spans="1:27">
      <c r="A1279" t="s">
        <v>1310</v>
      </c>
      <c r="B1279" s="3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S1279">
        <v>0</v>
      </c>
      <c r="U1279">
        <v>1</v>
      </c>
      <c r="W1279">
        <v>0</v>
      </c>
      <c r="Y1279">
        <v>0</v>
      </c>
      <c r="AA1279">
        <v>0</v>
      </c>
    </row>
    <row r="1280" spans="1:27">
      <c r="A1280" t="s">
        <v>1311</v>
      </c>
      <c r="B1280" s="3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S1280">
        <v>0</v>
      </c>
      <c r="U1280">
        <v>0</v>
      </c>
      <c r="W1280">
        <v>0</v>
      </c>
      <c r="Y1280">
        <v>0</v>
      </c>
      <c r="AA1280">
        <v>0</v>
      </c>
    </row>
    <row r="1281" spans="1:27">
      <c r="A1281" t="s">
        <v>1312</v>
      </c>
      <c r="B1281" s="3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S1281">
        <v>0</v>
      </c>
      <c r="U1281">
        <v>0</v>
      </c>
      <c r="W1281">
        <v>0</v>
      </c>
      <c r="Y1281">
        <v>0</v>
      </c>
      <c r="AA1281">
        <v>0</v>
      </c>
    </row>
    <row r="1282" spans="1:27">
      <c r="A1282" t="s">
        <v>1313</v>
      </c>
      <c r="B1282" s="3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S1282">
        <v>0</v>
      </c>
      <c r="U1282">
        <v>1</v>
      </c>
      <c r="W1282">
        <v>1</v>
      </c>
      <c r="Y1282">
        <v>1</v>
      </c>
      <c r="AA1282">
        <v>0</v>
      </c>
    </row>
    <row r="1283" spans="1:27">
      <c r="A1283" t="s">
        <v>1314</v>
      </c>
      <c r="B1283" s="3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S1283">
        <v>0</v>
      </c>
      <c r="U1283">
        <v>1</v>
      </c>
      <c r="W1283">
        <v>1</v>
      </c>
      <c r="Y1283">
        <v>0</v>
      </c>
      <c r="AA1283">
        <v>0</v>
      </c>
    </row>
    <row r="1284" spans="1:27">
      <c r="A1284" t="s">
        <v>1315</v>
      </c>
      <c r="B1284" s="3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S1284">
        <v>0</v>
      </c>
      <c r="U1284">
        <v>0</v>
      </c>
      <c r="W1284">
        <v>0</v>
      </c>
      <c r="Y1284">
        <v>0</v>
      </c>
      <c r="AA1284">
        <v>1</v>
      </c>
    </row>
    <row r="1285" spans="1:27">
      <c r="A1285" t="s">
        <v>1316</v>
      </c>
      <c r="B1285" s="3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S1285">
        <v>0</v>
      </c>
      <c r="U1285">
        <v>1</v>
      </c>
      <c r="W1285">
        <v>1</v>
      </c>
      <c r="Y1285">
        <v>1</v>
      </c>
      <c r="AA1285">
        <v>0</v>
      </c>
    </row>
    <row r="1286" spans="1:27">
      <c r="A1286" t="s">
        <v>1317</v>
      </c>
      <c r="B1286" s="3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S1286">
        <v>0</v>
      </c>
      <c r="U1286">
        <v>1</v>
      </c>
      <c r="W1286">
        <v>0</v>
      </c>
      <c r="Y1286">
        <v>0</v>
      </c>
      <c r="AA1286">
        <v>0</v>
      </c>
    </row>
    <row r="1287" spans="1:27">
      <c r="A1287" t="s">
        <v>1318</v>
      </c>
      <c r="B1287" s="3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S1287">
        <v>0</v>
      </c>
      <c r="U1287">
        <v>0</v>
      </c>
      <c r="W1287">
        <v>0</v>
      </c>
      <c r="Y1287">
        <v>0</v>
      </c>
      <c r="AA1287">
        <v>2</v>
      </c>
    </row>
    <row r="1288" spans="1:27">
      <c r="A1288" t="s">
        <v>1319</v>
      </c>
      <c r="B1288" s="3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S1288">
        <v>0</v>
      </c>
      <c r="U1288">
        <v>1</v>
      </c>
      <c r="W1288">
        <v>0</v>
      </c>
      <c r="Y1288">
        <v>0</v>
      </c>
      <c r="AA1288">
        <v>1</v>
      </c>
    </row>
    <row r="1289" spans="1:27">
      <c r="A1289" t="s">
        <v>1320</v>
      </c>
      <c r="B1289" s="3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S1289">
        <v>0</v>
      </c>
      <c r="U1289">
        <v>0</v>
      </c>
      <c r="W1289">
        <v>0</v>
      </c>
      <c r="Y1289">
        <v>0</v>
      </c>
      <c r="AA1289">
        <v>0</v>
      </c>
    </row>
    <row r="1290" spans="1:27">
      <c r="A1290" t="s">
        <v>1321</v>
      </c>
      <c r="B1290" s="3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S1290">
        <v>0</v>
      </c>
      <c r="U1290">
        <v>1</v>
      </c>
      <c r="W1290">
        <v>1</v>
      </c>
      <c r="Y1290">
        <v>1</v>
      </c>
      <c r="AA1290">
        <v>1</v>
      </c>
    </row>
    <row r="1291" spans="1:27">
      <c r="A1291" t="s">
        <v>1322</v>
      </c>
      <c r="B1291" s="3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S1291">
        <v>0</v>
      </c>
      <c r="U1291">
        <v>1</v>
      </c>
      <c r="W1291">
        <v>0</v>
      </c>
      <c r="Y1291">
        <v>0</v>
      </c>
      <c r="AA1291">
        <v>0</v>
      </c>
    </row>
    <row r="1292" spans="1:27">
      <c r="A1292" t="s">
        <v>1323</v>
      </c>
      <c r="B1292" s="3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S1292">
        <v>0</v>
      </c>
      <c r="U1292">
        <v>1</v>
      </c>
      <c r="W1292">
        <v>0</v>
      </c>
      <c r="Y1292">
        <v>0</v>
      </c>
      <c r="AA1292">
        <v>0</v>
      </c>
    </row>
    <row r="1293" spans="1:27">
      <c r="A1293" t="s">
        <v>1324</v>
      </c>
      <c r="B1293" s="3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S1293">
        <v>0</v>
      </c>
      <c r="U1293">
        <v>0</v>
      </c>
      <c r="W1293">
        <v>0</v>
      </c>
      <c r="Y1293">
        <v>0</v>
      </c>
      <c r="AA1293">
        <v>0</v>
      </c>
    </row>
    <row r="1294" spans="1:27">
      <c r="A1294" t="s">
        <v>1325</v>
      </c>
      <c r="B1294" s="3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S1294">
        <v>0</v>
      </c>
      <c r="U1294">
        <v>0</v>
      </c>
      <c r="W1294">
        <v>0</v>
      </c>
      <c r="Y1294">
        <v>0</v>
      </c>
      <c r="AA1294">
        <v>0</v>
      </c>
    </row>
    <row r="1295" spans="1:27">
      <c r="A1295" t="s">
        <v>1326</v>
      </c>
      <c r="B1295" s="3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S1295">
        <v>0</v>
      </c>
      <c r="U1295">
        <v>0</v>
      </c>
      <c r="W1295">
        <v>0</v>
      </c>
      <c r="Y1295">
        <v>0</v>
      </c>
      <c r="AA1295">
        <v>0</v>
      </c>
    </row>
    <row r="1296" spans="1:27">
      <c r="A1296" t="s">
        <v>1327</v>
      </c>
      <c r="B1296" s="3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S1296">
        <v>0</v>
      </c>
      <c r="U1296">
        <v>1</v>
      </c>
      <c r="W1296">
        <v>0</v>
      </c>
      <c r="Y1296">
        <v>0</v>
      </c>
      <c r="AA1296">
        <v>0</v>
      </c>
    </row>
    <row r="1297" spans="1:27">
      <c r="A1297" t="s">
        <v>1328</v>
      </c>
      <c r="B1297" s="3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S1297">
        <v>0</v>
      </c>
      <c r="U1297">
        <v>1</v>
      </c>
      <c r="W1297">
        <v>0</v>
      </c>
      <c r="Y1297">
        <v>0</v>
      </c>
      <c r="AA1297">
        <v>0</v>
      </c>
    </row>
    <row r="1298" spans="1:27">
      <c r="A1298" t="s">
        <v>1329</v>
      </c>
      <c r="B1298" s="3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S1298">
        <v>0</v>
      </c>
      <c r="U1298">
        <v>1</v>
      </c>
      <c r="W1298">
        <v>1</v>
      </c>
      <c r="Y1298">
        <v>1</v>
      </c>
      <c r="AA1298">
        <v>0</v>
      </c>
    </row>
    <row r="1299" spans="1:27">
      <c r="A1299" t="s">
        <v>1330</v>
      </c>
      <c r="B1299" s="3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S1299">
        <v>1</v>
      </c>
      <c r="U1299">
        <v>0</v>
      </c>
      <c r="W1299">
        <v>0</v>
      </c>
      <c r="Y1299">
        <v>0</v>
      </c>
      <c r="AA1299">
        <v>1</v>
      </c>
    </row>
    <row r="1300" spans="1:27">
      <c r="A1300" t="s">
        <v>1331</v>
      </c>
      <c r="B1300" s="3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S1300">
        <v>0</v>
      </c>
      <c r="U1300">
        <v>0</v>
      </c>
      <c r="W1300">
        <v>0</v>
      </c>
      <c r="Y1300">
        <v>0</v>
      </c>
      <c r="AA1300">
        <v>3</v>
      </c>
    </row>
    <row r="1301" spans="1:27">
      <c r="A1301" t="s">
        <v>1332</v>
      </c>
      <c r="B1301" s="3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S1301">
        <v>0</v>
      </c>
      <c r="U1301">
        <v>1</v>
      </c>
      <c r="W1301">
        <v>0</v>
      </c>
      <c r="Y1301">
        <v>0</v>
      </c>
      <c r="AA1301">
        <v>0</v>
      </c>
    </row>
    <row r="1302" spans="1:27">
      <c r="A1302" t="s">
        <v>1333</v>
      </c>
      <c r="B1302" s="3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S1302">
        <v>0</v>
      </c>
      <c r="U1302">
        <v>1</v>
      </c>
      <c r="W1302">
        <v>0</v>
      </c>
      <c r="Y1302">
        <v>0</v>
      </c>
      <c r="AA1302">
        <v>0</v>
      </c>
    </row>
    <row r="1303" spans="1:27">
      <c r="A1303" t="s">
        <v>1334</v>
      </c>
      <c r="B1303" s="3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S1303">
        <v>0</v>
      </c>
      <c r="U1303">
        <v>1</v>
      </c>
      <c r="W1303">
        <v>0</v>
      </c>
      <c r="Y1303">
        <v>0</v>
      </c>
      <c r="AA1303">
        <v>2</v>
      </c>
    </row>
    <row r="1304" spans="1:27">
      <c r="A1304" t="s">
        <v>1335</v>
      </c>
      <c r="B1304" s="3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S1304">
        <v>0</v>
      </c>
      <c r="U1304">
        <v>1</v>
      </c>
      <c r="W1304">
        <v>1</v>
      </c>
      <c r="Y1304">
        <v>1</v>
      </c>
      <c r="AA1304">
        <v>0</v>
      </c>
    </row>
    <row r="1305" spans="1:27">
      <c r="A1305" t="s">
        <v>1336</v>
      </c>
      <c r="B1305" s="3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S1305">
        <v>0</v>
      </c>
      <c r="U1305">
        <v>1</v>
      </c>
      <c r="W1305">
        <v>1</v>
      </c>
      <c r="Y1305">
        <v>1</v>
      </c>
      <c r="AA1305">
        <v>0</v>
      </c>
    </row>
    <row r="1306" spans="1:27">
      <c r="A1306" t="s">
        <v>1337</v>
      </c>
      <c r="B1306" s="3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S1306">
        <v>0</v>
      </c>
      <c r="U1306">
        <v>0</v>
      </c>
      <c r="W1306">
        <v>0</v>
      </c>
      <c r="Y1306">
        <v>0</v>
      </c>
      <c r="AA1306">
        <v>1</v>
      </c>
    </row>
    <row r="1307" spans="1:27">
      <c r="A1307" t="s">
        <v>1338</v>
      </c>
      <c r="B1307" s="3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S1307">
        <v>0</v>
      </c>
      <c r="U1307">
        <v>0</v>
      </c>
      <c r="W1307">
        <v>0</v>
      </c>
      <c r="Y1307">
        <v>0</v>
      </c>
      <c r="AA1307">
        <v>0</v>
      </c>
    </row>
    <row r="1308" spans="1:27">
      <c r="A1308" t="s">
        <v>1339</v>
      </c>
      <c r="B1308" s="3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S1308">
        <v>0</v>
      </c>
      <c r="U1308">
        <v>1</v>
      </c>
      <c r="W1308">
        <v>0</v>
      </c>
      <c r="Y1308">
        <v>0</v>
      </c>
      <c r="AA1308">
        <v>0</v>
      </c>
    </row>
    <row r="1309" spans="1:27">
      <c r="A1309" t="s">
        <v>1340</v>
      </c>
      <c r="B1309" s="3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S1309">
        <v>0</v>
      </c>
      <c r="U1309">
        <v>1</v>
      </c>
      <c r="W1309">
        <v>0</v>
      </c>
      <c r="Y1309">
        <v>0</v>
      </c>
      <c r="AA1309">
        <v>0</v>
      </c>
    </row>
    <row r="1310" spans="1:27">
      <c r="A1310" t="s">
        <v>1341</v>
      </c>
      <c r="B1310" s="3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S1310">
        <v>0</v>
      </c>
      <c r="U1310">
        <v>1</v>
      </c>
      <c r="W1310">
        <v>1</v>
      </c>
      <c r="Y1310">
        <v>1</v>
      </c>
      <c r="AA1310">
        <v>0</v>
      </c>
    </row>
    <row r="1311" spans="1:27">
      <c r="A1311" t="s">
        <v>1342</v>
      </c>
      <c r="B1311" s="3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S1311">
        <v>0</v>
      </c>
      <c r="U1311">
        <v>1</v>
      </c>
      <c r="W1311">
        <v>0</v>
      </c>
      <c r="Y1311">
        <v>0</v>
      </c>
      <c r="AA1311">
        <v>0</v>
      </c>
    </row>
    <row r="1312" spans="1:27">
      <c r="A1312" t="s">
        <v>1343</v>
      </c>
      <c r="B1312" s="3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S1312">
        <v>0</v>
      </c>
      <c r="U1312">
        <v>1</v>
      </c>
      <c r="W1312">
        <v>1</v>
      </c>
      <c r="Y1312">
        <v>1</v>
      </c>
      <c r="AA1312">
        <v>0</v>
      </c>
    </row>
    <row r="1313" spans="1:27">
      <c r="A1313" t="s">
        <v>1344</v>
      </c>
      <c r="B1313" s="3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S1313">
        <v>1</v>
      </c>
      <c r="U1313">
        <v>0</v>
      </c>
      <c r="W1313">
        <v>0</v>
      </c>
      <c r="Y1313">
        <v>0</v>
      </c>
      <c r="AA1313">
        <v>0</v>
      </c>
    </row>
    <row r="1314" spans="1:27">
      <c r="A1314" t="s">
        <v>1345</v>
      </c>
      <c r="B1314" s="3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S1314">
        <v>0</v>
      </c>
      <c r="U1314">
        <v>0</v>
      </c>
      <c r="W1314">
        <v>0</v>
      </c>
      <c r="Y1314">
        <v>0</v>
      </c>
      <c r="AA1314">
        <v>1</v>
      </c>
    </row>
    <row r="1315" spans="1:27">
      <c r="A1315" t="s">
        <v>1346</v>
      </c>
      <c r="B1315" s="3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S1315">
        <v>0</v>
      </c>
      <c r="U1315">
        <v>1</v>
      </c>
      <c r="W1315">
        <v>0</v>
      </c>
      <c r="Y1315">
        <v>0</v>
      </c>
      <c r="AA1315">
        <v>0</v>
      </c>
    </row>
    <row r="1316" spans="1:27">
      <c r="A1316" t="s">
        <v>1347</v>
      </c>
      <c r="B1316" s="3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S1316">
        <v>0</v>
      </c>
      <c r="U1316">
        <v>1</v>
      </c>
      <c r="W1316">
        <v>1</v>
      </c>
      <c r="Y1316">
        <v>1</v>
      </c>
      <c r="AA1316">
        <v>1</v>
      </c>
    </row>
    <row r="1317" spans="1:27">
      <c r="A1317" t="s">
        <v>1348</v>
      </c>
      <c r="B1317" s="3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S1317">
        <v>0</v>
      </c>
      <c r="U1317">
        <v>0</v>
      </c>
      <c r="W1317">
        <v>0</v>
      </c>
      <c r="Y1317">
        <v>0</v>
      </c>
      <c r="AA1317">
        <v>0</v>
      </c>
    </row>
    <row r="1318" spans="1:27">
      <c r="A1318" t="s">
        <v>1349</v>
      </c>
      <c r="B1318" s="3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S1318">
        <v>0</v>
      </c>
      <c r="U1318">
        <v>1</v>
      </c>
      <c r="W1318">
        <v>0</v>
      </c>
      <c r="Y1318">
        <v>0</v>
      </c>
      <c r="AA1318">
        <v>0</v>
      </c>
    </row>
    <row r="1319" spans="1:27">
      <c r="A1319" t="s">
        <v>1350</v>
      </c>
      <c r="B1319" s="3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S1319">
        <v>0</v>
      </c>
      <c r="U1319">
        <v>1</v>
      </c>
      <c r="W1319">
        <v>0</v>
      </c>
      <c r="Y1319">
        <v>0</v>
      </c>
      <c r="AA1319">
        <v>0</v>
      </c>
    </row>
    <row r="1320" spans="1:27">
      <c r="A1320" t="s">
        <v>1351</v>
      </c>
      <c r="B1320" s="3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S1320">
        <v>0</v>
      </c>
      <c r="U1320">
        <v>1</v>
      </c>
      <c r="W1320">
        <v>1</v>
      </c>
      <c r="Y1320">
        <v>1</v>
      </c>
      <c r="AA1320">
        <v>0</v>
      </c>
    </row>
    <row r="1321" spans="1:27">
      <c r="A1321" t="s">
        <v>1352</v>
      </c>
      <c r="B1321" s="3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S1321">
        <v>1</v>
      </c>
      <c r="U1321">
        <v>1</v>
      </c>
      <c r="W1321">
        <v>1</v>
      </c>
      <c r="Y1321">
        <v>0</v>
      </c>
      <c r="AA1321">
        <v>1</v>
      </c>
    </row>
    <row r="1322" spans="1:27">
      <c r="A1322" t="s">
        <v>1353</v>
      </c>
      <c r="B1322" s="3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S1322">
        <v>0</v>
      </c>
      <c r="U1322">
        <v>1</v>
      </c>
      <c r="W1322">
        <v>0</v>
      </c>
      <c r="Y1322">
        <v>0</v>
      </c>
      <c r="AA1322">
        <v>0</v>
      </c>
    </row>
    <row r="1323" spans="1:27">
      <c r="A1323" t="s">
        <v>1354</v>
      </c>
      <c r="B1323" s="3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S1323">
        <v>0</v>
      </c>
      <c r="U1323">
        <v>1</v>
      </c>
      <c r="W1323">
        <v>1</v>
      </c>
      <c r="Y1323">
        <v>1</v>
      </c>
      <c r="AA1323">
        <v>0</v>
      </c>
    </row>
    <row r="1324" spans="1:27">
      <c r="A1324" t="s">
        <v>1355</v>
      </c>
      <c r="B1324" s="3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S1324">
        <v>1</v>
      </c>
      <c r="U1324">
        <v>0</v>
      </c>
      <c r="W1324">
        <v>0</v>
      </c>
      <c r="Y1324">
        <v>0</v>
      </c>
      <c r="AA1324">
        <v>0</v>
      </c>
    </row>
    <row r="1325" spans="1:27">
      <c r="A1325" t="s">
        <v>1356</v>
      </c>
      <c r="B1325" s="3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S1325">
        <v>0</v>
      </c>
      <c r="U1325">
        <v>1</v>
      </c>
      <c r="W1325">
        <v>0</v>
      </c>
      <c r="Y1325">
        <v>0</v>
      </c>
      <c r="AA1325">
        <v>1</v>
      </c>
    </row>
    <row r="1326" spans="1:27">
      <c r="A1326" t="s">
        <v>1357</v>
      </c>
      <c r="B1326" s="3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S1326">
        <v>0</v>
      </c>
      <c r="U1326">
        <v>1</v>
      </c>
      <c r="W1326">
        <v>0</v>
      </c>
      <c r="Y1326">
        <v>0</v>
      </c>
      <c r="AA1326">
        <v>0</v>
      </c>
    </row>
    <row r="1327" spans="1:27">
      <c r="A1327" t="s">
        <v>1358</v>
      </c>
      <c r="B1327" s="3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S1327">
        <v>0</v>
      </c>
      <c r="U1327">
        <v>1</v>
      </c>
      <c r="W1327">
        <v>0</v>
      </c>
      <c r="Y1327">
        <v>0</v>
      </c>
      <c r="AA1327">
        <v>0</v>
      </c>
    </row>
    <row r="1328" spans="1:27">
      <c r="A1328" t="s">
        <v>1359</v>
      </c>
      <c r="B1328" s="3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S1328">
        <v>0</v>
      </c>
      <c r="U1328">
        <v>0</v>
      </c>
      <c r="W1328">
        <v>0</v>
      </c>
      <c r="Y1328">
        <v>0</v>
      </c>
      <c r="AA1328">
        <v>0</v>
      </c>
    </row>
    <row r="1329" spans="1:27">
      <c r="A1329" t="s">
        <v>1360</v>
      </c>
      <c r="B1329" s="3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S1329">
        <v>0</v>
      </c>
      <c r="U1329">
        <v>0</v>
      </c>
      <c r="W1329">
        <v>0</v>
      </c>
      <c r="Y1329">
        <v>0</v>
      </c>
      <c r="AA1329">
        <v>0</v>
      </c>
    </row>
    <row r="1330" spans="1:27">
      <c r="A1330" t="s">
        <v>1361</v>
      </c>
      <c r="B1330" s="3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S1330">
        <v>0</v>
      </c>
      <c r="U1330">
        <v>0</v>
      </c>
      <c r="W1330">
        <v>0</v>
      </c>
      <c r="Y1330">
        <v>0</v>
      </c>
      <c r="AA1330">
        <v>0</v>
      </c>
    </row>
    <row r="1331" spans="1:27">
      <c r="A1331" t="s">
        <v>1362</v>
      </c>
      <c r="B1331" s="3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S1331">
        <v>0</v>
      </c>
      <c r="U1331">
        <v>1</v>
      </c>
      <c r="W1331">
        <v>0</v>
      </c>
      <c r="Y1331">
        <v>0</v>
      </c>
      <c r="AA1331">
        <v>0</v>
      </c>
    </row>
    <row r="1332" spans="1:27">
      <c r="A1332" t="s">
        <v>1363</v>
      </c>
      <c r="B1332" s="3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S1332">
        <v>0</v>
      </c>
      <c r="U1332">
        <v>0</v>
      </c>
      <c r="W1332">
        <v>0</v>
      </c>
      <c r="Y1332">
        <v>0</v>
      </c>
      <c r="AA1332">
        <v>0</v>
      </c>
    </row>
    <row r="1333" spans="1:27">
      <c r="A1333" t="s">
        <v>1364</v>
      </c>
      <c r="B1333" s="3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S1333">
        <v>0</v>
      </c>
      <c r="U1333">
        <v>1</v>
      </c>
      <c r="W1333">
        <v>0</v>
      </c>
      <c r="Y1333">
        <v>0</v>
      </c>
      <c r="AA1333">
        <v>0</v>
      </c>
    </row>
    <row r="1334" spans="1:27">
      <c r="A1334" t="s">
        <v>1365</v>
      </c>
      <c r="B1334" s="3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S1334">
        <v>0</v>
      </c>
      <c r="U1334">
        <v>1</v>
      </c>
      <c r="W1334">
        <v>0</v>
      </c>
      <c r="Y1334">
        <v>0</v>
      </c>
      <c r="AA1334">
        <v>0</v>
      </c>
    </row>
    <row r="1335" spans="1:27">
      <c r="A1335" t="s">
        <v>1366</v>
      </c>
      <c r="B1335" s="3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S1335">
        <v>0</v>
      </c>
      <c r="U1335">
        <v>0</v>
      </c>
      <c r="W1335">
        <v>0</v>
      </c>
      <c r="Y1335">
        <v>0</v>
      </c>
      <c r="AA1335">
        <v>0</v>
      </c>
    </row>
    <row r="1336" spans="1:27">
      <c r="A1336" t="s">
        <v>1367</v>
      </c>
      <c r="B1336" s="3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S1336">
        <v>0</v>
      </c>
      <c r="U1336">
        <v>1</v>
      </c>
      <c r="W1336">
        <v>0</v>
      </c>
      <c r="Y1336">
        <v>0</v>
      </c>
      <c r="AA1336">
        <v>0</v>
      </c>
    </row>
    <row r="1337" spans="1:27">
      <c r="A1337" t="s">
        <v>1368</v>
      </c>
      <c r="B1337" s="3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S1337">
        <v>0</v>
      </c>
      <c r="U1337">
        <v>1</v>
      </c>
      <c r="W1337">
        <v>0</v>
      </c>
      <c r="Y1337">
        <v>0</v>
      </c>
      <c r="AA1337">
        <v>0</v>
      </c>
    </row>
    <row r="1338" spans="1:27">
      <c r="A1338" t="s">
        <v>1369</v>
      </c>
      <c r="B1338" s="3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S1338">
        <v>0</v>
      </c>
      <c r="U1338">
        <v>1</v>
      </c>
      <c r="W1338">
        <v>0</v>
      </c>
      <c r="Y1338">
        <v>0</v>
      </c>
      <c r="AA1338">
        <v>0</v>
      </c>
    </row>
    <row r="1339" spans="1:27">
      <c r="A1339" t="s">
        <v>1370</v>
      </c>
      <c r="B1339" s="3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S1339">
        <v>0</v>
      </c>
      <c r="U1339">
        <v>0</v>
      </c>
      <c r="W1339">
        <v>0</v>
      </c>
      <c r="Y1339">
        <v>0</v>
      </c>
      <c r="AA1339">
        <v>0</v>
      </c>
    </row>
    <row r="1340" spans="1:27">
      <c r="A1340" t="s">
        <v>1371</v>
      </c>
      <c r="B1340" s="3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S1340">
        <v>0</v>
      </c>
      <c r="U1340">
        <v>1</v>
      </c>
      <c r="W1340">
        <v>0</v>
      </c>
      <c r="Y1340">
        <v>0</v>
      </c>
      <c r="AA1340">
        <v>0</v>
      </c>
    </row>
    <row r="1341" spans="1:27">
      <c r="A1341" t="s">
        <v>1372</v>
      </c>
      <c r="B1341" s="3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S1341">
        <v>0</v>
      </c>
      <c r="U1341">
        <v>0</v>
      </c>
      <c r="W1341">
        <v>0</v>
      </c>
      <c r="Y1341">
        <v>0</v>
      </c>
      <c r="AA1341">
        <v>0</v>
      </c>
    </row>
    <row r="1342" spans="1:27">
      <c r="A1342" t="s">
        <v>1373</v>
      </c>
      <c r="B1342" s="3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S1342">
        <v>0</v>
      </c>
      <c r="U1342">
        <v>1</v>
      </c>
      <c r="W1342">
        <v>1</v>
      </c>
      <c r="Y1342">
        <v>0</v>
      </c>
      <c r="AA1342">
        <v>1</v>
      </c>
    </row>
    <row r="1343" spans="1:27">
      <c r="A1343" t="s">
        <v>1374</v>
      </c>
      <c r="B1343" s="3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S1343">
        <v>0</v>
      </c>
      <c r="U1343">
        <v>1</v>
      </c>
      <c r="W1343">
        <v>0</v>
      </c>
      <c r="Y1343">
        <v>0</v>
      </c>
      <c r="AA1343">
        <v>0</v>
      </c>
    </row>
    <row r="1344" spans="1:27">
      <c r="A1344" t="s">
        <v>1375</v>
      </c>
      <c r="B1344" s="3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S1344">
        <v>0</v>
      </c>
      <c r="U1344">
        <v>1</v>
      </c>
      <c r="W1344">
        <v>0</v>
      </c>
      <c r="Y1344">
        <v>0</v>
      </c>
      <c r="AA1344">
        <v>0</v>
      </c>
    </row>
    <row r="1345" spans="1:27">
      <c r="A1345" t="s">
        <v>1376</v>
      </c>
      <c r="B1345" s="3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S1345">
        <v>0</v>
      </c>
      <c r="U1345">
        <v>1</v>
      </c>
      <c r="W1345">
        <v>1</v>
      </c>
      <c r="Y1345">
        <v>0</v>
      </c>
      <c r="AA1345">
        <v>1</v>
      </c>
    </row>
    <row r="1346" spans="1:27">
      <c r="A1346" t="s">
        <v>1377</v>
      </c>
      <c r="B1346" s="3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S1346">
        <v>0</v>
      </c>
      <c r="U1346">
        <v>1</v>
      </c>
      <c r="W1346">
        <v>0</v>
      </c>
      <c r="Y1346">
        <v>0</v>
      </c>
      <c r="AA1346">
        <v>1</v>
      </c>
    </row>
    <row r="1347" spans="1:27">
      <c r="A1347" t="s">
        <v>1378</v>
      </c>
      <c r="B1347" s="3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S1347">
        <v>0</v>
      </c>
      <c r="U1347">
        <v>1</v>
      </c>
      <c r="W1347">
        <v>0</v>
      </c>
      <c r="Y1347">
        <v>0</v>
      </c>
      <c r="AA1347">
        <v>0</v>
      </c>
    </row>
    <row r="1348" spans="1:27">
      <c r="A1348" t="s">
        <v>1379</v>
      </c>
      <c r="B1348" s="3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S1348">
        <v>0</v>
      </c>
      <c r="U1348">
        <v>1</v>
      </c>
      <c r="W1348">
        <v>1</v>
      </c>
      <c r="Y1348">
        <v>1</v>
      </c>
      <c r="AA1348">
        <v>1</v>
      </c>
    </row>
    <row r="1349" spans="1:27">
      <c r="A1349" t="s">
        <v>1380</v>
      </c>
      <c r="B1349" s="3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S1349">
        <v>0</v>
      </c>
      <c r="U1349">
        <v>1</v>
      </c>
      <c r="W1349">
        <v>0</v>
      </c>
      <c r="Y1349">
        <v>0</v>
      </c>
      <c r="AA1349">
        <v>0</v>
      </c>
    </row>
    <row r="1350" spans="1:27">
      <c r="A1350" t="s">
        <v>1381</v>
      </c>
      <c r="B1350" s="3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S1350">
        <v>0</v>
      </c>
      <c r="U1350">
        <v>1</v>
      </c>
      <c r="W1350">
        <v>1</v>
      </c>
      <c r="Y1350">
        <v>1</v>
      </c>
      <c r="AA1350">
        <v>1</v>
      </c>
    </row>
    <row r="1351" spans="1:27">
      <c r="A1351" t="s">
        <v>1382</v>
      </c>
      <c r="B1351" s="3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S1351">
        <v>0</v>
      </c>
      <c r="U1351">
        <v>1</v>
      </c>
      <c r="W1351">
        <v>1</v>
      </c>
      <c r="Y1351">
        <v>1</v>
      </c>
      <c r="AA1351">
        <v>0</v>
      </c>
    </row>
    <row r="1352" spans="1:27">
      <c r="A1352" t="s">
        <v>1383</v>
      </c>
      <c r="B1352" s="3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S1352">
        <v>1</v>
      </c>
      <c r="U1352">
        <v>0</v>
      </c>
      <c r="W1352">
        <v>0</v>
      </c>
      <c r="Y1352">
        <v>0</v>
      </c>
      <c r="AA1352">
        <v>1</v>
      </c>
    </row>
    <row r="1353" spans="1:27">
      <c r="A1353" t="s">
        <v>1384</v>
      </c>
      <c r="B1353" s="3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S1353">
        <v>0</v>
      </c>
      <c r="U1353">
        <v>1</v>
      </c>
      <c r="W1353">
        <v>0</v>
      </c>
      <c r="Y1353">
        <v>0</v>
      </c>
      <c r="AA1353">
        <v>0</v>
      </c>
    </row>
    <row r="1354" spans="1:27">
      <c r="A1354" t="s">
        <v>1385</v>
      </c>
      <c r="B1354" s="3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S1354">
        <v>0</v>
      </c>
      <c r="U1354">
        <v>1</v>
      </c>
      <c r="W1354">
        <v>0</v>
      </c>
      <c r="Y1354">
        <v>0</v>
      </c>
      <c r="AA1354">
        <v>1</v>
      </c>
    </row>
    <row r="1355" spans="1:27">
      <c r="A1355" t="s">
        <v>1386</v>
      </c>
      <c r="B1355" s="3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S1355">
        <v>0</v>
      </c>
      <c r="U1355">
        <v>0</v>
      </c>
      <c r="W1355">
        <v>0</v>
      </c>
      <c r="Y1355">
        <v>0</v>
      </c>
      <c r="AA1355">
        <v>0</v>
      </c>
    </row>
    <row r="1356" spans="1:27">
      <c r="A1356" t="s">
        <v>1387</v>
      </c>
      <c r="B1356" s="3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S1356">
        <v>0</v>
      </c>
      <c r="U1356">
        <v>1</v>
      </c>
      <c r="W1356">
        <v>0</v>
      </c>
      <c r="Y1356">
        <v>0</v>
      </c>
      <c r="AA1356">
        <v>0</v>
      </c>
    </row>
    <row r="1357" spans="1:27">
      <c r="A1357" t="s">
        <v>1388</v>
      </c>
      <c r="B1357" s="3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S1357">
        <v>0</v>
      </c>
      <c r="U1357">
        <v>1</v>
      </c>
      <c r="W1357">
        <v>1</v>
      </c>
      <c r="Y1357">
        <v>1</v>
      </c>
      <c r="AA1357">
        <v>0</v>
      </c>
    </row>
    <row r="1358" spans="1:27">
      <c r="A1358" t="s">
        <v>1389</v>
      </c>
      <c r="B1358" s="3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S1358">
        <v>0</v>
      </c>
      <c r="U1358">
        <v>1</v>
      </c>
      <c r="W1358">
        <v>0</v>
      </c>
      <c r="Y1358">
        <v>0</v>
      </c>
      <c r="AA1358">
        <v>1</v>
      </c>
    </row>
    <row r="1359" spans="1:27">
      <c r="A1359" t="s">
        <v>1390</v>
      </c>
      <c r="B1359" s="3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S1359">
        <v>0</v>
      </c>
      <c r="U1359">
        <v>1</v>
      </c>
      <c r="W1359">
        <v>0</v>
      </c>
      <c r="Y1359">
        <v>0</v>
      </c>
      <c r="AA1359">
        <v>0</v>
      </c>
    </row>
    <row r="1360" spans="1:27">
      <c r="A1360" t="s">
        <v>1391</v>
      </c>
      <c r="B1360" s="3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S1360">
        <v>0</v>
      </c>
      <c r="U1360">
        <v>1</v>
      </c>
      <c r="W1360">
        <v>0</v>
      </c>
      <c r="Y1360">
        <v>0</v>
      </c>
      <c r="AA1360">
        <v>0</v>
      </c>
    </row>
    <row r="1361" spans="1:27">
      <c r="A1361" t="s">
        <v>1392</v>
      </c>
      <c r="B1361" s="3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S1361">
        <v>0</v>
      </c>
      <c r="U1361">
        <v>0</v>
      </c>
      <c r="W1361">
        <v>0</v>
      </c>
      <c r="Y1361">
        <v>0</v>
      </c>
      <c r="AA1361">
        <v>0</v>
      </c>
    </row>
    <row r="1362" spans="1:27">
      <c r="A1362" t="s">
        <v>1393</v>
      </c>
      <c r="B1362" s="3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S1362">
        <v>0</v>
      </c>
      <c r="U1362">
        <v>1</v>
      </c>
      <c r="W1362">
        <v>0</v>
      </c>
      <c r="Y1362">
        <v>0</v>
      </c>
      <c r="AA1362">
        <v>0</v>
      </c>
    </row>
    <row r="1363" spans="1:27">
      <c r="A1363" t="s">
        <v>1394</v>
      </c>
      <c r="B1363" s="3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S1363">
        <v>0</v>
      </c>
      <c r="U1363">
        <v>1</v>
      </c>
      <c r="W1363">
        <v>0</v>
      </c>
      <c r="Y1363">
        <v>0</v>
      </c>
      <c r="AA1363">
        <v>0</v>
      </c>
    </row>
    <row r="1364" spans="1:27">
      <c r="A1364" t="s">
        <v>1395</v>
      </c>
      <c r="B1364" s="3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S1364">
        <v>0</v>
      </c>
      <c r="U1364">
        <v>1</v>
      </c>
      <c r="W1364">
        <v>1</v>
      </c>
      <c r="Y1364">
        <v>1</v>
      </c>
      <c r="AA1364">
        <v>0</v>
      </c>
    </row>
    <row r="1365" spans="1:27">
      <c r="A1365" t="s">
        <v>1396</v>
      </c>
      <c r="B1365" s="3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S1365">
        <v>0</v>
      </c>
      <c r="U1365">
        <v>1</v>
      </c>
      <c r="W1365">
        <v>0</v>
      </c>
      <c r="Y1365">
        <v>0</v>
      </c>
      <c r="AA1365">
        <v>0</v>
      </c>
    </row>
    <row r="1366" spans="1:27">
      <c r="A1366" t="s">
        <v>1397</v>
      </c>
      <c r="B1366" s="3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S1366">
        <v>0</v>
      </c>
      <c r="U1366">
        <v>0</v>
      </c>
      <c r="W1366">
        <v>0</v>
      </c>
      <c r="Y1366">
        <v>0</v>
      </c>
      <c r="AA1366">
        <v>0</v>
      </c>
    </row>
    <row r="1367" spans="1:27">
      <c r="A1367" t="s">
        <v>1398</v>
      </c>
      <c r="B1367" s="3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S1367">
        <v>0</v>
      </c>
      <c r="U1367">
        <v>1</v>
      </c>
      <c r="W1367">
        <v>0</v>
      </c>
      <c r="Y1367">
        <v>0</v>
      </c>
      <c r="AA1367">
        <v>2</v>
      </c>
    </row>
    <row r="1368" spans="1:27">
      <c r="A1368" t="s">
        <v>1399</v>
      </c>
      <c r="B1368" s="3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S1368">
        <v>0</v>
      </c>
      <c r="U1368">
        <v>1</v>
      </c>
      <c r="W1368">
        <v>1</v>
      </c>
      <c r="Y1368">
        <v>0</v>
      </c>
      <c r="AA1368">
        <v>2</v>
      </c>
    </row>
    <row r="1369" spans="1:27">
      <c r="A1369" t="s">
        <v>1400</v>
      </c>
      <c r="B1369" s="3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S1369">
        <v>0</v>
      </c>
      <c r="U1369">
        <v>1</v>
      </c>
      <c r="W1369">
        <v>0</v>
      </c>
      <c r="Y1369">
        <v>0</v>
      </c>
      <c r="AA1369">
        <v>0</v>
      </c>
    </row>
    <row r="1370" spans="1:27">
      <c r="A1370" t="s">
        <v>1401</v>
      </c>
      <c r="B1370" s="3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S1370">
        <v>0</v>
      </c>
      <c r="U1370">
        <v>1</v>
      </c>
      <c r="W1370">
        <v>1</v>
      </c>
      <c r="Y1370">
        <v>0</v>
      </c>
      <c r="AA1370">
        <v>0</v>
      </c>
    </row>
    <row r="1371" spans="1:27">
      <c r="A1371" t="s">
        <v>1402</v>
      </c>
      <c r="B1371" s="3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S1371">
        <v>0</v>
      </c>
      <c r="U1371">
        <v>0</v>
      </c>
      <c r="W1371">
        <v>0</v>
      </c>
      <c r="Y1371">
        <v>0</v>
      </c>
      <c r="AA1371">
        <v>1</v>
      </c>
    </row>
    <row r="1372" spans="1:27">
      <c r="A1372" t="s">
        <v>1403</v>
      </c>
      <c r="B1372" s="3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S1372">
        <v>0</v>
      </c>
      <c r="U1372">
        <v>0</v>
      </c>
      <c r="W1372">
        <v>0</v>
      </c>
      <c r="Y1372">
        <v>0</v>
      </c>
      <c r="AA1372">
        <v>1</v>
      </c>
    </row>
    <row r="1373" spans="1:27">
      <c r="A1373" t="s">
        <v>1404</v>
      </c>
      <c r="B1373" s="3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S1373">
        <v>0</v>
      </c>
      <c r="U1373">
        <v>1</v>
      </c>
      <c r="W1373">
        <v>1</v>
      </c>
      <c r="Y1373">
        <v>1</v>
      </c>
      <c r="AA1373">
        <v>0</v>
      </c>
    </row>
    <row r="1374" spans="1:27">
      <c r="A1374" t="s">
        <v>1405</v>
      </c>
      <c r="B1374" s="3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S1374">
        <v>0</v>
      </c>
      <c r="U1374">
        <v>1</v>
      </c>
      <c r="W1374">
        <v>1</v>
      </c>
      <c r="Y1374">
        <v>1</v>
      </c>
      <c r="AA1374">
        <v>0</v>
      </c>
    </row>
    <row r="1375" spans="1:27">
      <c r="A1375" t="s">
        <v>1406</v>
      </c>
      <c r="B1375" s="3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S1375">
        <v>0</v>
      </c>
      <c r="U1375">
        <v>1</v>
      </c>
      <c r="W1375">
        <v>0</v>
      </c>
      <c r="Y1375">
        <v>0</v>
      </c>
      <c r="AA1375">
        <v>0</v>
      </c>
    </row>
    <row r="1376" spans="1:27">
      <c r="A1376" t="s">
        <v>1407</v>
      </c>
      <c r="B1376" s="3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S1376">
        <v>0</v>
      </c>
      <c r="U1376">
        <v>1</v>
      </c>
      <c r="W1376">
        <v>0</v>
      </c>
      <c r="Y1376">
        <v>0</v>
      </c>
      <c r="AA1376">
        <v>0</v>
      </c>
    </row>
    <row r="1377" spans="1:27">
      <c r="A1377" t="s">
        <v>1408</v>
      </c>
      <c r="B1377" s="3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S1377">
        <v>0</v>
      </c>
      <c r="U1377">
        <v>1</v>
      </c>
      <c r="W1377">
        <v>0</v>
      </c>
      <c r="Y1377">
        <v>0</v>
      </c>
      <c r="AA1377">
        <v>0</v>
      </c>
    </row>
    <row r="1378" spans="1:27">
      <c r="A1378" t="s">
        <v>1409</v>
      </c>
      <c r="B1378" s="3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S1378">
        <v>0</v>
      </c>
      <c r="U1378">
        <v>0</v>
      </c>
      <c r="W1378">
        <v>0</v>
      </c>
      <c r="Y1378">
        <v>0</v>
      </c>
      <c r="AA1378">
        <v>0</v>
      </c>
    </row>
    <row r="1379" spans="1:27">
      <c r="A1379" t="s">
        <v>1410</v>
      </c>
      <c r="B1379" s="3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S1379">
        <v>0</v>
      </c>
      <c r="U1379">
        <v>1</v>
      </c>
      <c r="W1379">
        <v>0</v>
      </c>
      <c r="Y1379">
        <v>0</v>
      </c>
      <c r="AA1379">
        <v>0</v>
      </c>
    </row>
    <row r="1380" spans="1:27">
      <c r="A1380" t="s">
        <v>1411</v>
      </c>
      <c r="B1380" s="3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S1380">
        <v>0</v>
      </c>
      <c r="U1380">
        <v>1</v>
      </c>
      <c r="W1380">
        <v>1</v>
      </c>
      <c r="Y1380">
        <v>1</v>
      </c>
      <c r="AA1380">
        <v>0</v>
      </c>
    </row>
    <row r="1381" spans="1:27">
      <c r="A1381" t="s">
        <v>1412</v>
      </c>
      <c r="B1381" s="3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S1381">
        <v>1</v>
      </c>
      <c r="U1381">
        <v>1</v>
      </c>
      <c r="W1381">
        <v>0</v>
      </c>
      <c r="Y1381">
        <v>0</v>
      </c>
      <c r="AA1381">
        <v>0</v>
      </c>
    </row>
    <row r="1382" spans="1:27">
      <c r="A1382" t="s">
        <v>1413</v>
      </c>
      <c r="B1382" s="3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S1382">
        <v>0</v>
      </c>
      <c r="U1382">
        <v>1</v>
      </c>
      <c r="W1382">
        <v>0</v>
      </c>
      <c r="Y1382">
        <v>0</v>
      </c>
      <c r="AA1382">
        <v>0</v>
      </c>
    </row>
    <row r="1383" spans="1:27">
      <c r="A1383" t="s">
        <v>1414</v>
      </c>
      <c r="B1383" s="3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S1383">
        <v>0</v>
      </c>
      <c r="U1383">
        <v>1</v>
      </c>
      <c r="W1383">
        <v>0</v>
      </c>
      <c r="Y1383">
        <v>0</v>
      </c>
      <c r="AA1383">
        <v>0</v>
      </c>
    </row>
    <row r="1384" spans="1:27">
      <c r="A1384" t="s">
        <v>1415</v>
      </c>
      <c r="B1384" s="3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S1384">
        <v>0</v>
      </c>
      <c r="U1384">
        <v>1</v>
      </c>
      <c r="W1384">
        <v>0</v>
      </c>
      <c r="Y1384">
        <v>0</v>
      </c>
      <c r="AA1384">
        <v>0</v>
      </c>
    </row>
    <row r="1385" spans="1:27">
      <c r="A1385" t="s">
        <v>1416</v>
      </c>
      <c r="B1385" s="3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S1385">
        <v>0</v>
      </c>
      <c r="U1385">
        <v>0</v>
      </c>
      <c r="W1385">
        <v>0</v>
      </c>
      <c r="Y1385">
        <v>0</v>
      </c>
      <c r="AA1385">
        <v>0</v>
      </c>
    </row>
    <row r="1386" spans="1:27">
      <c r="A1386" t="s">
        <v>1417</v>
      </c>
      <c r="B1386" s="3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S1386">
        <v>0</v>
      </c>
      <c r="U1386">
        <v>1</v>
      </c>
      <c r="W1386">
        <v>0</v>
      </c>
      <c r="Y1386">
        <v>0</v>
      </c>
      <c r="AA1386">
        <v>2</v>
      </c>
    </row>
    <row r="1387" spans="1:27">
      <c r="A1387" t="s">
        <v>1418</v>
      </c>
      <c r="B1387" s="3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S1387">
        <v>0</v>
      </c>
      <c r="U1387">
        <v>0</v>
      </c>
      <c r="W1387">
        <v>0</v>
      </c>
      <c r="Y1387">
        <v>0</v>
      </c>
      <c r="AA1387">
        <v>1</v>
      </c>
    </row>
    <row r="1388" spans="1:27">
      <c r="A1388" t="s">
        <v>1419</v>
      </c>
      <c r="B1388" s="3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S1388">
        <v>0</v>
      </c>
      <c r="U1388">
        <v>1</v>
      </c>
      <c r="W1388">
        <v>0</v>
      </c>
      <c r="Y1388">
        <v>0</v>
      </c>
      <c r="AA1388">
        <v>2</v>
      </c>
    </row>
    <row r="1389" spans="1:27">
      <c r="A1389" t="s">
        <v>1420</v>
      </c>
      <c r="B1389" s="3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S1389">
        <v>0</v>
      </c>
      <c r="U1389">
        <v>0</v>
      </c>
      <c r="W1389">
        <v>0</v>
      </c>
      <c r="Y1389">
        <v>0</v>
      </c>
      <c r="AA1389">
        <v>0</v>
      </c>
    </row>
    <row r="1390" spans="1:27">
      <c r="A1390" t="s">
        <v>1421</v>
      </c>
      <c r="B1390" s="3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S1390">
        <v>0</v>
      </c>
      <c r="U1390">
        <v>1</v>
      </c>
      <c r="W1390">
        <v>0</v>
      </c>
      <c r="Y1390">
        <v>0</v>
      </c>
      <c r="AA1390">
        <v>0</v>
      </c>
    </row>
    <row r="1391" spans="1:27">
      <c r="A1391" t="s">
        <v>1422</v>
      </c>
      <c r="B1391" s="3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S1391">
        <v>0</v>
      </c>
      <c r="U1391">
        <v>1</v>
      </c>
      <c r="W1391">
        <v>0</v>
      </c>
      <c r="Y1391">
        <v>0</v>
      </c>
      <c r="AA1391">
        <v>3</v>
      </c>
    </row>
    <row r="1392" spans="1:27">
      <c r="A1392" t="s">
        <v>1423</v>
      </c>
      <c r="B1392" s="3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S1392">
        <v>0</v>
      </c>
      <c r="U1392">
        <v>1</v>
      </c>
      <c r="W1392">
        <v>1</v>
      </c>
      <c r="Y1392">
        <v>1</v>
      </c>
      <c r="AA1392">
        <v>0</v>
      </c>
    </row>
    <row r="1393" spans="1:27">
      <c r="A1393" t="s">
        <v>1424</v>
      </c>
      <c r="B1393" s="3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S1393">
        <v>0</v>
      </c>
      <c r="U1393">
        <v>1</v>
      </c>
      <c r="W1393">
        <v>0</v>
      </c>
      <c r="Y1393">
        <v>0</v>
      </c>
      <c r="AA1393">
        <v>0</v>
      </c>
    </row>
    <row r="1394" spans="1:27">
      <c r="A1394" t="s">
        <v>1425</v>
      </c>
      <c r="B1394" s="3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S1394">
        <v>0</v>
      </c>
      <c r="U1394">
        <v>1</v>
      </c>
      <c r="W1394">
        <v>0</v>
      </c>
      <c r="Y1394">
        <v>0</v>
      </c>
      <c r="AA1394">
        <v>0</v>
      </c>
    </row>
    <row r="1395" spans="1:27">
      <c r="A1395" t="s">
        <v>1426</v>
      </c>
      <c r="B1395" s="3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S1395">
        <v>0</v>
      </c>
      <c r="U1395">
        <v>1</v>
      </c>
      <c r="W1395">
        <v>0</v>
      </c>
      <c r="Y1395">
        <v>0</v>
      </c>
      <c r="AA1395">
        <v>0</v>
      </c>
    </row>
    <row r="1396" spans="1:27">
      <c r="A1396" t="s">
        <v>1427</v>
      </c>
      <c r="B1396" s="3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S1396">
        <v>0</v>
      </c>
      <c r="U1396">
        <v>1</v>
      </c>
      <c r="W1396">
        <v>1</v>
      </c>
      <c r="Y1396">
        <v>1</v>
      </c>
      <c r="AA1396">
        <v>1</v>
      </c>
    </row>
    <row r="1397" spans="1:27">
      <c r="A1397" t="s">
        <v>1428</v>
      </c>
      <c r="B1397" s="3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S1397">
        <v>0</v>
      </c>
      <c r="U1397">
        <v>1</v>
      </c>
      <c r="W1397">
        <v>1</v>
      </c>
      <c r="Y1397">
        <v>1</v>
      </c>
      <c r="AA1397">
        <v>0</v>
      </c>
    </row>
    <row r="1398" spans="1:27">
      <c r="A1398" t="s">
        <v>1429</v>
      </c>
      <c r="B1398" s="3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S1398">
        <v>1</v>
      </c>
      <c r="U1398">
        <v>1</v>
      </c>
      <c r="W1398">
        <v>0</v>
      </c>
      <c r="Y1398">
        <v>0</v>
      </c>
      <c r="AA1398">
        <v>0</v>
      </c>
    </row>
    <row r="1399" spans="1:27">
      <c r="A1399" t="s">
        <v>1430</v>
      </c>
      <c r="B1399" s="3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S1399">
        <v>0</v>
      </c>
      <c r="U1399">
        <v>0</v>
      </c>
      <c r="W1399">
        <v>0</v>
      </c>
      <c r="Y1399">
        <v>0</v>
      </c>
      <c r="AA1399">
        <v>0</v>
      </c>
    </row>
    <row r="1400" spans="1:27">
      <c r="A1400" t="s">
        <v>1431</v>
      </c>
      <c r="B1400" s="3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S1400">
        <v>0</v>
      </c>
      <c r="U1400">
        <v>1</v>
      </c>
      <c r="W1400">
        <v>0</v>
      </c>
      <c r="Y1400">
        <v>0</v>
      </c>
      <c r="AA1400">
        <v>0</v>
      </c>
    </row>
    <row r="1401" spans="1:27">
      <c r="A1401" t="s">
        <v>1432</v>
      </c>
      <c r="B1401" s="3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S1401">
        <v>0</v>
      </c>
      <c r="U1401">
        <v>0</v>
      </c>
      <c r="W1401">
        <v>0</v>
      </c>
      <c r="Y1401">
        <v>0</v>
      </c>
      <c r="AA1401">
        <v>0</v>
      </c>
    </row>
    <row r="1402" spans="1:27">
      <c r="A1402" t="s">
        <v>949</v>
      </c>
      <c r="B1402" s="3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S1402">
        <v>0</v>
      </c>
      <c r="U1402">
        <v>1</v>
      </c>
      <c r="W1402">
        <v>1</v>
      </c>
      <c r="Y1402">
        <v>1</v>
      </c>
      <c r="AA1402">
        <v>0</v>
      </c>
    </row>
    <row r="1403" spans="1:27">
      <c r="A1403" t="s">
        <v>464</v>
      </c>
      <c r="B1403" s="3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S1403">
        <v>0</v>
      </c>
      <c r="U1403">
        <v>1</v>
      </c>
      <c r="W1403">
        <v>0</v>
      </c>
      <c r="Y1403">
        <v>0</v>
      </c>
      <c r="AA1403">
        <v>0</v>
      </c>
    </row>
    <row r="1404" spans="1:27">
      <c r="A1404" t="s">
        <v>1394</v>
      </c>
      <c r="B1404" s="3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S1404">
        <v>0</v>
      </c>
      <c r="U1404">
        <v>1</v>
      </c>
      <c r="W1404">
        <v>0</v>
      </c>
      <c r="Y1404">
        <v>0</v>
      </c>
      <c r="AA1404">
        <v>0</v>
      </c>
    </row>
    <row r="1405" spans="1:27">
      <c r="A1405" t="s">
        <v>127</v>
      </c>
      <c r="B1405" s="3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S1405">
        <v>0</v>
      </c>
      <c r="U1405">
        <v>1</v>
      </c>
      <c r="W1405">
        <v>1</v>
      </c>
      <c r="Y1405">
        <v>1</v>
      </c>
      <c r="AA1405">
        <v>1</v>
      </c>
    </row>
    <row r="1406" spans="1:27">
      <c r="A1406" t="s">
        <v>1242</v>
      </c>
      <c r="B1406" s="3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S1406">
        <v>0</v>
      </c>
      <c r="U1406">
        <v>1</v>
      </c>
      <c r="W1406">
        <v>0</v>
      </c>
      <c r="Y1406">
        <v>0</v>
      </c>
      <c r="AA1406">
        <v>0</v>
      </c>
    </row>
    <row r="1407" spans="1:27">
      <c r="A1407" t="s">
        <v>1264</v>
      </c>
      <c r="B1407" s="3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S1407">
        <v>0</v>
      </c>
    </row>
    <row r="1408" spans="1:27">
      <c r="A1408" t="s">
        <v>1091</v>
      </c>
      <c r="B1408" s="3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3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  <row r="1411" spans="1:16">
      <c r="L1411">
        <f>SUM(M1:M1407)</f>
        <v>418</v>
      </c>
    </row>
  </sheetData>
  <autoFilter ref="M1:M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82F1-9AEF-46A1-9E3C-CC58F21975B3}">
  <dimension ref="A1:G40"/>
  <sheetViews>
    <sheetView topLeftCell="A3" zoomScale="81" workbookViewId="0">
      <selection activeCell="G13" sqref="G13"/>
    </sheetView>
  </sheetViews>
  <sheetFormatPr defaultRowHeight="13.8"/>
  <cols>
    <col min="1" max="1" width="29.796875" customWidth="1"/>
    <col min="2" max="2" width="21.8984375" bestFit="1" customWidth="1"/>
    <col min="3" max="3" width="30.5" bestFit="1" customWidth="1"/>
    <col min="4" max="4" width="27.8984375" bestFit="1" customWidth="1"/>
    <col min="5" max="5" width="32.19921875" bestFit="1" customWidth="1"/>
    <col min="6" max="8" width="28.8984375" bestFit="1" customWidth="1"/>
    <col min="9" max="9" width="23.59765625" bestFit="1" customWidth="1"/>
    <col min="10" max="10" width="32.19921875" bestFit="1" customWidth="1"/>
    <col min="11" max="11" width="29.69921875" bestFit="1" customWidth="1"/>
    <col min="12" max="12" width="34" bestFit="1" customWidth="1"/>
  </cols>
  <sheetData>
    <row r="1" spans="1:6" ht="14.4" thickBot="1"/>
    <row r="2" spans="1:6">
      <c r="A2" s="13" t="s">
        <v>1453</v>
      </c>
      <c r="B2" s="29" t="s">
        <v>1467</v>
      </c>
      <c r="D2" s="53" t="s">
        <v>1470</v>
      </c>
      <c r="E2" s="53"/>
      <c r="F2" s="53"/>
    </row>
    <row r="3" spans="1:6" ht="48" customHeight="1" thickBot="1">
      <c r="A3" s="15" t="s">
        <v>1451</v>
      </c>
      <c r="B3" s="16">
        <f>COUNTIF(experiment_data!C:C,"Control")</f>
        <v>693</v>
      </c>
      <c r="D3" s="56" t="s">
        <v>1491</v>
      </c>
      <c r="E3" s="56"/>
      <c r="F3" s="53"/>
    </row>
    <row r="4" spans="1:6" ht="14.4">
      <c r="A4" s="15" t="s">
        <v>1455</v>
      </c>
      <c r="B4" s="16">
        <f>COUNTIFS(experiment_data!C:C,"Control",experiment_data!K:K,1)</f>
        <v>22</v>
      </c>
      <c r="D4" s="35"/>
      <c r="E4" s="35" t="s">
        <v>1489</v>
      </c>
      <c r="F4" s="35" t="s">
        <v>1490</v>
      </c>
    </row>
    <row r="5" spans="1:6">
      <c r="A5" s="15" t="s">
        <v>1456</v>
      </c>
      <c r="B5" s="18">
        <f>AVERAGEIF(experiment_data!C:C,"Control",experiment_data!L:L)</f>
        <v>51.74932178932179</v>
      </c>
      <c r="D5" s="1" t="s">
        <v>1471</v>
      </c>
      <c r="E5" s="1">
        <v>0.21933621933621933</v>
      </c>
      <c r="F5" s="1">
        <v>0.37202797202797205</v>
      </c>
    </row>
    <row r="6" spans="1:6">
      <c r="A6" s="15" t="s">
        <v>1458</v>
      </c>
      <c r="B6" s="10">
        <f>B4/B3</f>
        <v>3.1746031746031744E-2</v>
      </c>
      <c r="C6" s="5"/>
      <c r="D6" s="1" t="s">
        <v>1472</v>
      </c>
      <c r="E6" s="1">
        <v>3.0700000000000002E-2</v>
      </c>
      <c r="F6" s="1">
        <v>6.5100000000000005E-2</v>
      </c>
    </row>
    <row r="7" spans="1:6">
      <c r="A7" s="15"/>
      <c r="B7" s="16"/>
      <c r="D7" s="1" t="s">
        <v>1473</v>
      </c>
      <c r="E7" s="1">
        <v>693</v>
      </c>
      <c r="F7" s="1">
        <v>715</v>
      </c>
    </row>
    <row r="8" spans="1:6">
      <c r="A8" s="17" t="s">
        <v>1452</v>
      </c>
      <c r="B8" s="30" t="s">
        <v>1467</v>
      </c>
      <c r="D8" s="1" t="s">
        <v>1474</v>
      </c>
      <c r="E8" s="1">
        <v>0</v>
      </c>
      <c r="F8" s="1"/>
    </row>
    <row r="9" spans="1:6">
      <c r="A9" s="15" t="s">
        <v>1454</v>
      </c>
      <c r="B9" s="16">
        <f>COUNTIF(experiment_data!C:C,"Treatment")</f>
        <v>715</v>
      </c>
      <c r="D9" s="1" t="s">
        <v>1475</v>
      </c>
      <c r="E9" s="1">
        <v>-13.12465516204526</v>
      </c>
      <c r="F9" s="1"/>
    </row>
    <row r="10" spans="1:6">
      <c r="A10" s="15" t="s">
        <v>1455</v>
      </c>
      <c r="B10" s="16">
        <f>COUNTIFS(experiment_data!C:C,"Treatment",experiment_data!K:K,1)</f>
        <v>50</v>
      </c>
      <c r="D10" s="1" t="s">
        <v>1476</v>
      </c>
      <c r="E10" s="1">
        <v>0</v>
      </c>
      <c r="F10" s="1"/>
    </row>
    <row r="11" spans="1:6">
      <c r="A11" s="15" t="s">
        <v>1457</v>
      </c>
      <c r="B11" s="18">
        <f>AVERAGEIF(experiment_data!C:C,"Treatment",experiment_data!L:L)</f>
        <v>53.875118881118873</v>
      </c>
      <c r="D11" s="1" t="s">
        <v>1477</v>
      </c>
      <c r="E11" s="1">
        <v>1.6448536269514715</v>
      </c>
      <c r="F11" s="1"/>
    </row>
    <row r="12" spans="1:6">
      <c r="A12" s="15" t="s">
        <v>1459</v>
      </c>
      <c r="B12" s="19">
        <f>B10/B9</f>
        <v>6.9930069930069935E-2</v>
      </c>
      <c r="D12" s="1" t="s">
        <v>1478</v>
      </c>
      <c r="E12" s="1">
        <v>0</v>
      </c>
      <c r="F12" s="1"/>
    </row>
    <row r="13" spans="1:6" ht="14.4" thickBot="1">
      <c r="A13" s="15"/>
      <c r="B13" s="16"/>
      <c r="D13" s="34" t="s">
        <v>1479</v>
      </c>
      <c r="E13" s="34">
        <v>1.9599639845400536</v>
      </c>
      <c r="F13" s="34"/>
    </row>
    <row r="14" spans="1:6" ht="14.4" thickBot="1">
      <c r="A14" s="20" t="s">
        <v>1460</v>
      </c>
      <c r="B14" s="31">
        <f>(B12-B6)/B6</f>
        <v>1.2027972027972031</v>
      </c>
    </row>
    <row r="15" spans="1:6">
      <c r="A15" s="6"/>
      <c r="B15" s="5"/>
    </row>
    <row r="16" spans="1:6">
      <c r="A16" s="6"/>
      <c r="B16" s="5"/>
    </row>
    <row r="17" spans="1:7" ht="14.4" thickBot="1"/>
    <row r="18" spans="1:7" ht="14.4" thickBot="1">
      <c r="A18" s="25" t="s">
        <v>1461</v>
      </c>
      <c r="B18" s="7" t="s">
        <v>1464</v>
      </c>
      <c r="C18" s="7" t="s">
        <v>1463</v>
      </c>
      <c r="D18" s="7" t="s">
        <v>1466</v>
      </c>
      <c r="E18" s="14" t="s">
        <v>1465</v>
      </c>
    </row>
    <row r="19" spans="1:7">
      <c r="A19" s="26" t="s">
        <v>17</v>
      </c>
      <c r="B19" s="22">
        <v>0.25108225108225107</v>
      </c>
      <c r="C19" s="23">
        <v>0.63636363636363635</v>
      </c>
      <c r="D19" s="23">
        <v>3.1746031746031744E-2</v>
      </c>
      <c r="E19" s="8">
        <v>0.15584415584415584</v>
      </c>
    </row>
    <row r="20" spans="1:7" ht="14.4" thickBot="1">
      <c r="A20" s="27" t="s">
        <v>723</v>
      </c>
      <c r="B20" s="24">
        <v>0.29090909090909089</v>
      </c>
      <c r="C20" s="9">
        <v>0.72587412587412592</v>
      </c>
      <c r="D20" s="9">
        <v>6.9930069930069935E-2</v>
      </c>
      <c r="E20" s="10">
        <v>0.21258741258741259</v>
      </c>
    </row>
    <row r="21" spans="1:7" ht="14.4" thickBot="1">
      <c r="A21" s="28" t="s">
        <v>1462</v>
      </c>
      <c r="B21" s="21">
        <v>0.27130681818181818</v>
      </c>
      <c r="C21" s="11">
        <v>0.68181818181818177</v>
      </c>
      <c r="D21" s="11">
        <v>5.113636363636364E-2</v>
      </c>
      <c r="E21" s="12">
        <v>0.18465909090909091</v>
      </c>
    </row>
    <row r="23" spans="1:7" ht="14.4" thickBot="1"/>
    <row r="24" spans="1:7">
      <c r="A24" s="37" t="s">
        <v>1470</v>
      </c>
      <c r="B24" s="38"/>
      <c r="C24" s="39"/>
      <c r="E24" s="51" t="s">
        <v>1470</v>
      </c>
      <c r="F24" s="51"/>
      <c r="G24" s="51"/>
    </row>
    <row r="25" spans="1:7" ht="14.4" thickBot="1">
      <c r="A25" s="40"/>
      <c r="B25" s="41"/>
      <c r="C25" s="42"/>
      <c r="E25" s="55" t="s">
        <v>1487</v>
      </c>
      <c r="F25" s="51"/>
      <c r="G25" s="51"/>
    </row>
    <row r="26" spans="1:7" ht="14.4">
      <c r="A26" s="43"/>
      <c r="B26" s="36" t="s">
        <v>1469</v>
      </c>
      <c r="C26" s="44" t="s">
        <v>1468</v>
      </c>
      <c r="E26" s="52"/>
      <c r="F26" s="52" t="s">
        <v>1481</v>
      </c>
      <c r="G26" s="52" t="s">
        <v>1486</v>
      </c>
    </row>
    <row r="27" spans="1:7">
      <c r="A27" s="15" t="s">
        <v>1471</v>
      </c>
      <c r="B27" s="1">
        <v>3.1746031746031744E-2</v>
      </c>
      <c r="C27" s="16">
        <v>6.9930069930069935E-2</v>
      </c>
      <c r="E27" s="1" t="s">
        <v>1471</v>
      </c>
      <c r="F27" s="1">
        <v>0.63636363636363635</v>
      </c>
      <c r="G27" s="1">
        <v>0.72587412587412592</v>
      </c>
    </row>
    <row r="28" spans="1:7">
      <c r="A28" s="15" t="s">
        <v>1472</v>
      </c>
      <c r="B28" s="1">
        <v>3.0700000000000002E-2</v>
      </c>
      <c r="C28" s="16">
        <v>6.5100000000000005E-2</v>
      </c>
      <c r="E28" s="1" t="s">
        <v>1472</v>
      </c>
      <c r="F28" s="1">
        <v>3.0700000000000002E-2</v>
      </c>
      <c r="G28" s="1">
        <v>6.5100000000000005E-2</v>
      </c>
    </row>
    <row r="29" spans="1:7">
      <c r="A29" s="15" t="s">
        <v>1473</v>
      </c>
      <c r="B29" s="1">
        <v>693</v>
      </c>
      <c r="C29" s="16">
        <v>715</v>
      </c>
      <c r="E29" s="1" t="s">
        <v>1473</v>
      </c>
      <c r="F29" s="1">
        <v>693</v>
      </c>
      <c r="G29" s="1">
        <v>715</v>
      </c>
    </row>
    <row r="30" spans="1:7">
      <c r="A30" s="15" t="s">
        <v>1474</v>
      </c>
      <c r="B30" s="1">
        <v>0</v>
      </c>
      <c r="C30" s="16"/>
      <c r="E30" s="1" t="s">
        <v>1474</v>
      </c>
      <c r="F30" s="1">
        <v>0</v>
      </c>
      <c r="G30" s="1"/>
    </row>
    <row r="31" spans="1:7">
      <c r="A31" s="15" t="s">
        <v>1475</v>
      </c>
      <c r="B31" s="1">
        <v>-3.2821178945504283</v>
      </c>
      <c r="C31" s="16"/>
      <c r="E31" s="1" t="s">
        <v>1475</v>
      </c>
      <c r="F31" s="1">
        <v>-7.6938949714112397</v>
      </c>
      <c r="G31" s="1"/>
    </row>
    <row r="32" spans="1:7">
      <c r="A32" s="15" t="s">
        <v>1476</v>
      </c>
      <c r="B32" s="1">
        <v>5.1515259213108511E-4</v>
      </c>
      <c r="C32" s="16"/>
      <c r="E32" s="1" t="s">
        <v>1476</v>
      </c>
      <c r="F32" s="1">
        <v>7.1054273576010019E-15</v>
      </c>
      <c r="G32" s="1"/>
    </row>
    <row r="33" spans="1:7">
      <c r="A33" s="15" t="s">
        <v>1477</v>
      </c>
      <c r="B33" s="1">
        <v>1.6448536269514715</v>
      </c>
      <c r="C33" s="16"/>
      <c r="E33" s="1" t="s">
        <v>1477</v>
      </c>
      <c r="F33" s="1">
        <v>1.6448536269514715</v>
      </c>
      <c r="G33" s="1"/>
    </row>
    <row r="34" spans="1:7">
      <c r="A34" s="15" t="s">
        <v>1478</v>
      </c>
      <c r="B34" s="1">
        <v>1.0303051842621702E-3</v>
      </c>
      <c r="C34" s="16"/>
      <c r="E34" s="1" t="s">
        <v>1478</v>
      </c>
      <c r="F34" s="1">
        <v>1.4210854715202004E-14</v>
      </c>
      <c r="G34" s="1"/>
    </row>
    <row r="35" spans="1:7" ht="14.4" thickBot="1">
      <c r="A35" s="45" t="s">
        <v>1479</v>
      </c>
      <c r="B35" s="34">
        <v>1.9599639845400536</v>
      </c>
      <c r="C35" s="46"/>
      <c r="E35" s="34" t="s">
        <v>1479</v>
      </c>
      <c r="F35" s="34">
        <v>1.9599639845400536</v>
      </c>
      <c r="G35" s="34"/>
    </row>
    <row r="36" spans="1:7">
      <c r="A36" s="15" t="s">
        <v>1470</v>
      </c>
      <c r="B36" s="1"/>
      <c r="C36" s="16"/>
      <c r="E36" t="s">
        <v>1470</v>
      </c>
    </row>
    <row r="37" spans="1:7" ht="14.4" thickBot="1">
      <c r="A37" s="15"/>
      <c r="B37" s="1"/>
      <c r="C37" s="16"/>
      <c r="E37" t="s">
        <v>1470</v>
      </c>
    </row>
    <row r="38" spans="1:7" ht="15" thickBot="1">
      <c r="A38" s="47"/>
      <c r="B38" s="48" t="s">
        <v>1469</v>
      </c>
      <c r="C38" s="49" t="s">
        <v>1468</v>
      </c>
    </row>
    <row r="39" spans="1:7" ht="14.4">
      <c r="A39" s="15" t="s">
        <v>1488</v>
      </c>
      <c r="E39" s="52"/>
      <c r="F39" s="52" t="s">
        <v>1481</v>
      </c>
      <c r="G39" s="52" t="s">
        <v>1480</v>
      </c>
    </row>
    <row r="40" spans="1:7">
      <c r="E40" s="54"/>
      <c r="F40" s="54"/>
      <c r="G40" s="54"/>
    </row>
  </sheetData>
  <mergeCells count="1">
    <mergeCell ref="D3:E3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5" sqref="C5"/>
    </sheetView>
  </sheetViews>
  <sheetFormatPr defaultRowHeight="13.8"/>
  <cols>
    <col min="1" max="1" width="35.3984375" customWidth="1"/>
    <col min="2" max="2" width="28" customWidth="1"/>
    <col min="3" max="3" width="11.09765625" bestFit="1" customWidth="1"/>
  </cols>
  <sheetData>
    <row r="1" spans="1:3" ht="22.35" customHeight="1">
      <c r="A1" s="2" t="s">
        <v>1433</v>
      </c>
      <c r="B1" s="2" t="s">
        <v>1434</v>
      </c>
    </row>
    <row r="2" spans="1:3" ht="55.2">
      <c r="A2" s="4" t="s">
        <v>1435</v>
      </c>
      <c r="B2" s="4" t="s">
        <v>1436</v>
      </c>
    </row>
    <row r="3" spans="1:3">
      <c r="A3" s="4" t="s">
        <v>17</v>
      </c>
      <c r="B3" s="4" t="s">
        <v>1437</v>
      </c>
    </row>
    <row r="4" spans="1:3">
      <c r="A4" s="4" t="s">
        <v>723</v>
      </c>
      <c r="B4" s="4" t="s">
        <v>1438</v>
      </c>
    </row>
    <row r="5" spans="1:3" ht="41.4">
      <c r="A5" s="4" t="s">
        <v>1439</v>
      </c>
      <c r="B5" s="4" t="s">
        <v>1440</v>
      </c>
    </row>
    <row r="6" spans="1:3" ht="27.6">
      <c r="A6" s="4" t="s">
        <v>7</v>
      </c>
      <c r="B6" s="4" t="s">
        <v>1441</v>
      </c>
      <c r="C6">
        <f>COUNTIF(experiment_data!H2:H1409,1)</f>
        <v>960</v>
      </c>
    </row>
    <row r="7" spans="1:3" ht="27.6">
      <c r="A7" s="4" t="s">
        <v>8</v>
      </c>
      <c r="B7" s="4" t="s">
        <v>1442</v>
      </c>
      <c r="C7">
        <f>COUNTIF(experiment_data!I2:I1409, 1)</f>
        <v>382</v>
      </c>
    </row>
    <row r="8" spans="1:3" ht="27.6">
      <c r="A8" s="4" t="s">
        <v>9</v>
      </c>
      <c r="B8" s="4" t="s">
        <v>1443</v>
      </c>
      <c r="C8">
        <f>COUNTIF(experiment_data!J2:J1409,1)</f>
        <v>260</v>
      </c>
    </row>
    <row r="9" spans="1:3" ht="27.6">
      <c r="A9" s="4" t="s">
        <v>10</v>
      </c>
      <c r="B9" s="4" t="s">
        <v>1444</v>
      </c>
      <c r="C9">
        <f>COUNTIF(experiment_data!K2:K1409, 1)</f>
        <v>72</v>
      </c>
    </row>
    <row r="10" spans="1:3" ht="27.6">
      <c r="A10" s="4" t="s">
        <v>11</v>
      </c>
      <c r="B10" s="4" t="s">
        <v>1445</v>
      </c>
      <c r="C10" s="57">
        <f>SUM(experiment_data!L2:L1409)</f>
        <v>74382.989999999991</v>
      </c>
    </row>
    <row r="11" spans="1:3" ht="27.6">
      <c r="A11" s="4" t="s">
        <v>12</v>
      </c>
      <c r="B11" s="4" t="s">
        <v>1446</v>
      </c>
      <c r="C11">
        <f>SUM(experiment_data!M2:M1409)</f>
        <v>418</v>
      </c>
    </row>
    <row r="12" spans="1:3" ht="27.6">
      <c r="A12" s="4" t="s">
        <v>13</v>
      </c>
      <c r="B12" s="4" t="s">
        <v>1447</v>
      </c>
      <c r="C12">
        <f>COUNTIF(experiment_data!N2:N1409,1)</f>
        <v>3</v>
      </c>
    </row>
    <row r="13" spans="1:3" ht="27.6">
      <c r="A13" s="4" t="s">
        <v>15</v>
      </c>
      <c r="B13" s="4" t="s">
        <v>1448</v>
      </c>
    </row>
    <row r="14" spans="1:3" ht="55.2">
      <c r="A14" s="4" t="s">
        <v>1449</v>
      </c>
      <c r="B14" s="4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calculated_data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Brahmanlapalli</dc:creator>
  <cp:lastModifiedBy>Rishi da pro gamer</cp:lastModifiedBy>
  <dcterms:created xsi:type="dcterms:W3CDTF">2026-06-23T19:33:33Z</dcterms:created>
  <dcterms:modified xsi:type="dcterms:W3CDTF">2026-06-25T03:37:06Z</dcterms:modified>
</cp:coreProperties>
</file>