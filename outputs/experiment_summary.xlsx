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rswe\Documents\"/>
    </mc:Choice>
  </mc:AlternateContent>
  <xr:revisionPtr revIDLastSave="0" documentId="8_{9ACC16B0-CCF3-4686-B8AF-9E74F4E83452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experiment_data" sheetId="1" r:id="rId1"/>
    <sheet name="experiment_summary" sheetId="2" r:id="rId2"/>
    <sheet name="segment_region_distribution" sheetId="6" r:id="rId3"/>
    <sheet name="_byplantype" sheetId="3" r:id="rId4"/>
    <sheet name="segment_conversion_device" sheetId="4" r:id="rId5"/>
    <sheet name="segment_engagement_traffic" sheetId="5" r:id="rId6"/>
  </sheets>
  <definedNames>
    <definedName name="_xlnm._FilterDatabase" localSheetId="0" hidden="1">experiment_data!$A$1:$P$1409</definedName>
  </definedNames>
  <calcPr calcId="191029"/>
  <pivotCaches>
    <pivotCache cacheId="21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2" l="1"/>
  <c r="D11" i="2"/>
  <c r="D2" i="2"/>
  <c r="D12" i="2"/>
  <c r="E12" i="2"/>
  <c r="E11" i="2"/>
  <c r="C10" i="2"/>
  <c r="C9" i="2"/>
  <c r="C8" i="2"/>
  <c r="C7" i="2"/>
  <c r="C6" i="2"/>
  <c r="C5" i="2"/>
  <c r="C4" i="2"/>
  <c r="C3" i="2"/>
  <c r="E2" i="2"/>
</calcChain>
</file>

<file path=xl/sharedStrings.xml><?xml version="1.0" encoding="utf-8"?>
<sst xmlns="http://schemas.openxmlformats.org/spreadsheetml/2006/main" count="8546" uniqueCount="1483">
  <si>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</si>
  <si>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</si>
  <si>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</si>
  <si>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</si>
  <si>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</si>
  <si>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</si>
  <si>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</si>
  <si>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</si>
  <si>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</si>
  <si>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</si>
  <si>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</si>
  <si>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</si>
  <si>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</si>
  <si>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</si>
  <si>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</si>
  <si>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</si>
  <si>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Control_converted</t>
  </si>
  <si>
    <t>Treatment_converted</t>
  </si>
  <si>
    <t>Control-visited_landing_page</t>
  </si>
  <si>
    <t>Treatment-visited_landing_page</t>
  </si>
  <si>
    <t>Control-started_trial</t>
  </si>
  <si>
    <t>Treatment-started_trial</t>
  </si>
  <si>
    <t>Control-completed_onboarding</t>
  </si>
  <si>
    <t>Treatment-completed_onboarding</t>
  </si>
  <si>
    <t>Control-Support Tickets</t>
  </si>
  <si>
    <t>Treatment-Support_tickets</t>
  </si>
  <si>
    <t>USR-100001</t>
  </si>
  <si>
    <t>Control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</si>
  <si>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</si>
  <si>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</si>
  <si>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</si>
  <si>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</si>
  <si>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</si>
  <si>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</si>
  <si>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</si>
  <si>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</si>
  <si>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</si>
  <si>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</si>
  <si>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</si>
  <si>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</si>
  <si>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</si>
  <si>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</si>
  <si>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</si>
  <si>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</si>
  <si>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</si>
  <si>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</si>
  <si>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</si>
  <si>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</si>
  <si>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</si>
  <si>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</si>
  <si>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</si>
  <si>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</si>
  <si>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</si>
  <si>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</si>
  <si>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</si>
  <si>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</si>
  <si>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</si>
  <si>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</si>
  <si>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</si>
  <si>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</si>
  <si>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</si>
  <si>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</si>
  <si>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</si>
  <si>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</si>
  <si>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</si>
  <si>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</si>
  <si>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</si>
  <si>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</si>
  <si>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</si>
  <si>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</si>
  <si>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</si>
  <si>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</si>
  <si>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</si>
  <si>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</si>
  <si>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</si>
  <si>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</si>
  <si>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</si>
  <si>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</si>
  <si>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</si>
  <si>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</si>
  <si>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</si>
  <si>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</si>
  <si>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</si>
  <si>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</si>
  <si>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</si>
  <si>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</si>
  <si>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</si>
  <si>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</si>
  <si>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</si>
  <si>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</si>
  <si>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</si>
  <si>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</si>
  <si>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</si>
  <si>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</si>
  <si>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</si>
  <si>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</si>
  <si>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</si>
  <si>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</si>
  <si>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</si>
  <si>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</si>
  <si>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</si>
  <si>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</si>
  <si>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</si>
  <si>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</si>
  <si>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</si>
  <si>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</si>
  <si>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</si>
  <si>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</si>
  <si>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</si>
  <si>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</si>
  <si>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</si>
  <si>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</si>
  <si>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</si>
  <si>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</si>
  <si>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</si>
  <si>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</si>
  <si>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</si>
  <si>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</si>
  <si>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</si>
  <si>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</si>
  <si>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</si>
  <si>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</si>
  <si>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</si>
  <si>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</si>
  <si>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</si>
  <si>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</si>
  <si>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</si>
  <si>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</si>
  <si>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</si>
  <si>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</si>
  <si>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</si>
  <si>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</si>
  <si>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</si>
  <si>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</si>
  <si>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</si>
  <si>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</si>
  <si>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</si>
  <si>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</si>
  <si>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</si>
  <si>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</si>
  <si>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</si>
  <si>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</si>
  <si>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</si>
  <si>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</si>
  <si>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</si>
  <si>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</si>
  <si>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</si>
  <si>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</si>
  <si>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</si>
  <si>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</si>
  <si>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</si>
  <si>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</si>
  <si>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</si>
  <si>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</si>
  <si>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</si>
  <si>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</si>
  <si>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</si>
  <si>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</si>
  <si>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</si>
  <si>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</si>
  <si>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</si>
  <si>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</si>
  <si>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</si>
  <si>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</si>
  <si>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</si>
  <si>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</si>
  <si>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</si>
  <si>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</si>
  <si>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</si>
  <si>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</si>
  <si>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</si>
  <si>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</si>
  <si>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</si>
  <si>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</si>
  <si>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</si>
  <si>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</si>
  <si>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</si>
  <si>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</si>
  <si>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</si>
  <si>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</si>
  <si>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</si>
  <si>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</si>
  <si>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</si>
  <si>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</si>
  <si>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</si>
  <si>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</si>
  <si>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</si>
  <si>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</si>
  <si>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</si>
  <si>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</si>
  <si>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</si>
  <si>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</si>
  <si>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</si>
  <si>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</si>
  <si>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</si>
  <si>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</si>
  <si>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</si>
  <si>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</si>
  <si>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</si>
  <si>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</si>
  <si>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</si>
  <si>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</si>
  <si>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</si>
  <si>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</si>
  <si>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</si>
  <si>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</si>
  <si>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</si>
  <si>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</si>
  <si>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</si>
  <si>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</si>
  <si>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</si>
  <si>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</si>
  <si>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</si>
  <si>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</si>
  <si>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</si>
  <si>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</si>
  <si>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</si>
  <si>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</si>
  <si>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</si>
  <si>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</si>
  <si>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</si>
  <si>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</si>
  <si>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</si>
  <si>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</si>
  <si>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</si>
  <si>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</si>
  <si>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</si>
  <si>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</si>
  <si>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</si>
  <si>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</si>
  <si>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</si>
  <si>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</si>
  <si>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</si>
  <si>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</si>
  <si>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</si>
  <si>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</si>
  <si>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</si>
  <si>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</si>
  <si>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</si>
  <si>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</si>
  <si>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</si>
  <si>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</si>
  <si>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</si>
  <si>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</si>
  <si>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</si>
  <si>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</si>
  <si>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</si>
  <si>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</si>
  <si>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</si>
  <si>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</si>
  <si>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</si>
  <si>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</si>
  <si>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</si>
  <si>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</si>
  <si>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</si>
  <si>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</si>
  <si>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</si>
  <si>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</si>
  <si>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</si>
  <si>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</si>
  <si>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</si>
  <si>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</si>
  <si>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</si>
  <si>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</si>
  <si>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</si>
  <si>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</si>
  <si>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</si>
  <si>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</si>
  <si>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</si>
  <si>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</si>
  <si>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</si>
  <si>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</si>
  <si>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</si>
  <si>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</si>
  <si>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</si>
  <si>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</si>
  <si>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</si>
  <si>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</si>
  <si>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</si>
  <si>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</si>
  <si>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</si>
  <si>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</si>
  <si>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</si>
  <si>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</si>
  <si>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</si>
  <si>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</si>
  <si>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</si>
  <si>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</si>
  <si>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</si>
  <si>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</si>
  <si>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</si>
  <si>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</si>
  <si>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</si>
  <si>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</si>
  <si>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</si>
  <si>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</si>
  <si>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</si>
  <si>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</si>
  <si>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</si>
  <si>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</si>
  <si>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</si>
  <si>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</si>
  <si>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</si>
  <si>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</si>
  <si>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</si>
  <si>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</si>
  <si>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</si>
  <si>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</si>
  <si>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</si>
  <si>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</si>
  <si>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</si>
  <si>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</si>
  <si>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</si>
  <si>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</si>
  <si>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</si>
  <si>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</si>
  <si>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</si>
  <si>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</si>
  <si>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</si>
  <si>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</si>
  <si>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</si>
  <si>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</si>
  <si>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</si>
  <si>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</si>
  <si>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</si>
  <si>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</si>
  <si>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</si>
  <si>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</si>
  <si>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</si>
  <si>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</si>
  <si>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</si>
  <si>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</si>
  <si>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</si>
  <si>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</si>
  <si>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</si>
  <si>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</si>
  <si>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</si>
  <si>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</si>
  <si>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</si>
  <si>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</si>
  <si>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</si>
  <si>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</si>
  <si>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</si>
  <si>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</si>
  <si>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</si>
  <si>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</si>
  <si>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</si>
  <si>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</si>
  <si>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</si>
  <si>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</si>
  <si>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</si>
  <si>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</si>
  <si>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</si>
  <si>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</si>
  <si>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</si>
  <si>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</si>
  <si>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</si>
  <si>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</si>
  <si>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</si>
  <si>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</si>
  <si>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</si>
  <si>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</si>
  <si>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</si>
  <si>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</si>
  <si>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</si>
  <si>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</si>
  <si>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</si>
  <si>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</si>
  <si>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</si>
  <si>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</si>
  <si>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</si>
  <si>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</si>
  <si>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</si>
  <si>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</si>
  <si>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</si>
  <si>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</si>
  <si>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</si>
  <si>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</si>
  <si>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</si>
  <si>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</si>
  <si>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</si>
  <si>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</si>
  <si>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</si>
  <si>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</si>
  <si>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</si>
  <si>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</si>
  <si>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</si>
  <si>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</si>
  <si>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</si>
  <si>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</si>
  <si>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</si>
  <si>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</si>
  <si>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</si>
  <si>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</si>
  <si>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</si>
  <si>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</si>
  <si>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</si>
  <si>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</si>
  <si>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</si>
  <si>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</si>
  <si>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</si>
  <si>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</si>
  <si>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</si>
  <si>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</si>
  <si>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</si>
  <si>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</si>
  <si>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</si>
  <si>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</si>
  <si>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</si>
  <si>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</si>
  <si>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</si>
  <si>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</si>
  <si>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</si>
  <si>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</si>
  <si>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</si>
  <si>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</si>
  <si>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</si>
  <si>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</si>
  <si>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</si>
  <si>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</si>
  <si>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</si>
  <si>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</si>
  <si>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</si>
  <si>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</si>
  <si>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</si>
  <si>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</si>
  <si>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</si>
  <si>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</si>
  <si>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</si>
  <si>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</si>
  <si>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</si>
  <si>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</si>
  <si>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</si>
  <si>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</si>
  <si>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</si>
  <si>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</si>
  <si>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</si>
  <si>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</si>
  <si>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</si>
  <si>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</si>
  <si>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</si>
  <si>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</si>
  <si>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</si>
  <si>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</si>
  <si>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</si>
  <si>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</si>
  <si>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</si>
  <si>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</si>
  <si>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</si>
  <si>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</si>
  <si>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</si>
  <si>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</si>
  <si>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</si>
  <si>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</si>
  <si>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</si>
  <si>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</si>
  <si>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</si>
  <si>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</si>
  <si>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</si>
  <si>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</si>
  <si>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</si>
  <si>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</si>
  <si>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</si>
  <si>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</si>
  <si>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</si>
  <si>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</si>
  <si>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</si>
  <si>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</si>
  <si>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</si>
  <si>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</si>
  <si>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</si>
  <si>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</si>
  <si>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</si>
  <si>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</si>
  <si>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</si>
  <si>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</si>
  <si>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</si>
  <si>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</si>
  <si>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</si>
  <si>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</si>
  <si>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</si>
  <si>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</si>
  <si>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</si>
  <si>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</si>
  <si>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</si>
  <si>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</si>
  <si>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</si>
  <si>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</si>
  <si>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</si>
  <si>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</si>
  <si>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</si>
  <si>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</si>
  <si>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</si>
  <si>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</si>
  <si>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</si>
  <si>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</si>
  <si>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</si>
  <si>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</si>
  <si>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</si>
  <si>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</si>
  <si>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</si>
  <si>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</si>
  <si>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</si>
  <si>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</si>
  <si>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</si>
  <si>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</si>
  <si>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</si>
  <si>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</si>
  <si>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</si>
  <si>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</si>
  <si>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</si>
  <si>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</si>
  <si>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</si>
  <si>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</si>
  <si>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</si>
  <si>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</si>
  <si>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</si>
  <si>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</si>
  <si>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</si>
  <si>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</si>
  <si>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</si>
  <si>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</si>
  <si>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</si>
  <si>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</si>
  <si>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</si>
  <si>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</si>
  <si>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</si>
  <si>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</si>
  <si>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</si>
  <si>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</si>
  <si>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</si>
  <si>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</si>
  <si>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</si>
  <si>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</si>
  <si>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</si>
  <si>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</si>
  <si>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</si>
  <si>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</si>
  <si>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</si>
  <si>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</si>
  <si>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</si>
  <si>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</si>
  <si>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</si>
  <si>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</si>
  <si>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</si>
  <si>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</si>
  <si>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</si>
  <si>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</si>
  <si>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</si>
  <si>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</si>
  <si>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</si>
  <si>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</si>
  <si>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</si>
  <si>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</si>
  <si>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</si>
  <si>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</si>
  <si>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</si>
  <si>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</si>
  <si>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</si>
  <si>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</si>
  <si>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</si>
  <si>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</si>
  <si>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</si>
  <si>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</si>
  <si>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</si>
  <si>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</si>
  <si>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</si>
  <si>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</si>
  <si>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</si>
  <si>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</si>
  <si>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</si>
  <si>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</si>
  <si>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</si>
  <si>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</si>
  <si>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</si>
  <si>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</si>
  <si>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</si>
  <si>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</si>
  <si>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</si>
  <si>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</si>
  <si>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</si>
  <si>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</si>
  <si>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</si>
  <si>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</si>
  <si>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</si>
  <si>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</si>
  <si>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</si>
  <si>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</si>
  <si>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</si>
  <si>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</si>
  <si>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</si>
  <si>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</si>
  <si>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</si>
  <si>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</si>
  <si>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</si>
  <si>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</si>
  <si>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</si>
  <si>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</si>
  <si>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</si>
  <si>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</si>
  <si>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</si>
  <si>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</si>
  <si>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</si>
  <si>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</si>
  <si>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</si>
  <si>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</si>
  <si>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</si>
  <si>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</si>
  <si>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</si>
  <si>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</si>
  <si>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</si>
  <si>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</si>
  <si>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</si>
  <si>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</si>
  <si>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</si>
  <si>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</si>
  <si>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</si>
  <si>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</si>
  <si>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</si>
  <si>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</si>
  <si>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</si>
  <si>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</si>
  <si>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</si>
  <si>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</si>
  <si>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</si>
  <si>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</si>
  <si>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</si>
  <si>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</si>
  <si>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</si>
  <si>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</si>
  <si>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</si>
  <si>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</si>
  <si>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</si>
  <si>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</si>
  <si>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</si>
  <si>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</si>
  <si>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</si>
  <si>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</si>
  <si>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</si>
  <si>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</si>
  <si>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</si>
  <si>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</si>
  <si>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</si>
  <si>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</si>
  <si>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</si>
  <si>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</si>
  <si>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</si>
  <si>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</si>
  <si>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</si>
  <si>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</si>
  <si>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</si>
  <si>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</si>
  <si>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</si>
  <si>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</si>
  <si>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</si>
  <si>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</si>
  <si>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</si>
  <si>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</si>
  <si>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</si>
  <si>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</si>
  <si>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</si>
  <si>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</si>
  <si>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</si>
  <si>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</si>
  <si>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</si>
  <si>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</si>
  <si>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</si>
  <si>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</si>
  <si>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</si>
  <si>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</si>
  <si>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</si>
  <si>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</si>
  <si>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</si>
  <si>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</si>
  <si>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</si>
  <si>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</si>
  <si>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</si>
  <si>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</si>
  <si>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</si>
  <si>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</si>
  <si>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</si>
  <si>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</si>
  <si>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</si>
  <si>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</si>
  <si>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</si>
  <si>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</si>
  <si>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</si>
  <si>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</si>
  <si>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</si>
  <si>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</si>
  <si>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</si>
  <si>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</si>
  <si>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</si>
  <si>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</si>
  <si>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</si>
  <si>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</si>
  <si>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</si>
  <si>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</si>
  <si>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</si>
  <si>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</si>
  <si>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</si>
  <si>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</si>
  <si>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</si>
  <si>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</si>
  <si>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</si>
  <si>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</si>
  <si>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</si>
  <si>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</si>
  <si>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</si>
  <si>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</si>
  <si>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</si>
  <si>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</si>
  <si>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</si>
  <si>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</si>
  <si>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</si>
  <si>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</si>
  <si>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</si>
  <si>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</si>
  <si>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</si>
  <si>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</si>
  <si>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</si>
  <si>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</si>
  <si>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</si>
  <si>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</si>
  <si>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</si>
  <si>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</si>
  <si>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</si>
  <si>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</si>
  <si>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</si>
  <si>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</si>
  <si>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</si>
  <si>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</si>
  <si>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</si>
  <si>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</si>
  <si>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</si>
  <si>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</si>
  <si>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</si>
  <si>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</si>
  <si>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</si>
  <si>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</si>
  <si>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</si>
  <si>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</si>
  <si>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</si>
  <si>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</si>
  <si>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</si>
  <si>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</si>
  <si>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</si>
  <si>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</si>
  <si>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</si>
  <si>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</si>
  <si>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</si>
  <si>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</si>
  <si>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</si>
  <si>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</si>
  <si>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</si>
  <si>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</si>
  <si>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</si>
  <si>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</si>
  <si>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</si>
  <si>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</si>
  <si>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</si>
  <si>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</si>
  <si>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</si>
  <si>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</si>
  <si>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</si>
  <si>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</si>
  <si>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</si>
  <si>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</si>
  <si>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</si>
  <si>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</si>
  <si>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</si>
  <si>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</si>
  <si>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</si>
  <si>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</si>
  <si>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</si>
  <si>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</si>
  <si>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</si>
  <si>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</si>
  <si>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</si>
  <si>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</si>
  <si>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</si>
  <si>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</si>
  <si>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</si>
  <si>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</si>
  <si>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</si>
  <si>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</si>
  <si>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</si>
  <si>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</si>
  <si>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</si>
  <si>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</si>
  <si>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</si>
  <si>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</si>
  <si>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</si>
  <si>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</si>
  <si>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</si>
  <si>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</si>
  <si>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</si>
  <si>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</si>
  <si>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</si>
  <si>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</si>
  <si>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</si>
  <si>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</si>
  <si>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</si>
  <si>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</si>
  <si>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</si>
  <si>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</si>
  <si>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</si>
  <si>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</si>
  <si>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</si>
  <si>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</si>
  <si>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</si>
  <si>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</si>
  <si>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</si>
  <si>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</si>
  <si>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</si>
  <si>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</si>
  <si>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</si>
  <si>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</si>
  <si>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</si>
  <si>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</si>
  <si>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</si>
  <si>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</si>
  <si>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</si>
  <si>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</si>
  <si>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</si>
  <si>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</si>
  <si>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</si>
  <si>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</si>
  <si>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</si>
  <si>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</si>
  <si>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</si>
  <si>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</si>
  <si>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</si>
  <si>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</si>
  <si>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</si>
  <si>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</si>
  <si>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</si>
  <si>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</si>
  <si>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</si>
  <si>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</si>
  <si>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</si>
  <si>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</si>
  <si>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</si>
  <si>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</si>
  <si>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</si>
  <si>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</si>
  <si>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</si>
  <si>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</si>
  <si>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</si>
  <si>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</si>
  <si>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</si>
  <si>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</si>
  <si>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</si>
  <si>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</si>
  <si>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</si>
  <si>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</si>
  <si>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</si>
  <si>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</si>
  <si>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</si>
  <si>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</si>
  <si>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</si>
  <si>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</si>
  <si>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</si>
  <si>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</si>
  <si>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</si>
  <si>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</si>
  <si>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</si>
  <si>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</si>
  <si>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</si>
  <si>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</si>
  <si>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</si>
  <si>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</si>
  <si>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</si>
  <si>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</si>
  <si>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</si>
  <si>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</si>
  <si>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</si>
  <si>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</si>
  <si>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</si>
  <si>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</si>
  <si>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</si>
  <si>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</si>
  <si>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</si>
  <si>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</si>
  <si>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</si>
  <si>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</si>
  <si>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</si>
  <si>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</si>
  <si>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</si>
  <si>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</si>
  <si>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</si>
  <si>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</si>
  <si>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</si>
  <si>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</si>
  <si>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</si>
  <si>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</si>
  <si>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</si>
  <si>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</si>
  <si>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</si>
  <si>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</si>
  <si>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</si>
  <si>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</si>
  <si>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</si>
  <si>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</si>
  <si>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</si>
  <si>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</si>
  <si>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</si>
  <si>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</si>
  <si>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</si>
  <si>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</si>
  <si>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</si>
  <si>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</si>
  <si>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</si>
  <si>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</si>
  <si>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</si>
  <si>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</si>
  <si>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</si>
  <si>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</si>
  <si>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</si>
  <si>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</si>
  <si>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</si>
  <si>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</si>
  <si>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</si>
  <si>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</si>
  <si>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</si>
  <si>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</si>
  <si>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</si>
  <si>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</si>
  <si>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</si>
  <si>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</si>
  <si>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</si>
  <si>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</si>
  <si>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</si>
  <si>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</si>
  <si>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</si>
  <si>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</si>
  <si>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</si>
  <si>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</si>
  <si>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</si>
  <si>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</si>
  <si>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</si>
  <si>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</si>
  <si>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</si>
  <si>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</si>
  <si>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</si>
  <si>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</si>
  <si>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</si>
  <si>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</si>
  <si>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</si>
  <si>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</si>
  <si>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</si>
  <si>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</si>
  <si>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</si>
  <si>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</si>
  <si>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</si>
  <si>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</si>
  <si>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</si>
  <si>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</si>
  <si>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</si>
  <si>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</si>
  <si>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</si>
  <si>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</si>
  <si>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</si>
  <si>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</si>
  <si>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</si>
  <si>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</si>
  <si>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</si>
  <si>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</si>
  <si>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</si>
  <si>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</si>
  <si>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</si>
  <si>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</si>
  <si>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</si>
  <si>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</si>
  <si>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</si>
  <si>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</si>
  <si>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</si>
  <si>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</si>
  <si>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</si>
  <si>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</si>
  <si>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</si>
  <si>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</si>
  <si>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</si>
  <si>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</si>
  <si>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</si>
  <si>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</si>
  <si>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</si>
  <si>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</si>
  <si>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</si>
  <si>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</si>
  <si>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</si>
  <si>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</si>
  <si>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</si>
  <si>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</si>
  <si>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</si>
  <si>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</si>
  <si>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</si>
  <si>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</si>
  <si>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</si>
  <si>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</si>
  <si>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</si>
  <si>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</si>
  <si>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</si>
  <si>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</si>
  <si>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</si>
  <si>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</si>
  <si>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</si>
  <si>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</si>
  <si>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</si>
  <si>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</si>
  <si>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</si>
  <si>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</si>
  <si>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</si>
  <si>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</si>
  <si>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</si>
  <si>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</si>
  <si>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</si>
  <si>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</si>
  <si>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</si>
  <si>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</si>
  <si>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</si>
  <si>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</si>
  <si>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</si>
  <si>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</si>
  <si>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</si>
  <si>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</si>
  <si>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</si>
  <si>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</si>
  <si>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</si>
  <si>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</si>
  <si>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</si>
  <si>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</si>
  <si>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</si>
  <si>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</si>
  <si>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</si>
  <si>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</si>
  <si>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</si>
  <si>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</si>
  <si>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</si>
  <si>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</si>
  <si>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</si>
  <si>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</si>
  <si>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</si>
  <si>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</si>
  <si>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</si>
  <si>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</si>
  <si>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</si>
  <si>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</si>
  <si>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</si>
  <si>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</si>
  <si>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</si>
  <si>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</si>
  <si>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</si>
  <si>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</si>
  <si>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</si>
  <si>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</si>
  <si>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</si>
  <si>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</si>
  <si>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</si>
  <si>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</si>
  <si>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</si>
  <si>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</si>
  <si>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</si>
  <si>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</si>
  <si>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</si>
  <si>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</si>
  <si>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</si>
  <si>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</si>
  <si>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</si>
  <si>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</si>
  <si>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</si>
  <si>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</si>
  <si>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</si>
  <si>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</si>
  <si>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</si>
  <si>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</si>
  <si>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</si>
  <si>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</si>
  <si>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</si>
  <si>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</si>
  <si>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</si>
  <si>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</si>
  <si>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</si>
  <si>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</si>
  <si>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</si>
  <si>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</si>
  <si>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</si>
  <si>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</si>
  <si>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</si>
  <si>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</si>
  <si>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</si>
  <si>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</si>
  <si>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</si>
  <si>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</si>
  <si>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</si>
  <si>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</si>
  <si>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</si>
  <si>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</si>
  <si>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</si>
  <si>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</si>
  <si>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</si>
  <si>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</si>
  <si>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</si>
  <si>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</si>
  <si>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</si>
  <si>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</si>
  <si>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</si>
  <si>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</si>
  <si>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</si>
  <si>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</si>
  <si>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</si>
  <si>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</si>
  <si>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</si>
  <si>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</si>
  <si>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</si>
  <si>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</si>
  <si>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</si>
  <si>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</si>
  <si>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</si>
  <si>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</si>
  <si>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</si>
  <si>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</si>
  <si>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</si>
  <si>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</si>
  <si>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</si>
  <si>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</si>
  <si>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</si>
  <si>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</si>
  <si>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</si>
  <si>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</si>
  <si>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</si>
  <si>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</si>
  <si>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</si>
  <si>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</si>
  <si>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</si>
  <si>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</si>
  <si>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</si>
  <si>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</si>
  <si>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</si>
  <si>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</si>
  <si>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</si>
  <si>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</si>
  <si>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</si>
  <si>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</si>
  <si>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</si>
  <si>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</si>
  <si>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</si>
  <si>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</si>
  <si>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</si>
  <si>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</si>
  <si>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</si>
  <si>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</si>
  <si>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</si>
  <si>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</si>
  <si>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</si>
  <si>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</si>
  <si>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</si>
  <si>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</si>
  <si>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</si>
  <si>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</si>
  <si>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</si>
  <si>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</si>
  <si>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</si>
  <si>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</si>
  <si>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</si>
  <si>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</si>
  <si>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</si>
  <si>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</si>
  <si>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</si>
  <si>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</si>
  <si>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</si>
  <si>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</si>
  <si>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</si>
  <si>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</si>
  <si>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</si>
  <si>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</si>
  <si>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</si>
  <si>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</si>
  <si>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</si>
  <si>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</si>
  <si>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</si>
  <si>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</si>
  <si>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</si>
  <si>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</si>
  <si>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</si>
  <si>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</si>
  <si>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</si>
  <si>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</si>
  <si>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</si>
  <si>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</si>
  <si>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</si>
  <si>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</si>
  <si>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</si>
  <si>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</si>
  <si>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</si>
  <si>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</si>
  <si>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</si>
  <si>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</si>
  <si>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</si>
  <si>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</si>
  <si>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</si>
  <si>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</si>
  <si>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</si>
  <si>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</si>
  <si>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</si>
  <si>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</si>
  <si>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</si>
  <si>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</si>
  <si>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</si>
  <si>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</si>
  <si>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</si>
  <si>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</si>
  <si>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</si>
  <si>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</si>
  <si>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</si>
  <si>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</si>
  <si>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</si>
  <si>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</si>
  <si>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</si>
  <si>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</si>
  <si>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</si>
  <si>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</si>
  <si>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</si>
  <si>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</si>
  <si>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</si>
  <si>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</si>
  <si>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</si>
  <si>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</si>
  <si>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</si>
  <si>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</si>
  <si>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</si>
  <si>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</si>
  <si>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</si>
  <si>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</si>
  <si>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</si>
  <si>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</si>
  <si>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</si>
  <si>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</si>
  <si>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</si>
  <si>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</si>
  <si>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</si>
  <si>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</si>
  <si>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</si>
  <si>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</si>
  <si>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</si>
  <si>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</si>
  <si>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</si>
  <si>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</si>
  <si>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</si>
  <si>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</si>
  <si>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</si>
  <si>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</si>
  <si>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</si>
  <si>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</si>
  <si>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</si>
  <si>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</si>
  <si>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</si>
  <si>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</si>
  <si>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</si>
  <si>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</si>
  <si>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</si>
  <si>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</si>
  <si>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</si>
  <si>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</si>
  <si>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</si>
  <si>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</si>
  <si>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</si>
  <si>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</si>
  <si>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</si>
  <si>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</si>
  <si>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</si>
  <si>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</si>
  <si>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</si>
  <si>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</si>
  <si>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</si>
  <si>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</si>
  <si>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</si>
  <si>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</si>
  <si>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</si>
  <si>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</si>
  <si>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</si>
  <si>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</si>
  <si>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</si>
  <si>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</si>
  <si>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</si>
  <si>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</si>
  <si>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</si>
  <si>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</si>
  <si>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</si>
  <si>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</si>
  <si>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</si>
  <si>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</si>
  <si>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</si>
  <si>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</si>
  <si>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</si>
  <si>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</si>
  <si>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</si>
  <si>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</si>
  <si>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</si>
  <si>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</si>
  <si>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</si>
  <si>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</si>
  <si>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</si>
  <si>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</si>
  <si>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</si>
  <si>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</si>
  <si>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</si>
  <si>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</si>
  <si>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</si>
  <si>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</si>
  <si>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</si>
  <si>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</si>
  <si>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</si>
  <si>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</si>
  <si>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</si>
  <si>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</si>
  <si>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</si>
  <si>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</si>
  <si>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</si>
  <si>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</si>
  <si>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</si>
  <si>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</si>
  <si>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</si>
  <si>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</si>
  <si>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</si>
  <si>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</si>
  <si>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</si>
  <si>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</si>
  <si>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</si>
  <si>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</si>
  <si>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</si>
  <si>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</si>
  <si>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</si>
  <si>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</si>
  <si>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</si>
  <si>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</si>
  <si>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</si>
  <si>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</si>
  <si>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</si>
  <si>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</si>
  <si>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</si>
  <si>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</si>
  <si>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</si>
  <si>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</si>
  <si>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</si>
  <si>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</si>
  <si>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</si>
  <si>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</si>
  <si>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</si>
  <si>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</si>
  <si>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</si>
  <si>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</si>
  <si>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</si>
  <si>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</si>
  <si>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</si>
  <si>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</si>
  <si>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</si>
  <si>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</si>
  <si>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</si>
  <si>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</si>
  <si>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</si>
  <si>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</si>
  <si>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</si>
  <si>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</si>
  <si>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</si>
  <si>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</si>
  <si>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</si>
  <si>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</si>
  <si>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</si>
  <si>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</si>
  <si>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</si>
  <si>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</si>
  <si>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</si>
  <si>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</si>
  <si>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</si>
  <si>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</si>
  <si>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</si>
  <si>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</si>
  <si>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</si>
  <si>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</si>
  <si>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</si>
  <si>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</si>
  <si>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</si>
  <si>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</si>
  <si>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</si>
  <si>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</si>
  <si>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</si>
  <si>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</si>
  <si>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</si>
  <si>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</si>
  <si>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</si>
  <si>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</si>
  <si>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</si>
  <si>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</si>
  <si>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</si>
  <si>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</si>
  <si>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</si>
  <si>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</si>
  <si>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</si>
  <si>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</si>
  <si>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</si>
  <si>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</si>
  <si>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</si>
  <si>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</si>
  <si>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</si>
  <si>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</si>
  <si>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</si>
  <si>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</si>
  <si>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</si>
  <si>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</si>
  <si>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</si>
  <si>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</si>
  <si>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</si>
  <si>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</si>
  <si>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</si>
  <si>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</si>
  <si>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</si>
  <si>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</si>
  <si>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</si>
  <si>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</si>
  <si>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</si>
  <si>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</si>
  <si>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</si>
  <si>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</si>
  <si>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</si>
  <si>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</si>
  <si>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</si>
  <si>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</si>
  <si>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</si>
  <si>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</si>
  <si>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</si>
  <si>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</si>
  <si>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</si>
  <si>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</si>
  <si>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</si>
  <si>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</si>
  <si>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</si>
  <si>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</si>
  <si>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</si>
  <si>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</si>
  <si>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</si>
  <si>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</si>
  <si>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</si>
  <si>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Row Labels</t>
  </si>
  <si>
    <t>(blank)</t>
  </si>
  <si>
    <t>Grand Total</t>
  </si>
  <si>
    <t>Count of user_id</t>
  </si>
  <si>
    <t>Column Labels</t>
  </si>
  <si>
    <t>CONVERSION DEVICE</t>
  </si>
  <si>
    <t>CONVERSION BY PLAN_TYPE</t>
  </si>
  <si>
    <t>TRAFFIC SOURCE SEFMENT</t>
  </si>
  <si>
    <t>Sum of revenue_30d</t>
  </si>
  <si>
    <t>REGION DISTRIBUTION and REVENUE</t>
  </si>
  <si>
    <t>User count</t>
  </si>
  <si>
    <t>Number of users in each group</t>
  </si>
  <si>
    <t>Landing page visit rate</t>
  </si>
  <si>
    <t>Users who visited landing page / total users</t>
  </si>
  <si>
    <t>Trial start rate</t>
  </si>
  <si>
    <t>Users who started trial / total users</t>
  </si>
  <si>
    <t>Onboarding completion rate</t>
  </si>
  <si>
    <t>Users who completed onboarding / total users</t>
  </si>
  <si>
    <t>Paid conversion rate</t>
  </si>
  <si>
    <t>Users converted to paid / total users</t>
  </si>
  <si>
    <t>Average revenue per user</t>
  </si>
  <si>
    <t>Total revenue / total users</t>
  </si>
  <si>
    <t>Average revenue per converted user</t>
  </si>
  <si>
    <t>Revenue / converted users</t>
  </si>
  <si>
    <t>Refund rate</t>
  </si>
  <si>
    <t>Refund requests / total users</t>
  </si>
  <si>
    <t>Support ticket rate</t>
  </si>
  <si>
    <t>Users with support tickets / total users</t>
  </si>
  <si>
    <t>Average engagement score</t>
  </si>
  <si>
    <t>Average score by group</t>
  </si>
  <si>
    <t>Average days to convert</t>
  </si>
  <si>
    <t>Average days for users who converted</t>
  </si>
  <si>
    <t>Metric</t>
  </si>
  <si>
    <t>Required Calculation</t>
  </si>
  <si>
    <t>Sum of Control-visited_landing_page</t>
  </si>
  <si>
    <t>Control Group</t>
  </si>
  <si>
    <t>Treatment Group</t>
  </si>
  <si>
    <t>Groups</t>
  </si>
  <si>
    <t xml:space="preserve">               -</t>
  </si>
  <si>
    <t xml:space="preserve">             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</si>
</sst>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71" formatCode="0.000%"/>
    <numFmt numFmtId="175" formatCode="0.000"/>
    <numFmt numFmtId="179" formatCode="\$#,##0.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0"/>
      <color rgb="FF24292F"/>
      <name val="Segoe UI"/>
      <family val="2"/>
    </font>
    <font>
      <b/>
      <sz val="16"/>
      <color theme="0"/>
      <name val="Calibri"/>
      <family val="2"/>
      <scheme val="minor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6E4F0"/>
        <bgColor rgb="FFD9EAD3"/>
      </patternFill>
    </fill>
    <fill>
      <patternFill patternType="solid">
        <fgColor rgb="FFD9EAD3"/>
        <bgColor rgb="FFD6E4F0"/>
      </patternFill>
    </fill>
  </fills>
  <borders count="3">
    <border>
      <left/>
      <right/>
      <top/>
      <bottom/>
      <diagonal/>
    </border>
    <border>
      <left style="medium">
        <color rgb="FFD0D7DE"/>
      </left>
      <right style="medium">
        <color rgb="FFD0D7DE"/>
      </right>
      <top style="medium">
        <color rgb="FFD0D7DE"/>
      </top>
      <bottom style="medium">
        <color rgb="FFD0D7DE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4" fillId="2" borderId="0" xfId="0" applyFont="1" applyFill="1"/>
    <xf numFmtId="0" fontId="2" fillId="2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0" fillId="2" borderId="0" xfId="0" applyFill="1" applyAlignment="1">
      <alignment horizontal="center"/>
    </xf>
    <xf numFmtId="0" fontId="5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5" fillId="2" borderId="0" xfId="0" applyFont="1" applyFill="1"/>
    <xf numFmtId="0" fontId="6" fillId="3" borderId="1" xfId="0" applyFont="1" applyFill="1" applyBorder="1" applyAlignment="1">
      <alignment horizontal="left" vertical="center" wrapText="1" indent="1"/>
    </xf>
    <xf numFmtId="0" fontId="6" fillId="4" borderId="1" xfId="0" applyFont="1" applyFill="1" applyBorder="1" applyAlignment="1">
      <alignment horizontal="left" vertical="center" wrapText="1" indent="1"/>
    </xf>
    <xf numFmtId="0" fontId="7" fillId="2" borderId="0" xfId="0" applyFont="1" applyFill="1"/>
    <xf numFmtId="9" fontId="0" fillId="0" borderId="0" xfId="2" applyFont="1"/>
    <xf numFmtId="10" fontId="0" fillId="0" borderId="0" xfId="2" applyNumberFormat="1" applyFont="1"/>
    <xf numFmtId="171" fontId="0" fillId="0" borderId="0" xfId="2" applyNumberFormat="1" applyFont="1"/>
    <xf numFmtId="2" fontId="0" fillId="0" borderId="0" xfId="2" applyNumberFormat="1" applyFont="1"/>
    <xf numFmtId="44" fontId="0" fillId="0" borderId="0" xfId="1" applyFont="1"/>
    <xf numFmtId="175" fontId="0" fillId="0" borderId="0" xfId="0" applyNumberFormat="1"/>
    <xf numFmtId="0" fontId="0" fillId="0" borderId="0" xfId="0" applyAlignment="1">
      <alignment wrapText="1"/>
    </xf>
    <xf numFmtId="0" fontId="0" fillId="5" borderId="0" xfId="0" applyFill="1"/>
    <xf numFmtId="10" fontId="8" fillId="6" borderId="2" xfId="0" applyNumberFormat="1" applyFont="1" applyFill="1" applyBorder="1" applyAlignment="1">
      <alignment horizontal="center" vertical="center"/>
    </xf>
    <xf numFmtId="10" fontId="8" fillId="7" borderId="2" xfId="0" applyNumberFormat="1" applyFont="1" applyFill="1" applyBorder="1" applyAlignment="1">
      <alignment horizontal="center" vertical="center"/>
    </xf>
    <xf numFmtId="179" fontId="8" fillId="6" borderId="2" xfId="0" applyNumberFormat="1" applyFont="1" applyFill="1" applyBorder="1" applyAlignment="1">
      <alignment horizontal="center" vertical="center"/>
    </xf>
    <xf numFmtId="179" fontId="8" fillId="7" borderId="2" xfId="0" applyNumberFormat="1" applyFont="1" applyFill="1" applyBorder="1" applyAlignment="1">
      <alignment horizontal="center" vertical="center"/>
    </xf>
    <xf numFmtId="9" fontId="3" fillId="0" borderId="0" xfId="2" applyFont="1"/>
    <xf numFmtId="175" fontId="3" fillId="0" borderId="0" xfId="0" applyNumberFormat="1" applyFont="1"/>
  </cellXfs>
  <cellStyles count="3">
    <cellStyle name="Currency" xfId="1" builtinId="4"/>
    <cellStyle name="Normal" xfId="0" builtinId="0"/>
    <cellStyle name="Percent" xfId="2" builtinId="5"/>
  </cellStyles>
  <dxfs count="2"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wetha Brahmanlapalli" refreshedDate="46198.41677546296" createdVersion="8" refreshedVersion="8" minRefreshableVersion="3" recordCount="1411" xr:uid="{8D0D5162-6266-48ED-B2ED-9A419EC9B390}">
  <cacheSource type="worksheet">
    <worksheetSource ref="A1:AA1048576" sheet="experiment_data"/>
  </cacheSource>
  <cacheFields count="27">
    <cacheField name="user_id" numFmtId="0">
      <sharedItems containsBlank="1" count="1401">
        <s v="USR-100001"/>
        <s v="USR-100002"/>
        <s v="USR-100003"/>
        <s v="USR-100004"/>
        <s v="USR-100005"/>
        <s v="USR-100006"/>
        <s v="USR-100007"/>
        <s v="USR-100008"/>
        <s v="USR-100009"/>
        <s v="USR-100010"/>
        <s v="USR-100011"/>
        <s v="USR-100012"/>
        <s v="USR-100013"/>
        <s v="USR-100014"/>
        <s v="USR-100015"/>
        <s v="USR-100016"/>
        <s v="USR-100017"/>
        <s v="USR-100018"/>
        <s v="USR-100019"/>
        <s v="USR-100020"/>
        <s v="USR-100021"/>
        <s v="USR-100022"/>
        <s v="USR-100023"/>
        <s v="USR-100024"/>
        <s v="USR-100025"/>
        <s v="USR-100026"/>
        <s v="USR-100027"/>
        <s v="USR-100028"/>
        <s v="USR-100029"/>
        <s v="USR-100030"/>
        <s v="USR-100031"/>
        <s v="USR-100032"/>
        <s v="USR-100033"/>
        <s v="USR-100034"/>
        <s v="USR-100035"/>
        <s v="USR-100036"/>
        <s v="USR-100037"/>
        <s v="USR-100038"/>
        <s v="USR-100039"/>
        <s v="USR-100040"/>
        <s v="USR-100041"/>
        <s v="USR-100042"/>
        <s v="USR-100043"/>
        <s v="USR-100044"/>
        <s v="USR-100045"/>
        <s v="USR-100046"/>
        <s v="USR-100047"/>
        <s v="USR-100048"/>
        <s v="USR-100049"/>
        <s v="USR-100050"/>
        <s v="USR-100051"/>
        <s v="USR-100052"/>
        <s v="USR-100053"/>
        <s v="USR-100054"/>
        <s v="USR-100055"/>
        <s v="USR-100056"/>
        <s v="USR-100057"/>
        <s v="USR-100058"/>
        <s v="USR-100059"/>
        <s v="USR-100060"/>
        <s v="USR-100061"/>
        <s v="USR-100062"/>
        <s v="USR-100063"/>
        <s v="USR-100064"/>
        <s v="USR-100065"/>
        <s v="USR-100066"/>
        <s v="USR-100067"/>
        <s v="USR-100068"/>
        <s v="USR-100069"/>
        <s v="USR-100070"/>
        <s v="USR-100071"/>
        <s v="USR-100072"/>
        <s v="USR-100073"/>
        <s v="USR-100074"/>
        <s v="USR-100075"/>
        <s v="USR-100076"/>
        <s v="USR-100077"/>
        <s v="USR-100078"/>
        <s v="USR-100079"/>
        <s v="USR-100080"/>
        <s v="USR-100081"/>
        <s v="USR-100082"/>
        <s v="USR-100083"/>
        <s v="USR-100084"/>
        <s v="USR-100085"/>
        <s v="USR-100086"/>
        <s v="USR-100087"/>
        <s v="USR-100088"/>
        <s v="USR-100089"/>
        <s v="USR-100090"/>
        <s v="USR-100091"/>
        <s v="USR-100092"/>
        <s v="USR-100093"/>
        <s v="USR-100094"/>
        <s v="USR-100095"/>
        <s v="USR-100096"/>
        <s v="USR-100097"/>
        <s v="USR-100098"/>
        <s v="USR-100099"/>
        <s v="USR-100100"/>
        <s v="USR-100101"/>
        <s v="USR-100102"/>
        <s v="USR-100103"/>
        <s v="USR-100104"/>
        <s v="USR-100105"/>
        <s v="USR-100106"/>
        <s v="USR-100107"/>
        <s v="USR-100108"/>
        <s v="USR-100109"/>
        <s v="USR-100110"/>
        <s v="USR-100111"/>
        <s v="USR-100112"/>
        <s v="USR-100113"/>
        <s v="USR-100114"/>
        <s v="USR-100115"/>
        <s v="USR-100116"/>
        <s v="USR-100117"/>
        <s v="USR-100118"/>
        <s v="USR-100119"/>
        <s v="USR-100120"/>
        <s v="USR-100121"/>
        <s v="USR-100122"/>
        <s v="USR-100123"/>
        <s v="USR-100124"/>
        <s v="USR-100125"/>
        <s v="USR-100126"/>
        <s v="USR-100127"/>
        <s v="USR-100128"/>
        <s v="USR-100129"/>
        <s v="USR-100130"/>
        <s v="USR-100131"/>
        <s v="USR-100132"/>
        <s v="USR-100133"/>
        <s v="USR-100134"/>
        <s v="USR-100135"/>
        <s v="USR-100136"/>
        <s v="USR-100137"/>
        <s v="USR-100138"/>
        <s v="USR-100139"/>
        <s v="USR-100140"/>
        <s v="USR-100141"/>
        <s v="USR-100142"/>
        <s v="USR-100143"/>
        <s v="USR-100144"/>
        <s v="USR-100145"/>
        <s v="USR-100146"/>
        <s v="USR-100147"/>
        <s v="USR-100148"/>
        <s v="USR-100149"/>
        <s v="USR-100150"/>
        <s v="USR-100151"/>
        <s v="USR-100152"/>
        <s v="USR-100153"/>
        <s v="USR-100154"/>
        <s v="USR-100155"/>
        <s v="USR-100156"/>
        <s v="USR-100157"/>
        <s v="USR-100158"/>
        <s v="USR-100159"/>
        <s v="USR-100160"/>
        <s v="USR-100161"/>
        <s v="USR-100162"/>
        <s v="USR-100163"/>
        <s v="USR-100164"/>
        <s v="USR-100165"/>
        <s v="USR-100166"/>
        <s v="USR-100167"/>
        <s v="USR-100168"/>
        <s v="USR-100169"/>
        <s v="USR-100170"/>
        <s v="USR-100171"/>
        <s v="USR-100172"/>
        <s v="USR-100173"/>
        <s v="USR-100174"/>
        <s v="USR-100175"/>
        <s v="USR-100176"/>
        <s v="USR-100177"/>
        <s v="USR-100178"/>
        <s v="USR-100179"/>
        <s v="USR-100180"/>
        <s v="USR-100181"/>
        <s v="USR-100182"/>
        <s v="USR-100183"/>
        <s v="USR-100184"/>
        <s v="USR-100185"/>
        <s v="USR-100186"/>
        <s v="USR-100187"/>
        <s v="USR-100188"/>
        <s v="USR-100189"/>
        <s v="USR-100190"/>
        <s v="USR-100191"/>
        <s v="USR-100192"/>
        <s v="USR-100193"/>
        <s v="USR-100194"/>
        <s v="USR-100195"/>
        <s v="USR-100196"/>
        <s v="USR-100197"/>
        <s v="USR-100198"/>
        <s v="USR-100199"/>
        <s v="USR-100200"/>
        <s v="USR-100201"/>
        <s v="USR-100202"/>
        <s v="USR-100203"/>
        <s v="USR-100204"/>
        <s v="USR-100205"/>
        <s v="USR-100206"/>
        <s v="USR-100207"/>
        <s v="USR-100208"/>
        <s v="USR-100209"/>
        <s v="USR-100210"/>
        <s v="USR-100211"/>
        <s v="USR-100212"/>
        <s v="USR-100213"/>
        <s v="USR-100214"/>
        <s v="USR-100215"/>
        <s v="USR-100216"/>
        <s v="USR-100217"/>
        <s v="USR-100218"/>
        <s v="USR-100219"/>
        <s v="USR-100220"/>
        <s v="USR-100221"/>
        <s v="USR-100222"/>
        <s v="USR-100223"/>
        <s v="USR-100224"/>
        <s v="USR-100225"/>
        <s v="USR-100226"/>
        <s v="USR-100227"/>
        <s v="USR-100228"/>
        <s v="USR-100229"/>
        <s v="USR-100230"/>
        <s v="USR-100231"/>
        <s v="USR-100232"/>
        <s v="USR-100233"/>
        <s v="USR-100234"/>
        <s v="USR-100235"/>
        <s v="USR-100236"/>
        <s v="USR-100237"/>
        <s v="USR-100238"/>
        <s v="USR-100239"/>
        <s v="USR-100240"/>
        <s v="USR-100241"/>
        <s v="USR-100242"/>
        <s v="USR-100243"/>
        <s v="USR-100244"/>
        <s v="USR-100245"/>
        <s v="USR-100246"/>
        <s v="USR-100247"/>
        <s v="USR-100248"/>
        <s v="USR-100249"/>
        <s v="USR-100250"/>
        <s v="USR-100251"/>
        <s v="USR-100252"/>
        <s v="USR-100253"/>
        <s v="USR-100254"/>
        <s v="USR-100255"/>
        <s v="USR-100256"/>
        <s v="USR-100257"/>
        <s v="USR-100258"/>
        <s v="USR-100259"/>
        <s v="USR-100260"/>
        <s v="USR-100261"/>
        <s v="USR-100262"/>
        <s v="USR-100263"/>
        <s v="USR-100264"/>
        <s v="USR-100265"/>
        <s v="USR-100266"/>
        <s v="USR-100267"/>
        <s v="USR-100268"/>
        <s v="USR-100269"/>
        <s v="USR-100270"/>
        <s v="USR-100271"/>
        <s v="USR-100272"/>
        <s v="USR-100273"/>
        <s v="USR-100274"/>
        <s v="USR-100275"/>
        <s v="USR-100276"/>
        <s v="USR-100277"/>
        <s v="USR-100278"/>
        <s v="USR-100279"/>
        <s v="USR-100280"/>
        <s v="USR-100281"/>
        <s v="USR-100282"/>
        <s v="USR-100283"/>
        <s v="USR-100284"/>
        <s v="USR-100285"/>
        <s v="USR-100286"/>
        <s v="USR-100287"/>
        <s v="USR-100288"/>
        <s v="USR-100289"/>
        <s v="USR-100290"/>
        <s v="USR-100291"/>
        <s v="USR-100292"/>
        <s v="USR-100293"/>
        <s v="USR-100294"/>
        <s v="USR-100295"/>
        <s v="USR-100296"/>
        <s v="USR-100297"/>
        <s v="USR-100298"/>
        <s v="USR-100299"/>
        <s v="USR-100300"/>
        <s v="USR-100301"/>
        <s v="USR-100302"/>
        <s v="USR-100303"/>
        <s v="USR-100304"/>
        <s v="USR-100305"/>
        <s v="USR-100306"/>
        <s v="USR-100307"/>
        <s v="USR-100308"/>
        <s v="USR-100309"/>
        <s v="USR-100310"/>
        <s v="USR-100311"/>
        <s v="USR-100312"/>
        <s v="USR-100313"/>
        <s v="USR-100314"/>
        <s v="USR-100315"/>
        <s v="USR-100316"/>
        <s v="USR-100317"/>
        <s v="USR-100318"/>
        <s v="USR-100319"/>
        <s v="USR-100320"/>
        <s v="USR-100321"/>
        <s v="USR-100322"/>
        <s v="USR-100323"/>
        <s v="USR-100324"/>
        <s v="USR-100325"/>
        <s v="USR-100326"/>
        <s v="USR-100327"/>
        <s v="USR-100328"/>
        <s v="USR-100329"/>
        <s v="USR-100330"/>
        <s v="USR-100331"/>
        <s v="USR-100332"/>
        <s v="USR-100333"/>
        <s v="USR-100334"/>
        <s v="USR-100335"/>
        <s v="USR-100336"/>
        <s v="USR-100337"/>
        <s v="USR-100338"/>
        <s v="USR-100339"/>
        <s v="USR-100340"/>
        <s v="USR-100341"/>
        <s v="USR-100342"/>
        <s v="USR-100343"/>
        <s v="USR-100344"/>
        <s v="USR-100345"/>
        <s v="USR-100346"/>
        <s v="USR-100347"/>
        <s v="USR-100348"/>
        <s v="USR-100349"/>
        <s v="USR-100350"/>
        <s v="USR-100351"/>
        <s v="USR-100352"/>
        <s v="USR-100353"/>
        <s v="USR-100354"/>
        <s v="USR-100355"/>
        <s v="USR-100356"/>
        <s v="USR-100357"/>
        <s v="USR-100358"/>
        <s v="USR-100359"/>
        <s v="USR-100360"/>
        <s v="USR-100361"/>
        <s v="USR-100362"/>
        <s v="USR-100363"/>
        <s v="USR-100364"/>
        <s v="USR-100365"/>
        <s v="USR-100366"/>
        <s v="USR-100367"/>
        <s v="USR-100368"/>
        <s v="USR-100369"/>
        <s v="USR-100370"/>
        <s v="USR-100371"/>
        <s v="USR-100372"/>
        <s v="USR-100373"/>
        <s v="USR-100374"/>
        <s v="USR-100375"/>
        <s v="USR-100376"/>
        <s v="USR-100377"/>
        <s v="USR-100378"/>
        <s v="USR-100379"/>
        <s v="USR-100380"/>
        <s v="USR-100381"/>
        <s v="USR-100382"/>
        <s v="USR-100383"/>
        <s v="USR-100384"/>
        <s v="USR-100385"/>
        <s v="USR-100386"/>
        <s v="USR-100387"/>
        <s v="USR-100388"/>
        <s v="USR-100389"/>
        <s v="USR-100390"/>
        <s v="USR-100391"/>
        <s v="USR-100392"/>
        <s v="USR-100393"/>
        <s v="USR-100394"/>
        <s v="USR-100395"/>
        <s v="USR-100396"/>
        <s v="USR-100397"/>
        <s v="USR-100398"/>
        <s v="USR-100399"/>
        <s v="USR-100400"/>
        <s v="USR-100401"/>
        <s v="USR-100402"/>
        <s v="USR-100403"/>
        <s v="USR-100404"/>
        <s v="USR-100405"/>
        <s v="USR-100406"/>
        <s v="USR-100407"/>
        <s v="USR-100408"/>
        <s v="USR-100409"/>
        <s v="USR-100410"/>
        <s v="USR-100411"/>
        <s v="USR-100412"/>
        <s v="USR-100413"/>
        <s v="USR-100414"/>
        <s v="USR-100415"/>
        <s v="USR-100416"/>
        <s v="USR-100417"/>
        <s v="USR-100418"/>
        <s v="USR-100419"/>
        <s v="USR-100420"/>
        <s v="USR-100421"/>
        <s v="USR-100422"/>
        <s v="USR-100423"/>
        <s v="USR-100424"/>
        <s v="USR-100425"/>
        <s v="USR-100426"/>
        <s v="USR-100427"/>
        <s v="USR-100428"/>
        <s v="USR-100429"/>
        <s v="USR-100430"/>
        <s v="USR-100431"/>
        <s v="USR-100432"/>
        <s v="USR-100433"/>
        <s v="USR-100434"/>
        <s v="USR-100435"/>
        <s v="USR-100436"/>
        <s v="USR-100437"/>
        <s v="USR-100438"/>
        <s v="USR-100439"/>
        <s v="USR-100440"/>
        <s v="USR-100441"/>
        <s v="USR-100442"/>
        <s v="USR-100443"/>
        <s v="USR-100444"/>
        <s v="USR-100445"/>
        <s v="USR-100446"/>
        <s v="USR-100447"/>
        <s v="USR-100448"/>
        <s v="USR-100449"/>
        <s v="USR-100450"/>
        <s v="USR-100451"/>
        <s v="USR-100452"/>
        <s v="USR-100453"/>
        <s v="USR-100454"/>
        <s v="USR-100455"/>
        <s v="USR-100456"/>
        <s v="USR-100457"/>
        <s v="USR-100458"/>
        <s v="USR-100459"/>
        <s v="USR-100460"/>
        <s v="USR-100461"/>
        <s v="USR-100462"/>
        <s v="USR-100463"/>
        <s v="USR-100464"/>
        <s v="USR-100465"/>
        <s v="USR-100466"/>
        <s v="USR-100467"/>
        <s v="USR-100468"/>
        <s v="USR-100469"/>
        <s v="USR-100470"/>
        <s v="USR-100471"/>
        <s v="USR-100472"/>
        <s v="USR-100473"/>
        <s v="USR-100474"/>
        <s v="USR-100475"/>
        <s v="USR-100476"/>
        <s v="USR-100477"/>
        <s v="USR-100478"/>
        <s v="USR-100479"/>
        <s v="USR-100480"/>
        <s v="USR-100481"/>
        <s v="USR-100482"/>
        <s v="USR-100483"/>
        <s v="USR-100484"/>
        <s v="USR-100485"/>
        <s v="USR-100486"/>
        <s v="USR-100487"/>
        <s v="USR-100488"/>
        <s v="USR-100489"/>
        <s v="USR-100490"/>
        <s v="USR-100491"/>
        <s v="USR-100492"/>
        <s v="USR-100493"/>
        <s v="USR-100494"/>
        <s v="USR-100495"/>
        <s v="USR-100496"/>
        <s v="USR-100497"/>
        <s v="USR-100498"/>
        <s v="USR-100499"/>
        <s v="USR-100500"/>
        <s v="USR-100501"/>
        <s v="USR-100502"/>
        <s v="USR-100503"/>
        <s v="USR-100504"/>
        <s v="USR-100505"/>
        <s v="USR-100506"/>
        <s v="USR-100507"/>
        <s v="USR-100508"/>
        <s v="USR-100509"/>
        <s v="USR-100510"/>
        <s v="USR-100511"/>
        <s v="USR-100512"/>
        <s v="USR-100513"/>
        <s v="USR-100514"/>
        <s v="USR-100515"/>
        <s v="USR-100516"/>
        <s v="USR-100517"/>
        <s v="USR-100518"/>
        <s v="USR-100519"/>
        <s v="USR-100520"/>
        <s v="USR-100521"/>
        <s v="USR-100522"/>
        <s v="USR-100523"/>
        <s v="USR-100524"/>
        <s v="USR-100525"/>
        <s v="USR-100526"/>
        <s v="USR-100527"/>
        <s v="USR-100528"/>
        <s v="USR-100529"/>
        <s v="USR-100530"/>
        <s v="USR-100531"/>
        <s v="USR-100532"/>
        <s v="USR-100533"/>
        <s v="USR-100534"/>
        <s v="USR-100535"/>
        <s v="USR-100536"/>
        <s v="USR-100537"/>
        <s v="USR-100538"/>
        <s v="USR-100539"/>
        <s v="USR-100540"/>
        <s v="USR-100541"/>
        <s v="USR-100542"/>
        <s v="USR-100543"/>
        <s v="USR-100544"/>
        <s v="USR-100545"/>
        <s v="USR-100546"/>
        <s v="USR-100547"/>
        <s v="USR-100548"/>
        <s v="USR-100549"/>
        <s v="USR-100550"/>
        <s v="USR-100551"/>
        <s v="USR-100552"/>
        <s v="USR-100553"/>
        <s v="USR-100554"/>
        <s v="USR-100555"/>
        <s v="USR-100556"/>
        <s v="USR-100557"/>
        <s v="USR-100558"/>
        <s v="USR-100559"/>
        <s v="USR-100560"/>
        <s v="USR-100561"/>
        <s v="USR-100562"/>
        <s v="USR-100563"/>
        <s v="USR-100564"/>
        <s v="USR-100565"/>
        <s v="USR-100566"/>
        <s v="USR-100567"/>
        <s v="USR-100568"/>
        <s v="USR-100569"/>
        <s v="USR-100570"/>
        <s v="USR-100571"/>
        <s v="USR-100572"/>
        <s v="USR-100573"/>
        <s v="USR-100574"/>
        <s v="USR-100575"/>
        <s v="USR-100576"/>
        <s v="USR-100577"/>
        <s v="USR-100578"/>
        <s v="USR-100579"/>
        <s v="USR-100580"/>
        <s v="USR-100581"/>
        <s v="USR-100582"/>
        <s v="USR-100583"/>
        <s v="USR-100584"/>
        <s v="USR-100585"/>
        <s v="USR-100586"/>
        <s v="USR-100587"/>
        <s v="USR-100588"/>
        <s v="USR-100589"/>
        <s v="USR-100590"/>
        <s v="USR-100591"/>
        <s v="USR-100592"/>
        <s v="USR-100593"/>
        <s v="USR-100594"/>
        <s v="USR-100595"/>
        <s v="USR-100596"/>
        <s v="USR-100597"/>
        <s v="USR-100598"/>
        <s v="USR-100599"/>
        <s v="USR-100600"/>
        <s v="USR-100601"/>
        <s v="USR-100602"/>
        <s v="USR-100603"/>
        <s v="USR-100604"/>
        <s v="USR-100605"/>
        <s v="USR-100606"/>
        <s v="USR-100607"/>
        <s v="USR-100608"/>
        <s v="USR-100609"/>
        <s v="USR-100610"/>
        <s v="USR-100611"/>
        <s v="USR-100612"/>
        <s v="USR-100613"/>
        <s v="USR-100614"/>
        <s v="USR-100615"/>
        <s v="USR-100616"/>
        <s v="USR-100617"/>
        <s v="USR-100618"/>
        <s v="USR-100619"/>
        <s v="USR-100620"/>
        <s v="USR-100621"/>
        <s v="USR-100622"/>
        <s v="USR-100623"/>
        <s v="USR-100624"/>
        <s v="USR-100625"/>
        <s v="USR-100626"/>
        <s v="USR-100627"/>
        <s v="USR-100628"/>
        <s v="USR-100629"/>
        <s v="USR-100630"/>
        <s v="USR-100631"/>
        <s v="USR-100632"/>
        <s v="USR-100633"/>
        <s v="USR-100634"/>
        <s v="USR-100635"/>
        <s v="USR-100636"/>
        <s v="USR-100637"/>
        <s v="USR-100638"/>
        <s v="USR-100639"/>
        <s v="USR-100640"/>
        <s v="USR-100641"/>
        <s v="USR-100642"/>
        <s v="USR-100643"/>
        <s v="USR-100644"/>
        <s v="USR-100645"/>
        <s v="USR-100646"/>
        <s v="USR-100647"/>
        <s v="USR-100648"/>
        <s v="USR-100649"/>
        <s v="USR-100650"/>
        <s v="USR-100651"/>
        <s v="USR-100652"/>
        <s v="USR-100653"/>
        <s v="USR-100654"/>
        <s v="USR-100655"/>
        <s v="USR-100656"/>
        <s v="USR-100657"/>
        <s v="USR-100658"/>
        <s v="USR-100659"/>
        <s v="USR-100660"/>
        <s v="USR-100661"/>
        <s v="USR-100662"/>
        <s v="USR-100663"/>
        <s v="USR-100664"/>
        <s v="USR-100665"/>
        <s v="USR-100666"/>
        <s v="USR-100667"/>
        <s v="USR-100668"/>
        <s v="USR-100669"/>
        <s v="USR-100670"/>
        <s v="USR-100671"/>
        <s v="USR-100672"/>
        <s v="USR-100673"/>
        <s v="USR-100674"/>
        <s v="USR-100675"/>
        <s v="USR-100676"/>
        <s v="USR-100677"/>
        <s v="USR-100678"/>
        <s v="USR-100679"/>
        <s v="USR-100680"/>
        <s v="USR-100681"/>
        <s v="USR-100682"/>
        <s v="USR-100683"/>
        <s v="USR-100684"/>
        <s v="USR-100685"/>
        <s v="USR-100686"/>
        <s v="USR-100687"/>
        <s v="USR-100688"/>
        <s v="USR-100689"/>
        <s v="USR-100690"/>
        <s v="USR-100691"/>
        <s v="USR-100692"/>
        <s v="USR-100693"/>
        <s v="USR-100694"/>
        <s v="USR-100695"/>
        <s v="USR-100696"/>
        <s v="USR-100697"/>
        <s v="USR-100698"/>
        <s v="USR-100699"/>
        <s v="USR-100700"/>
        <s v="USR-100701"/>
        <s v="USR-100702"/>
        <s v="USR-100703"/>
        <s v="USR-100704"/>
        <s v="USR-100705"/>
        <s v="USR-100706"/>
        <s v="USR-100707"/>
        <s v="USR-100708"/>
        <s v="USR-100709"/>
        <s v="USR-100710"/>
        <s v="USR-100711"/>
        <s v="USR-100712"/>
        <s v="USR-100713"/>
        <s v="USR-100714"/>
        <s v="USR-100715"/>
        <s v="USR-100716"/>
        <s v="USR-100717"/>
        <s v="USR-100718"/>
        <s v="USR-100719"/>
        <s v="USR-100720"/>
        <s v="USR-100721"/>
        <s v="USR-100722"/>
        <s v="USR-100723"/>
        <s v="USR-100724"/>
        <s v="USR-100725"/>
        <s v="USR-100726"/>
        <s v="USR-100727"/>
        <s v="USR-100728"/>
        <s v="USR-100729"/>
        <s v="USR-100730"/>
        <s v="USR-100731"/>
        <s v="USR-100732"/>
        <s v="USR-100733"/>
        <s v="USR-100734"/>
        <s v="USR-100735"/>
        <s v="USR-100736"/>
        <s v="USR-100737"/>
        <s v="USR-100738"/>
        <s v="USR-100739"/>
        <s v="USR-100740"/>
        <s v="USR-100741"/>
        <s v="USR-100742"/>
        <s v="USR-100743"/>
        <s v="USR-100744"/>
        <s v="USR-100745"/>
        <s v="USR-100746"/>
        <s v="USR-100747"/>
        <s v="USR-100748"/>
        <s v="USR-100749"/>
        <s v="USR-100750"/>
        <s v="USR-100751"/>
        <s v="USR-100752"/>
        <s v="USR-100753"/>
        <s v="USR-100754"/>
        <s v="USR-100755"/>
        <s v="USR-100756"/>
        <s v="USR-100757"/>
        <s v="USR-100758"/>
        <s v="USR-100759"/>
        <s v="USR-100760"/>
        <s v="USR-100761"/>
        <s v="USR-100762"/>
        <s v="USR-100763"/>
        <s v="USR-100764"/>
        <s v="USR-100765"/>
        <s v="USR-100766"/>
        <s v="USR-100767"/>
        <s v="USR-100768"/>
        <s v="USR-100769"/>
        <s v="USR-100770"/>
        <s v="USR-100771"/>
        <s v="USR-100772"/>
        <s v="USR-100773"/>
        <s v="USR-100774"/>
        <s v="USR-100775"/>
        <s v="USR-100776"/>
        <s v="USR-100777"/>
        <s v="USR-100778"/>
        <s v="USR-100779"/>
        <s v="USR-100780"/>
        <s v="USR-100781"/>
        <s v="USR-100782"/>
        <s v="USR-100783"/>
        <s v="USR-100784"/>
        <s v="USR-100785"/>
        <s v="USR-100786"/>
        <s v="USR-100787"/>
        <s v="USR-100788"/>
        <s v="USR-100789"/>
        <s v="USR-100790"/>
        <s v="USR-100791"/>
        <s v="USR-100792"/>
        <s v="USR-100793"/>
        <s v="USR-100794"/>
        <s v="USR-100795"/>
        <s v="USR-100796"/>
        <s v="USR-100797"/>
        <s v="USR-100798"/>
        <s v="USR-100799"/>
        <s v="USR-100800"/>
        <s v="USR-100801"/>
        <s v="USR-100802"/>
        <s v="USR-100803"/>
        <s v="USR-100804"/>
        <s v="USR-100805"/>
        <s v="USR-100806"/>
        <s v="USR-100807"/>
        <s v="USR-100808"/>
        <s v="USR-100809"/>
        <s v="USR-100810"/>
        <s v="USR-100811"/>
        <s v="USR-100812"/>
        <s v="USR-100813"/>
        <s v="USR-100814"/>
        <s v="USR-100815"/>
        <s v="USR-100816"/>
        <s v="USR-100817"/>
        <s v="USR-100818"/>
        <s v="USR-100819"/>
        <s v="USR-100820"/>
        <s v="USR-100821"/>
        <s v="USR-100822"/>
        <s v="USR-100823"/>
        <s v="USR-100824"/>
        <s v="USR-100825"/>
        <s v="USR-100826"/>
        <s v="USR-100827"/>
        <s v="USR-100828"/>
        <s v="USR-100829"/>
        <s v="USR-100830"/>
        <s v="USR-100831"/>
        <s v="USR-100832"/>
        <s v="USR-100833"/>
        <s v="USR-100834"/>
        <s v="USR-100835"/>
        <s v="USR-100836"/>
        <s v="USR-100837"/>
        <s v="USR-100838"/>
        <s v="USR-100839"/>
        <s v="USR-100840"/>
        <s v="USR-100841"/>
        <s v="USR-100842"/>
        <s v="USR-100843"/>
        <s v="USR-100844"/>
        <s v="USR-100845"/>
        <s v="USR-100846"/>
        <s v="USR-100847"/>
        <s v="USR-100848"/>
        <s v="USR-100849"/>
        <s v="USR-100850"/>
        <s v="USR-100851"/>
        <s v="USR-100852"/>
        <s v="USR-100853"/>
        <s v="USR-100854"/>
        <s v="USR-100855"/>
        <s v="USR-100856"/>
        <s v="USR-100857"/>
        <s v="USR-100858"/>
        <s v="USR-100859"/>
        <s v="USR-100860"/>
        <s v="USR-100861"/>
        <s v="USR-100862"/>
        <s v="USR-100863"/>
        <s v="USR-100864"/>
        <s v="USR-100865"/>
        <s v="USR-100866"/>
        <s v="USR-100867"/>
        <s v="USR-100868"/>
        <s v="USR-100869"/>
        <s v="USR-100870"/>
        <s v="USR-100871"/>
        <s v="USR-100872"/>
        <s v="USR-100873"/>
        <s v="USR-100874"/>
        <s v="USR-100875"/>
        <s v="USR-100876"/>
        <s v="USR-100877"/>
        <s v="USR-100878"/>
        <s v="USR-100879"/>
        <s v="USR-100880"/>
        <s v="USR-100881"/>
        <s v="USR-100882"/>
        <s v="USR-100883"/>
        <s v="USR-100884"/>
        <s v="USR-100885"/>
        <s v="USR-100886"/>
        <s v="USR-100887"/>
        <s v="USR-100888"/>
        <s v="USR-100889"/>
        <s v="USR-100890"/>
        <s v="USR-100891"/>
        <s v="USR-100892"/>
        <s v="USR-100893"/>
        <s v="USR-100894"/>
        <s v="USR-100895"/>
        <s v="USR-100896"/>
        <s v="USR-100897"/>
        <s v="USR-100898"/>
        <s v="USR-100899"/>
        <s v="USR-100900"/>
        <s v="USR-100901"/>
        <s v="USR-100902"/>
        <s v="USR-100903"/>
        <s v="USR-100904"/>
        <s v="USR-100905"/>
        <s v="USR-100906"/>
        <s v="USR-100907"/>
        <s v="USR-100908"/>
        <s v="USR-100909"/>
        <s v="USR-100910"/>
        <s v="USR-100911"/>
        <s v="USR-100912"/>
        <s v="USR-100913"/>
        <s v="USR-100914"/>
        <s v="USR-100915"/>
        <s v="USR-100916"/>
        <s v="USR-100917"/>
        <s v="USR-100918"/>
        <s v="USR-100919"/>
        <s v="USR-100920"/>
        <s v="USR-100921"/>
        <s v="USR-100922"/>
        <s v="USR-100923"/>
        <s v="USR-100924"/>
        <s v="USR-100925"/>
        <s v="USR-100926"/>
        <s v="USR-100927"/>
        <s v="USR-100928"/>
        <s v="USR-100929"/>
        <s v="USR-100930"/>
        <s v="USR-100931"/>
        <s v="USR-100932"/>
        <s v="USR-100933"/>
        <s v="USR-100934"/>
        <s v="USR-100935"/>
        <s v="USR-100936"/>
        <s v="USR-100937"/>
        <s v="USR-100938"/>
        <s v="USR-100939"/>
        <s v="USR-100940"/>
        <s v="USR-100941"/>
        <s v="USR-100942"/>
        <s v="USR-100943"/>
        <s v="USR-100944"/>
        <s v="USR-100945"/>
        <s v="USR-100946"/>
        <s v="USR-100947"/>
        <s v="USR-100948"/>
        <s v="USR-100949"/>
        <s v="USR-100950"/>
        <s v="USR-100951"/>
        <s v="USR-100952"/>
        <s v="USR-100953"/>
        <s v="USR-100954"/>
        <s v="USR-100955"/>
        <s v="USR-100956"/>
        <s v="USR-100957"/>
        <s v="USR-100958"/>
        <s v="USR-100959"/>
        <s v="USR-100960"/>
        <s v="USR-100961"/>
        <s v="USR-100962"/>
        <s v="USR-100963"/>
        <s v="USR-100964"/>
        <s v="USR-100965"/>
        <s v="USR-100966"/>
        <s v="USR-100967"/>
        <s v="USR-100968"/>
        <s v="USR-100969"/>
        <s v="USR-100970"/>
        <s v="USR-100971"/>
        <s v="USR-100972"/>
        <s v="USR-100973"/>
        <s v="USR-100974"/>
        <s v="USR-100975"/>
        <s v="USR-100976"/>
        <s v="USR-100977"/>
        <s v="USR-100978"/>
        <s v="USR-100979"/>
        <s v="USR-100980"/>
        <s v="USR-100981"/>
        <s v="USR-100982"/>
        <s v="USR-100983"/>
        <s v="USR-100984"/>
        <s v="USR-100985"/>
        <s v="USR-100986"/>
        <s v="USR-100987"/>
        <s v="USR-100988"/>
        <s v="USR-100989"/>
        <s v="USR-100990"/>
        <s v="USR-100991"/>
        <s v="USR-100992"/>
        <s v="USR-100993"/>
        <s v="USR-100994"/>
        <s v="USR-100995"/>
        <s v="USR-100996"/>
        <s v="USR-100997"/>
        <s v="USR-100998"/>
        <s v="USR-100999"/>
        <s v="USR-101000"/>
        <s v="USR-101001"/>
        <s v="USR-101002"/>
        <s v="USR-101003"/>
        <s v="USR-101004"/>
        <s v="USR-101005"/>
        <s v="USR-101006"/>
        <s v="USR-101007"/>
        <s v="USR-101008"/>
        <s v="USR-101009"/>
        <s v="USR-101010"/>
        <s v="USR-101011"/>
        <s v="USR-101012"/>
        <s v="USR-101013"/>
        <s v="USR-101014"/>
        <s v="USR-101015"/>
        <s v="USR-101016"/>
        <s v="USR-101017"/>
        <s v="USR-101018"/>
        <s v="USR-101019"/>
        <s v="USR-101020"/>
        <s v="USR-101021"/>
        <s v="USR-101022"/>
        <s v="USR-101023"/>
        <s v="USR-101024"/>
        <s v="USR-101025"/>
        <s v="USR-101026"/>
        <s v="USR-101027"/>
        <s v="USR-101028"/>
        <s v="USR-101029"/>
        <s v="USR-101030"/>
        <s v="USR-101031"/>
        <s v="USR-101032"/>
        <s v="USR-101033"/>
        <s v="USR-101034"/>
        <s v="USR-101035"/>
        <s v="USR-101036"/>
        <s v="USR-101037"/>
        <s v="USR-101038"/>
        <s v="USR-101039"/>
        <s v="USR-101040"/>
        <s v="USR-101041"/>
        <s v="USR-101042"/>
        <s v="USR-101043"/>
        <s v="USR-101044"/>
        <s v="USR-101045"/>
        <s v="USR-101046"/>
        <s v="USR-101047"/>
        <s v="USR-101048"/>
        <s v="USR-101049"/>
        <s v="USR-101050"/>
        <s v="USR-101051"/>
        <s v="USR-101052"/>
        <s v="USR-101053"/>
        <s v="USR-101054"/>
        <s v="USR-101055"/>
        <s v="USR-101056"/>
        <s v="USR-101057"/>
        <s v="USR-101058"/>
        <s v="USR-101059"/>
        <s v="USR-101060"/>
        <s v="USR-101061"/>
        <s v="USR-101062"/>
        <s v="USR-101063"/>
        <s v="USR-101064"/>
        <s v="USR-101065"/>
        <s v="USR-101066"/>
        <s v="USR-101067"/>
        <s v="USR-101068"/>
        <s v="USR-101069"/>
        <s v="USR-101070"/>
        <s v="USR-101071"/>
        <s v="USR-101072"/>
        <s v="USR-101073"/>
        <s v="USR-101074"/>
        <s v="USR-101075"/>
        <s v="USR-101076"/>
        <s v="USR-101077"/>
        <s v="USR-101078"/>
        <s v="USR-101079"/>
        <s v="USR-101080"/>
        <s v="USR-101081"/>
        <s v="USR-101082"/>
        <s v="USR-101083"/>
        <s v="USR-101084"/>
        <s v="USR-101085"/>
        <s v="USR-101086"/>
        <s v="USR-101087"/>
        <s v="USR-101088"/>
        <s v="USR-101089"/>
        <s v="USR-101090"/>
        <s v="USR-101091"/>
        <s v="USR-101092"/>
        <s v="USR-101093"/>
        <s v="USR-101094"/>
        <s v="USR-101095"/>
        <s v="USR-101096"/>
        <s v="USR-101097"/>
        <s v="USR-101098"/>
        <s v="USR-101099"/>
        <s v="USR-101100"/>
        <s v="USR-101101"/>
        <s v="USR-101102"/>
        <s v="USR-101103"/>
        <s v="USR-101104"/>
        <s v="USR-101105"/>
        <s v="USR-101106"/>
        <s v="USR-101107"/>
        <s v="USR-101108"/>
        <s v="USR-101109"/>
        <s v="USR-101110"/>
        <s v="USR-101111"/>
        <s v="USR-101112"/>
        <s v="USR-101113"/>
        <s v="USR-101114"/>
        <s v="USR-101115"/>
        <s v="USR-101116"/>
        <s v="USR-101117"/>
        <s v="USR-101118"/>
        <s v="USR-101119"/>
        <s v="USR-101120"/>
        <s v="USR-101121"/>
        <s v="USR-101122"/>
        <s v="USR-101123"/>
        <s v="USR-101124"/>
        <s v="USR-101125"/>
        <s v="USR-101126"/>
        <s v="USR-101127"/>
        <s v="USR-101128"/>
        <s v="USR-101129"/>
        <s v="USR-101130"/>
        <s v="USR-101131"/>
        <s v="USR-101132"/>
        <s v="USR-101133"/>
        <s v="USR-101134"/>
        <s v="USR-101135"/>
        <s v="USR-101136"/>
        <s v="USR-101137"/>
        <s v="USR-101138"/>
        <s v="USR-101139"/>
        <s v="USR-101140"/>
        <s v="USR-101141"/>
        <s v="USR-101142"/>
        <s v="USR-101143"/>
        <s v="USR-101144"/>
        <s v="USR-101145"/>
        <s v="USR-101146"/>
        <s v="USR-101147"/>
        <s v="USR-101148"/>
        <s v="USR-101149"/>
        <s v="USR-101150"/>
        <s v="USR-101151"/>
        <s v="USR-101152"/>
        <s v="USR-101153"/>
        <s v="USR-101154"/>
        <s v="USR-101155"/>
        <s v="USR-101156"/>
        <s v="USR-101157"/>
        <s v="USR-101158"/>
        <s v="USR-101159"/>
        <s v="USR-101160"/>
        <s v="USR-101161"/>
        <s v="USR-101162"/>
        <s v="USR-101163"/>
        <s v="USR-101164"/>
        <s v="USR-101165"/>
        <s v="USR-101166"/>
        <s v="USR-101167"/>
        <s v="USR-101168"/>
        <s v="USR-101169"/>
        <s v="USR-101170"/>
        <s v="USR-101171"/>
        <s v="USR-101172"/>
        <s v="USR-101173"/>
        <s v="USR-101174"/>
        <s v="USR-101175"/>
        <s v="USR-101176"/>
        <s v="USR-101177"/>
        <s v="USR-101178"/>
        <s v="USR-101179"/>
        <s v="USR-101180"/>
        <s v="USR-101181"/>
        <s v="USR-101182"/>
        <s v="USR-101183"/>
        <s v="USR-101184"/>
        <s v="USR-101185"/>
        <s v="USR-101186"/>
        <s v="USR-101187"/>
        <s v="USR-101188"/>
        <s v="USR-101189"/>
        <s v="USR-101190"/>
        <s v="USR-101191"/>
        <s v="USR-101192"/>
        <s v="USR-101193"/>
        <s v="USR-101194"/>
        <s v="USR-101195"/>
        <s v="USR-101196"/>
        <s v="USR-101197"/>
        <s v="USR-101198"/>
        <s v="USR-101199"/>
        <s v="USR-101200"/>
        <s v="USR-101201"/>
        <s v="USR-101202"/>
        <s v="USR-101203"/>
        <s v="USR-101204"/>
        <s v="USR-101205"/>
        <s v="USR-101206"/>
        <s v="USR-101207"/>
        <s v="USR-101208"/>
        <s v="USR-101209"/>
        <s v="USR-101210"/>
        <s v="USR-101211"/>
        <s v="USR-101212"/>
        <s v="USR-101213"/>
        <s v="USR-101214"/>
        <s v="USR-101215"/>
        <s v="USR-101216"/>
        <s v="USR-101217"/>
        <s v="USR-101218"/>
        <s v="USR-101219"/>
        <s v="USR-101220"/>
        <s v="USR-101221"/>
        <s v="USR-101222"/>
        <s v="USR-101223"/>
        <s v="USR-101224"/>
        <s v="USR-101225"/>
        <s v="USR-101226"/>
        <s v="USR-101227"/>
        <s v="USR-101228"/>
        <s v="USR-101229"/>
        <s v="USR-101230"/>
        <s v="USR-101231"/>
        <s v="USR-101232"/>
        <s v="USR-101233"/>
        <s v="USR-101234"/>
        <s v="USR-101235"/>
        <s v="USR-101236"/>
        <s v="USR-101237"/>
        <s v="USR-101238"/>
        <s v="USR-101239"/>
        <s v="USR-101240"/>
        <s v="USR-101241"/>
        <s v="USR-101242"/>
        <s v="USR-101243"/>
        <s v="USR-101244"/>
        <s v="USR-101245"/>
        <s v="USR-101246"/>
        <s v="USR-101247"/>
        <s v="USR-101248"/>
        <s v="USR-101249"/>
        <s v="USR-101250"/>
        <s v="USR-101251"/>
        <s v="USR-101252"/>
        <s v="USR-101253"/>
        <s v="USR-101254"/>
        <s v="USR-101255"/>
        <s v="USR-101256"/>
        <s v="USR-101257"/>
        <s v="USR-101258"/>
        <s v="USR-101259"/>
        <s v="USR-101260"/>
        <s v="USR-101261"/>
        <s v="USR-101262"/>
        <s v="USR-101263"/>
        <s v="USR-101264"/>
        <s v="USR-101265"/>
        <s v="USR-101266"/>
        <s v="USR-101267"/>
        <s v="USR-101268"/>
        <s v="USR-101269"/>
        <s v="USR-101270"/>
        <s v="USR-101271"/>
        <s v="USR-101272"/>
        <s v="USR-101273"/>
        <s v="USR-101274"/>
        <s v="USR-101275"/>
        <s v="USR-101276"/>
        <s v="USR-101277"/>
        <s v="USR-101278"/>
        <s v="USR-101279"/>
        <s v="USR-101280"/>
        <s v="USR-101281"/>
        <s v="USR-101282"/>
        <s v="USR-101283"/>
        <s v="USR-101284"/>
        <s v="USR-101285"/>
        <s v="USR-101286"/>
        <s v="USR-101287"/>
        <s v="USR-101288"/>
        <s v="USR-101289"/>
        <s v="USR-101290"/>
        <s v="USR-101291"/>
        <s v="USR-101292"/>
        <s v="USR-101293"/>
        <s v="USR-101294"/>
        <s v="USR-101295"/>
        <s v="USR-101296"/>
        <s v="USR-101297"/>
        <s v="USR-101298"/>
        <s v="USR-101299"/>
        <s v="USR-101300"/>
        <s v="USR-101301"/>
        <s v="USR-101302"/>
        <s v="USR-101303"/>
        <s v="USR-101304"/>
        <s v="USR-101305"/>
        <s v="USR-101306"/>
        <s v="USR-101307"/>
        <s v="USR-101308"/>
        <s v="USR-101309"/>
        <s v="USR-101310"/>
        <s v="USR-101311"/>
        <s v="USR-101312"/>
        <s v="USR-101313"/>
        <s v="USR-101314"/>
        <s v="USR-101315"/>
        <s v="USR-101316"/>
        <s v="USR-101317"/>
        <s v="USR-101318"/>
        <s v="USR-101319"/>
        <s v="USR-101320"/>
        <s v="USR-101321"/>
        <s v="USR-101322"/>
        <s v="USR-101323"/>
        <s v="USR-101324"/>
        <s v="USR-101325"/>
        <s v="USR-101326"/>
        <s v="USR-101327"/>
        <s v="USR-101328"/>
        <s v="USR-101329"/>
        <s v="USR-101330"/>
        <s v="USR-101331"/>
        <s v="USR-101332"/>
        <s v="USR-101333"/>
        <s v="USR-101334"/>
        <s v="USR-101335"/>
        <s v="USR-101336"/>
        <s v="USR-101337"/>
        <s v="USR-101338"/>
        <s v="USR-101339"/>
        <s v="USR-101340"/>
        <s v="USR-101341"/>
        <s v="USR-101342"/>
        <s v="USR-101343"/>
        <s v="USR-101344"/>
        <s v="USR-101345"/>
        <s v="USR-101346"/>
        <s v="USR-101347"/>
        <s v="USR-101348"/>
        <s v="USR-101349"/>
        <s v="USR-101350"/>
        <s v="USR-101351"/>
        <s v="USR-101352"/>
        <s v="USR-101353"/>
        <s v="USR-101354"/>
        <s v="USR-101355"/>
        <s v="USR-101356"/>
        <s v="USR-101357"/>
        <s v="USR-101358"/>
        <s v="USR-101359"/>
        <s v="USR-101360"/>
        <s v="USR-101361"/>
        <s v="USR-101362"/>
        <s v="USR-101363"/>
        <s v="USR-101364"/>
        <s v="USR-101365"/>
        <s v="USR-101366"/>
        <s v="USR-101367"/>
        <s v="USR-101368"/>
        <s v="USR-101369"/>
        <s v="USR-101370"/>
        <s v="USR-101371"/>
        <s v="USR-101372"/>
        <s v="USR-101373"/>
        <s v="USR-101374"/>
        <s v="USR-101375"/>
        <s v="USR-101376"/>
        <s v="USR-101377"/>
        <s v="USR-101378"/>
        <s v="USR-101379"/>
        <s v="USR-101380"/>
        <s v="USR-101381"/>
        <s v="USR-101382"/>
        <s v="USR-101383"/>
        <s v="USR-101384"/>
        <s v="USR-101385"/>
        <s v="USR-101386"/>
        <s v="USR-101387"/>
        <s v="USR-101388"/>
        <s v="USR-101389"/>
        <s v="USR-101390"/>
        <s v="USR-101391"/>
        <s v="USR-101392"/>
        <s v="USR-101393"/>
        <s v="USR-101394"/>
        <s v="USR-101395"/>
        <s v="USR-101396"/>
        <s v="USR-101397"/>
        <s v="USR-101398"/>
        <s v="USR-101399"/>
        <s v="USR-101400"/>
        <m/>
      </sharedItems>
    </cacheField>
    <cacheField name="signup_date" numFmtId="0">
      <sharedItems containsString="0" containsBlank="1" containsNumber="1" containsInteger="1" minValue="45658" maxValue="45808"/>
    </cacheField>
    <cacheField name="experiment_group" numFmtId="0">
      <sharedItems containsBlank="1" count="3">
        <s v="Control"/>
        <s v="Treatment"/>
        <m/>
      </sharedItems>
    </cacheField>
    <cacheField name="region" numFmtId="0">
      <sharedItems containsBlank="1" count="5">
        <s v="North"/>
        <s v="West"/>
        <s v="East"/>
        <s v="South"/>
        <m/>
      </sharedItems>
    </cacheField>
    <cacheField name="device_type" numFmtId="0">
      <sharedItems containsBlank="1" count="4">
        <s v="Desktop"/>
        <s v="Mobile"/>
        <s v="Tablet"/>
        <m/>
      </sharedItems>
    </cacheField>
    <cacheField name="traffic_source" numFmtId="0">
      <sharedItems containsBlank="1" count="6">
        <s v="Email"/>
        <s v="Organic"/>
        <s v="Paid Search"/>
        <s v="Referral"/>
        <s v="Social"/>
        <m/>
      </sharedItems>
    </cacheField>
    <cacheField name="plan_type" numFmtId="0">
      <sharedItems containsBlank="1" count="4">
        <s v="Basic"/>
        <s v="Free"/>
        <s v="Premium"/>
        <m/>
      </sharedItems>
    </cacheField>
    <cacheField name="visited_landing_page" numFmtId="0">
      <sharedItems containsString="0" containsBlank="1" containsNumber="1" containsInteger="1" minValue="0" maxValue="1"/>
    </cacheField>
    <cacheField name="started_trial" numFmtId="0">
      <sharedItems containsString="0" containsBlank="1" containsNumber="1" containsInteger="1" minValue="0" maxValue="1"/>
    </cacheField>
    <cacheField name="completed_onboarding" numFmtId="0">
      <sharedItems containsString="0" containsBlank="1" containsNumber="1" containsInteger="1" minValue="0" maxValue="1"/>
    </cacheField>
    <cacheField name="converted_to_paid" numFmtId="0">
      <sharedItems containsString="0" containsBlank="1" containsNumber="1" containsInteger="1" minValue="0" maxValue="1"/>
    </cacheField>
    <cacheField name="revenue_30d" numFmtId="0">
      <sharedItems containsString="0" containsBlank="1" containsNumber="1" minValue="0" maxValue="8610.7199999999993" count="75">
        <n v="0"/>
        <n v="240.42"/>
        <n v="457.51"/>
        <n v="363.32"/>
        <n v="3887.98"/>
        <n v="8610.7199999999993"/>
        <n v="404.4"/>
        <n v="577.94000000000005"/>
        <n v="1281.25"/>
        <n v="1052.8"/>
        <n v="553.37"/>
        <n v="1250.78"/>
        <n v="1198.69"/>
        <n v="6788.95"/>
        <n v="409.39"/>
        <n v="426.82"/>
        <n v="874.55"/>
        <n v="2206.88"/>
        <n v="2144.8200000000002"/>
        <n v="1518.83"/>
        <n v="513.61"/>
        <n v="751.73"/>
        <n v="347.52"/>
        <n v="444.13"/>
        <n v="516.66999999999996"/>
        <n v="277.18"/>
        <n v="604.09"/>
        <n v="442.37"/>
        <n v="1506.24"/>
        <n v="402.88"/>
        <n v="277.69"/>
        <n v="460.83"/>
        <n v="782.23"/>
        <n v="1171.99"/>
        <n v="1010.4"/>
        <n v="431.27"/>
        <n v="428.8"/>
        <n v="398.33"/>
        <n v="1117.54"/>
        <n v="2064.5500000000002"/>
        <n v="341.38"/>
        <n v="513.52"/>
        <n v="476.44"/>
        <n v="324.68"/>
        <n v="301.98"/>
        <n v="1772.97"/>
        <n v="218.66"/>
        <n v="1938.31"/>
        <n v="1906.23"/>
        <n v="268.95999999999998"/>
        <n v="437.09"/>
        <n v="331.53"/>
        <n v="774.78"/>
        <n v="422.02"/>
        <n v="416.94"/>
        <n v="921.72"/>
        <n v="290.39"/>
        <n v="1858.85"/>
        <n v="1547.06"/>
        <n v="265.58999999999997"/>
        <n v="351.43"/>
        <n v="352.42"/>
        <n v="1074.1600000000001"/>
        <n v="618.91"/>
        <n v="923.67"/>
        <n v="420.27"/>
        <n v="1496.09"/>
        <n v="428.37"/>
        <n v="444.06"/>
        <n v="2660.21"/>
        <n v="323.60000000000002"/>
        <n v="751.33"/>
        <n v="1009.9"/>
        <m/>
        <n v="418"/>
      </sharedItems>
    </cacheField>
    <cacheField name="support_tickets_30d" numFmtId="0">
      <sharedItems containsString="0" containsBlank="1" containsNumber="1" containsInteger="1" minValue="0" maxValue="4"/>
    </cacheField>
    <cacheField name="refund_requested" numFmtId="0">
      <sharedItems containsString="0" containsBlank="1" containsNumber="1" containsInteger="1" minValue="0" maxValue="1"/>
    </cacheField>
    <cacheField name="days_to_convert" numFmtId="0">
      <sharedItems containsString="0" containsBlank="1" containsNumber="1" containsInteger="1" minValue="0" maxValue="17"/>
    </cacheField>
    <cacheField name="engagement_score" numFmtId="0">
      <sharedItems containsString="0" containsBlank="1" containsNumber="1" minValue="6.2" maxValue="100"/>
    </cacheField>
    <cacheField name="Field17" caption="Field17" numFmtId="0">
      <sharedItems containsNonDate="0" containsString="0" containsBlank="1"/>
    </cacheField>
    <cacheField name="Control_converted" numFmtId="0">
      <sharedItems containsString="0" containsBlank="1" containsNumber="1" containsInteger="1" minValue="0" maxValue="1"/>
    </cacheField>
    <cacheField name="Treatment_converted" numFmtId="0">
      <sharedItems containsString="0" containsBlank="1" containsNumber="1" containsInteger="1" minValue="0" maxValue="1"/>
    </cacheField>
    <cacheField name="Control-visited_landing_page" numFmtId="0">
      <sharedItems containsString="0" containsBlank="1" containsNumber="1" containsInteger="1" minValue="0" maxValue="1"/>
    </cacheField>
    <cacheField name="Treatment-visited_landing_page" numFmtId="0">
      <sharedItems containsString="0" containsBlank="1" containsNumber="1" containsInteger="1" minValue="0" maxValue="1"/>
    </cacheField>
    <cacheField name="Control-started_trial" numFmtId="0">
      <sharedItems containsString="0" containsBlank="1" containsNumber="1" containsInteger="1" minValue="0" maxValue="1"/>
    </cacheField>
    <cacheField name="Treatment-started_trial" numFmtId="0">
      <sharedItems containsString="0" containsBlank="1" containsNumber="1" containsInteger="1" minValue="0" maxValue="1"/>
    </cacheField>
    <cacheField name="Control-completed_onboarding" numFmtId="0">
      <sharedItems containsString="0" containsBlank="1" containsNumber="1" containsInteger="1" minValue="0" maxValue="1"/>
    </cacheField>
    <cacheField name="Treatment-completed_onboarding" numFmtId="0">
      <sharedItems containsString="0" containsBlank="1" containsNumber="1" containsInteger="1" minValue="0" maxValue="1"/>
    </cacheField>
    <cacheField name="Control-Support Tickets" numFmtId="0">
      <sharedItems containsString="0" containsBlank="1" containsNumber="1" containsInteger="1" minValue="0" maxValue="4"/>
    </cacheField>
    <cacheField name="Treatment-Support_tickets" numFmtId="0">
      <sharedItems containsString="0" containsBlank="1" containsNumber="1" containsInteger="1" minValue="0" maxValue="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11">
  <r>
    <x v="0"/>
    <n v="45732"/>
    <x v="0"/>
    <x v="0"/>
    <x v="0"/>
    <x v="0"/>
    <x v="0"/>
    <n v="0"/>
    <n v="0"/>
    <n v="0"/>
    <n v="0"/>
    <x v="0"/>
    <n v="0"/>
    <n v="0"/>
    <m/>
    <n v="45.7"/>
    <m/>
    <n v="0"/>
    <m/>
    <n v="0"/>
    <m/>
    <n v="0"/>
    <m/>
    <n v="0"/>
    <m/>
    <n v="0"/>
    <m/>
  </r>
  <r>
    <x v="1"/>
    <n v="45724"/>
    <x v="0"/>
    <x v="1"/>
    <x v="1"/>
    <x v="1"/>
    <x v="1"/>
    <n v="1"/>
    <n v="0"/>
    <n v="0"/>
    <n v="0"/>
    <x v="0"/>
    <n v="0"/>
    <n v="0"/>
    <m/>
    <n v="48.6"/>
    <m/>
    <n v="0"/>
    <m/>
    <n v="1"/>
    <m/>
    <n v="0"/>
    <m/>
    <n v="0"/>
    <m/>
    <n v="0"/>
    <m/>
  </r>
  <r>
    <x v="2"/>
    <n v="45771"/>
    <x v="0"/>
    <x v="2"/>
    <x v="1"/>
    <x v="2"/>
    <x v="2"/>
    <n v="1"/>
    <n v="0"/>
    <n v="0"/>
    <n v="0"/>
    <x v="0"/>
    <n v="1"/>
    <n v="0"/>
    <m/>
    <n v="35.4"/>
    <m/>
    <n v="0"/>
    <m/>
    <n v="1"/>
    <m/>
    <n v="0"/>
    <m/>
    <n v="0"/>
    <m/>
    <n v="1"/>
    <m/>
  </r>
  <r>
    <x v="3"/>
    <n v="45781"/>
    <x v="0"/>
    <x v="3"/>
    <x v="1"/>
    <x v="0"/>
    <x v="0"/>
    <n v="1"/>
    <n v="0"/>
    <n v="0"/>
    <n v="0"/>
    <x v="0"/>
    <n v="0"/>
    <n v="0"/>
    <m/>
    <n v="64.599999999999994"/>
    <m/>
    <n v="0"/>
    <m/>
    <n v="1"/>
    <m/>
    <n v="0"/>
    <m/>
    <n v="0"/>
    <m/>
    <n v="0"/>
    <m/>
  </r>
  <r>
    <x v="4"/>
    <n v="45700"/>
    <x v="0"/>
    <x v="0"/>
    <x v="2"/>
    <x v="1"/>
    <x v="1"/>
    <n v="0"/>
    <n v="0"/>
    <n v="0"/>
    <n v="0"/>
    <x v="0"/>
    <n v="0"/>
    <n v="0"/>
    <m/>
    <n v="66.599999999999994"/>
    <m/>
    <n v="0"/>
    <m/>
    <n v="0"/>
    <m/>
    <n v="0"/>
    <m/>
    <n v="0"/>
    <m/>
    <n v="0"/>
    <m/>
  </r>
  <r>
    <x v="5"/>
    <n v="45685"/>
    <x v="0"/>
    <x v="2"/>
    <x v="1"/>
    <x v="1"/>
    <x v="2"/>
    <n v="1"/>
    <n v="0"/>
    <n v="0"/>
    <n v="0"/>
    <x v="0"/>
    <n v="0"/>
    <n v="0"/>
    <m/>
    <n v="40.799999999999997"/>
    <m/>
    <n v="0"/>
    <m/>
    <n v="1"/>
    <m/>
    <n v="0"/>
    <m/>
    <n v="0"/>
    <m/>
    <n v="0"/>
    <m/>
  </r>
  <r>
    <x v="6"/>
    <n v="45755"/>
    <x v="0"/>
    <x v="2"/>
    <x v="1"/>
    <x v="2"/>
    <x v="0"/>
    <n v="1"/>
    <n v="1"/>
    <n v="0"/>
    <n v="0"/>
    <x v="0"/>
    <n v="0"/>
    <n v="0"/>
    <m/>
    <n v="57.1"/>
    <m/>
    <n v="0"/>
    <m/>
    <n v="1"/>
    <m/>
    <n v="1"/>
    <m/>
    <n v="0"/>
    <m/>
    <n v="0"/>
    <m/>
  </r>
  <r>
    <x v="7"/>
    <n v="45794"/>
    <x v="0"/>
    <x v="3"/>
    <x v="1"/>
    <x v="2"/>
    <x v="1"/>
    <n v="0"/>
    <n v="0"/>
    <n v="0"/>
    <n v="0"/>
    <x v="0"/>
    <n v="0"/>
    <n v="0"/>
    <m/>
    <n v="36.4"/>
    <m/>
    <n v="0"/>
    <m/>
    <n v="0"/>
    <m/>
    <n v="0"/>
    <m/>
    <n v="0"/>
    <m/>
    <n v="0"/>
    <m/>
  </r>
  <r>
    <x v="8"/>
    <n v="45711"/>
    <x v="0"/>
    <x v="3"/>
    <x v="2"/>
    <x v="3"/>
    <x v="0"/>
    <n v="0"/>
    <n v="0"/>
    <n v="0"/>
    <n v="0"/>
    <x v="0"/>
    <n v="0"/>
    <n v="0"/>
    <m/>
    <n v="55.4"/>
    <m/>
    <n v="0"/>
    <m/>
    <n v="0"/>
    <m/>
    <n v="0"/>
    <m/>
    <n v="0"/>
    <m/>
    <n v="0"/>
    <m/>
  </r>
  <r>
    <x v="9"/>
    <n v="45806"/>
    <x v="0"/>
    <x v="1"/>
    <x v="0"/>
    <x v="4"/>
    <x v="1"/>
    <n v="1"/>
    <n v="0"/>
    <n v="0"/>
    <n v="0"/>
    <x v="0"/>
    <n v="0"/>
    <n v="0"/>
    <m/>
    <n v="57.3"/>
    <m/>
    <n v="0"/>
    <m/>
    <n v="1"/>
    <m/>
    <n v="0"/>
    <m/>
    <n v="0"/>
    <m/>
    <n v="0"/>
    <m/>
  </r>
  <r>
    <x v="10"/>
    <n v="45777"/>
    <x v="0"/>
    <x v="2"/>
    <x v="1"/>
    <x v="2"/>
    <x v="0"/>
    <n v="1"/>
    <n v="1"/>
    <n v="1"/>
    <n v="0"/>
    <x v="0"/>
    <n v="0"/>
    <n v="0"/>
    <m/>
    <n v="63.6"/>
    <m/>
    <n v="0"/>
    <m/>
    <n v="1"/>
    <m/>
    <n v="1"/>
    <m/>
    <n v="1"/>
    <m/>
    <n v="0"/>
    <m/>
  </r>
  <r>
    <x v="11"/>
    <n v="45732"/>
    <x v="0"/>
    <x v="2"/>
    <x v="1"/>
    <x v="4"/>
    <x v="2"/>
    <n v="1"/>
    <n v="1"/>
    <n v="1"/>
    <n v="0"/>
    <x v="0"/>
    <n v="1"/>
    <n v="0"/>
    <m/>
    <n v="80.400000000000006"/>
    <m/>
    <n v="0"/>
    <m/>
    <n v="1"/>
    <m/>
    <n v="1"/>
    <m/>
    <n v="1"/>
    <m/>
    <n v="1"/>
    <m/>
  </r>
  <r>
    <x v="12"/>
    <n v="45695"/>
    <x v="0"/>
    <x v="3"/>
    <x v="0"/>
    <x v="0"/>
    <x v="0"/>
    <n v="1"/>
    <n v="0"/>
    <n v="0"/>
    <n v="0"/>
    <x v="0"/>
    <n v="0"/>
    <n v="0"/>
    <m/>
    <n v="62.4"/>
    <m/>
    <n v="0"/>
    <m/>
    <n v="1"/>
    <m/>
    <n v="0"/>
    <m/>
    <n v="0"/>
    <m/>
    <n v="0"/>
    <m/>
  </r>
  <r>
    <x v="13"/>
    <n v="45718"/>
    <x v="0"/>
    <x v="1"/>
    <x v="1"/>
    <x v="4"/>
    <x v="0"/>
    <n v="1"/>
    <n v="0"/>
    <n v="0"/>
    <n v="0"/>
    <x v="0"/>
    <n v="0"/>
    <n v="0"/>
    <m/>
    <n v="82.4"/>
    <m/>
    <n v="0"/>
    <m/>
    <n v="1"/>
    <m/>
    <n v="0"/>
    <m/>
    <n v="0"/>
    <m/>
    <n v="0"/>
    <m/>
  </r>
  <r>
    <x v="14"/>
    <n v="45807"/>
    <x v="0"/>
    <x v="3"/>
    <x v="1"/>
    <x v="1"/>
    <x v="0"/>
    <n v="0"/>
    <n v="0"/>
    <n v="0"/>
    <n v="0"/>
    <x v="0"/>
    <n v="0"/>
    <n v="0"/>
    <m/>
    <n v="61.2"/>
    <m/>
    <n v="0"/>
    <m/>
    <n v="0"/>
    <m/>
    <n v="0"/>
    <m/>
    <n v="0"/>
    <m/>
    <n v="0"/>
    <m/>
  </r>
  <r>
    <x v="15"/>
    <n v="45741"/>
    <x v="0"/>
    <x v="3"/>
    <x v="1"/>
    <x v="4"/>
    <x v="0"/>
    <n v="1"/>
    <n v="0"/>
    <n v="0"/>
    <n v="0"/>
    <x v="0"/>
    <n v="0"/>
    <n v="0"/>
    <m/>
    <n v="68.900000000000006"/>
    <m/>
    <n v="0"/>
    <m/>
    <n v="1"/>
    <m/>
    <n v="0"/>
    <m/>
    <n v="0"/>
    <m/>
    <n v="0"/>
    <m/>
  </r>
  <r>
    <x v="16"/>
    <n v="45743"/>
    <x v="0"/>
    <x v="2"/>
    <x v="0"/>
    <x v="2"/>
    <x v="1"/>
    <n v="1"/>
    <n v="1"/>
    <n v="1"/>
    <n v="0"/>
    <x v="0"/>
    <n v="0"/>
    <n v="0"/>
    <m/>
    <n v="71.900000000000006"/>
    <m/>
    <n v="0"/>
    <m/>
    <n v="1"/>
    <m/>
    <n v="1"/>
    <m/>
    <n v="1"/>
    <m/>
    <n v="0"/>
    <m/>
  </r>
  <r>
    <x v="17"/>
    <n v="45805"/>
    <x v="0"/>
    <x v="3"/>
    <x v="0"/>
    <x v="2"/>
    <x v="1"/>
    <n v="0"/>
    <n v="0"/>
    <n v="0"/>
    <n v="0"/>
    <x v="0"/>
    <n v="0"/>
    <n v="0"/>
    <m/>
    <n v="50.5"/>
    <m/>
    <n v="0"/>
    <m/>
    <n v="0"/>
    <m/>
    <n v="0"/>
    <m/>
    <n v="0"/>
    <m/>
    <n v="0"/>
    <m/>
  </r>
  <r>
    <x v="18"/>
    <n v="45703"/>
    <x v="0"/>
    <x v="0"/>
    <x v="0"/>
    <x v="2"/>
    <x v="0"/>
    <n v="0"/>
    <n v="0"/>
    <n v="0"/>
    <n v="0"/>
    <x v="0"/>
    <n v="0"/>
    <n v="0"/>
    <m/>
    <n v="49.3"/>
    <m/>
    <n v="0"/>
    <m/>
    <n v="0"/>
    <m/>
    <n v="0"/>
    <m/>
    <n v="0"/>
    <m/>
    <n v="0"/>
    <m/>
  </r>
  <r>
    <x v="19"/>
    <n v="45782"/>
    <x v="0"/>
    <x v="1"/>
    <x v="0"/>
    <x v="1"/>
    <x v="0"/>
    <n v="0"/>
    <n v="0"/>
    <n v="0"/>
    <n v="0"/>
    <x v="0"/>
    <n v="2"/>
    <n v="0"/>
    <m/>
    <n v="60.9"/>
    <m/>
    <n v="0"/>
    <m/>
    <n v="0"/>
    <m/>
    <n v="0"/>
    <m/>
    <n v="0"/>
    <m/>
    <n v="2"/>
    <m/>
  </r>
  <r>
    <x v="20"/>
    <n v="45760"/>
    <x v="0"/>
    <x v="2"/>
    <x v="1"/>
    <x v="4"/>
    <x v="1"/>
    <n v="1"/>
    <n v="0"/>
    <n v="0"/>
    <n v="0"/>
    <x v="0"/>
    <n v="0"/>
    <n v="0"/>
    <m/>
    <n v="62.7"/>
    <m/>
    <n v="0"/>
    <m/>
    <n v="1"/>
    <m/>
    <n v="0"/>
    <m/>
    <n v="0"/>
    <m/>
    <n v="0"/>
    <m/>
  </r>
  <r>
    <x v="21"/>
    <n v="45784"/>
    <x v="0"/>
    <x v="0"/>
    <x v="0"/>
    <x v="2"/>
    <x v="1"/>
    <n v="0"/>
    <n v="0"/>
    <n v="0"/>
    <n v="0"/>
    <x v="0"/>
    <n v="0"/>
    <n v="0"/>
    <m/>
    <n v="52.7"/>
    <m/>
    <n v="0"/>
    <m/>
    <n v="0"/>
    <m/>
    <n v="0"/>
    <m/>
    <n v="0"/>
    <m/>
    <n v="0"/>
    <m/>
  </r>
  <r>
    <x v="22"/>
    <n v="45802"/>
    <x v="0"/>
    <x v="0"/>
    <x v="0"/>
    <x v="1"/>
    <x v="1"/>
    <n v="0"/>
    <n v="0"/>
    <n v="0"/>
    <n v="0"/>
    <x v="0"/>
    <n v="0"/>
    <n v="0"/>
    <m/>
    <n v="54"/>
    <m/>
    <n v="0"/>
    <m/>
    <n v="0"/>
    <m/>
    <n v="0"/>
    <m/>
    <n v="0"/>
    <m/>
    <n v="0"/>
    <m/>
  </r>
  <r>
    <x v="23"/>
    <n v="45748"/>
    <x v="0"/>
    <x v="2"/>
    <x v="1"/>
    <x v="2"/>
    <x v="2"/>
    <n v="1"/>
    <n v="1"/>
    <n v="0"/>
    <n v="0"/>
    <x v="0"/>
    <n v="0"/>
    <n v="0"/>
    <m/>
    <n v="51.6"/>
    <m/>
    <n v="0"/>
    <m/>
    <n v="1"/>
    <m/>
    <n v="1"/>
    <m/>
    <n v="0"/>
    <m/>
    <n v="0"/>
    <m/>
  </r>
  <r>
    <x v="24"/>
    <n v="45710"/>
    <x v="0"/>
    <x v="0"/>
    <x v="1"/>
    <x v="2"/>
    <x v="2"/>
    <n v="0"/>
    <n v="0"/>
    <n v="0"/>
    <n v="0"/>
    <x v="0"/>
    <n v="2"/>
    <n v="0"/>
    <m/>
    <n v="66.900000000000006"/>
    <m/>
    <n v="0"/>
    <m/>
    <n v="0"/>
    <m/>
    <n v="0"/>
    <m/>
    <n v="0"/>
    <m/>
    <n v="2"/>
    <m/>
  </r>
  <r>
    <x v="25"/>
    <n v="45740"/>
    <x v="0"/>
    <x v="2"/>
    <x v="1"/>
    <x v="1"/>
    <x v="0"/>
    <n v="0"/>
    <n v="0"/>
    <n v="0"/>
    <n v="0"/>
    <x v="0"/>
    <n v="0"/>
    <n v="0"/>
    <m/>
    <n v="67.400000000000006"/>
    <m/>
    <n v="0"/>
    <m/>
    <n v="0"/>
    <m/>
    <n v="0"/>
    <m/>
    <n v="0"/>
    <m/>
    <n v="0"/>
    <m/>
  </r>
  <r>
    <x v="26"/>
    <n v="45701"/>
    <x v="0"/>
    <x v="0"/>
    <x v="1"/>
    <x v="1"/>
    <x v="1"/>
    <n v="0"/>
    <n v="0"/>
    <n v="0"/>
    <n v="0"/>
    <x v="0"/>
    <n v="0"/>
    <n v="0"/>
    <m/>
    <n v="58.8"/>
    <m/>
    <n v="0"/>
    <m/>
    <n v="0"/>
    <m/>
    <n v="0"/>
    <m/>
    <n v="0"/>
    <m/>
    <n v="0"/>
    <m/>
  </r>
  <r>
    <x v="27"/>
    <n v="45807"/>
    <x v="0"/>
    <x v="3"/>
    <x v="1"/>
    <x v="1"/>
    <x v="1"/>
    <n v="1"/>
    <n v="0"/>
    <n v="0"/>
    <n v="0"/>
    <x v="0"/>
    <n v="0"/>
    <n v="0"/>
    <m/>
    <n v="73.8"/>
    <m/>
    <n v="0"/>
    <m/>
    <n v="1"/>
    <m/>
    <n v="0"/>
    <m/>
    <n v="0"/>
    <m/>
    <n v="0"/>
    <m/>
  </r>
  <r>
    <x v="28"/>
    <n v="45677"/>
    <x v="0"/>
    <x v="2"/>
    <x v="2"/>
    <x v="1"/>
    <x v="0"/>
    <n v="0"/>
    <n v="0"/>
    <n v="0"/>
    <n v="0"/>
    <x v="0"/>
    <n v="0"/>
    <n v="0"/>
    <m/>
    <n v="60.1"/>
    <m/>
    <n v="0"/>
    <m/>
    <n v="0"/>
    <m/>
    <n v="0"/>
    <m/>
    <n v="0"/>
    <m/>
    <n v="0"/>
    <m/>
  </r>
  <r>
    <x v="29"/>
    <n v="45796"/>
    <x v="0"/>
    <x v="2"/>
    <x v="1"/>
    <x v="4"/>
    <x v="0"/>
    <n v="1"/>
    <n v="1"/>
    <n v="1"/>
    <n v="0"/>
    <x v="0"/>
    <n v="0"/>
    <n v="0"/>
    <m/>
    <n v="41"/>
    <m/>
    <n v="0"/>
    <m/>
    <n v="1"/>
    <m/>
    <n v="1"/>
    <m/>
    <n v="1"/>
    <m/>
    <n v="0"/>
    <m/>
  </r>
  <r>
    <x v="30"/>
    <n v="45706"/>
    <x v="0"/>
    <x v="3"/>
    <x v="1"/>
    <x v="1"/>
    <x v="0"/>
    <n v="1"/>
    <n v="0"/>
    <n v="0"/>
    <n v="0"/>
    <x v="0"/>
    <n v="0"/>
    <n v="0"/>
    <m/>
    <n v="80.3"/>
    <m/>
    <n v="0"/>
    <m/>
    <n v="1"/>
    <m/>
    <n v="0"/>
    <m/>
    <n v="0"/>
    <m/>
    <n v="0"/>
    <m/>
  </r>
  <r>
    <x v="31"/>
    <n v="45701"/>
    <x v="0"/>
    <x v="2"/>
    <x v="1"/>
    <x v="1"/>
    <x v="1"/>
    <n v="0"/>
    <n v="0"/>
    <n v="0"/>
    <n v="0"/>
    <x v="0"/>
    <n v="0"/>
    <n v="0"/>
    <m/>
    <n v="67.599999999999994"/>
    <m/>
    <n v="0"/>
    <m/>
    <n v="0"/>
    <m/>
    <n v="0"/>
    <m/>
    <n v="0"/>
    <m/>
    <n v="0"/>
    <m/>
  </r>
  <r>
    <x v="32"/>
    <n v="45724"/>
    <x v="0"/>
    <x v="2"/>
    <x v="0"/>
    <x v="3"/>
    <x v="2"/>
    <n v="0"/>
    <n v="0"/>
    <n v="0"/>
    <n v="0"/>
    <x v="0"/>
    <n v="0"/>
    <n v="0"/>
    <m/>
    <n v="64"/>
    <m/>
    <n v="0"/>
    <m/>
    <n v="0"/>
    <m/>
    <n v="0"/>
    <m/>
    <n v="0"/>
    <m/>
    <n v="0"/>
    <m/>
  </r>
  <r>
    <x v="33"/>
    <n v="45668"/>
    <x v="0"/>
    <x v="0"/>
    <x v="1"/>
    <x v="2"/>
    <x v="1"/>
    <n v="1"/>
    <n v="1"/>
    <n v="0"/>
    <n v="0"/>
    <x v="0"/>
    <n v="0"/>
    <n v="0"/>
    <m/>
    <n v="27.2"/>
    <m/>
    <n v="0"/>
    <m/>
    <n v="1"/>
    <m/>
    <n v="1"/>
    <m/>
    <n v="0"/>
    <m/>
    <n v="0"/>
    <m/>
  </r>
  <r>
    <x v="34"/>
    <n v="45700"/>
    <x v="0"/>
    <x v="0"/>
    <x v="0"/>
    <x v="1"/>
    <x v="1"/>
    <n v="1"/>
    <n v="0"/>
    <n v="0"/>
    <n v="0"/>
    <x v="0"/>
    <n v="0"/>
    <n v="0"/>
    <m/>
    <n v="85.4"/>
    <m/>
    <n v="0"/>
    <m/>
    <n v="1"/>
    <m/>
    <n v="0"/>
    <m/>
    <n v="0"/>
    <m/>
    <n v="0"/>
    <m/>
  </r>
  <r>
    <x v="35"/>
    <n v="45760"/>
    <x v="0"/>
    <x v="2"/>
    <x v="0"/>
    <x v="1"/>
    <x v="0"/>
    <n v="1"/>
    <n v="0"/>
    <n v="0"/>
    <n v="0"/>
    <x v="0"/>
    <n v="0"/>
    <n v="0"/>
    <m/>
    <n v="75.900000000000006"/>
    <m/>
    <n v="0"/>
    <m/>
    <n v="1"/>
    <m/>
    <n v="0"/>
    <m/>
    <n v="0"/>
    <m/>
    <n v="0"/>
    <m/>
  </r>
  <r>
    <x v="36"/>
    <n v="45786"/>
    <x v="0"/>
    <x v="2"/>
    <x v="1"/>
    <x v="1"/>
    <x v="2"/>
    <n v="1"/>
    <n v="0"/>
    <n v="0"/>
    <n v="0"/>
    <x v="0"/>
    <n v="1"/>
    <n v="0"/>
    <m/>
    <n v="34.799999999999997"/>
    <m/>
    <n v="0"/>
    <m/>
    <n v="1"/>
    <m/>
    <n v="0"/>
    <m/>
    <n v="0"/>
    <m/>
    <n v="1"/>
    <m/>
  </r>
  <r>
    <x v="37"/>
    <n v="45677"/>
    <x v="0"/>
    <x v="2"/>
    <x v="1"/>
    <x v="1"/>
    <x v="1"/>
    <n v="1"/>
    <n v="1"/>
    <n v="1"/>
    <n v="0"/>
    <x v="0"/>
    <n v="3"/>
    <n v="0"/>
    <m/>
    <n v="48.9"/>
    <m/>
    <n v="0"/>
    <m/>
    <n v="1"/>
    <m/>
    <n v="1"/>
    <m/>
    <n v="1"/>
    <m/>
    <n v="3"/>
    <m/>
  </r>
  <r>
    <x v="38"/>
    <n v="45790"/>
    <x v="0"/>
    <x v="2"/>
    <x v="1"/>
    <x v="0"/>
    <x v="2"/>
    <n v="1"/>
    <n v="0"/>
    <n v="0"/>
    <n v="0"/>
    <x v="0"/>
    <n v="0"/>
    <n v="0"/>
    <m/>
    <n v="41.5"/>
    <m/>
    <n v="0"/>
    <m/>
    <n v="1"/>
    <m/>
    <n v="0"/>
    <m/>
    <n v="0"/>
    <m/>
    <n v="0"/>
    <m/>
  </r>
  <r>
    <x v="39"/>
    <n v="45754"/>
    <x v="0"/>
    <x v="0"/>
    <x v="0"/>
    <x v="1"/>
    <x v="0"/>
    <n v="1"/>
    <n v="0"/>
    <n v="0"/>
    <n v="0"/>
    <x v="0"/>
    <n v="0"/>
    <n v="0"/>
    <m/>
    <n v="51.5"/>
    <m/>
    <n v="0"/>
    <m/>
    <n v="1"/>
    <m/>
    <n v="0"/>
    <m/>
    <n v="0"/>
    <m/>
    <n v="0"/>
    <m/>
  </r>
  <r>
    <x v="40"/>
    <n v="45747"/>
    <x v="0"/>
    <x v="0"/>
    <x v="0"/>
    <x v="1"/>
    <x v="1"/>
    <n v="0"/>
    <n v="0"/>
    <n v="0"/>
    <n v="0"/>
    <x v="0"/>
    <n v="0"/>
    <n v="0"/>
    <m/>
    <n v="53.2"/>
    <m/>
    <n v="0"/>
    <m/>
    <n v="0"/>
    <m/>
    <n v="0"/>
    <m/>
    <n v="0"/>
    <m/>
    <n v="0"/>
    <m/>
  </r>
  <r>
    <x v="41"/>
    <n v="45682"/>
    <x v="0"/>
    <x v="2"/>
    <x v="1"/>
    <x v="0"/>
    <x v="2"/>
    <n v="0"/>
    <n v="0"/>
    <n v="0"/>
    <n v="0"/>
    <x v="0"/>
    <n v="0"/>
    <n v="0"/>
    <m/>
    <n v="55.6"/>
    <m/>
    <n v="0"/>
    <m/>
    <n v="0"/>
    <m/>
    <n v="0"/>
    <m/>
    <n v="0"/>
    <m/>
    <n v="0"/>
    <m/>
  </r>
  <r>
    <x v="42"/>
    <n v="45702"/>
    <x v="0"/>
    <x v="3"/>
    <x v="0"/>
    <x v="1"/>
    <x v="1"/>
    <n v="0"/>
    <n v="0"/>
    <n v="0"/>
    <n v="0"/>
    <x v="0"/>
    <n v="0"/>
    <n v="0"/>
    <m/>
    <n v="73"/>
    <m/>
    <n v="0"/>
    <m/>
    <n v="0"/>
    <m/>
    <n v="0"/>
    <m/>
    <n v="0"/>
    <m/>
    <n v="0"/>
    <m/>
  </r>
  <r>
    <x v="43"/>
    <n v="45715"/>
    <x v="0"/>
    <x v="2"/>
    <x v="1"/>
    <x v="0"/>
    <x v="1"/>
    <n v="1"/>
    <n v="0"/>
    <n v="0"/>
    <n v="0"/>
    <x v="0"/>
    <n v="0"/>
    <n v="0"/>
    <m/>
    <n v="65"/>
    <m/>
    <n v="0"/>
    <m/>
    <n v="1"/>
    <m/>
    <n v="0"/>
    <m/>
    <n v="0"/>
    <m/>
    <n v="0"/>
    <m/>
  </r>
  <r>
    <x v="44"/>
    <n v="45744"/>
    <x v="0"/>
    <x v="2"/>
    <x v="1"/>
    <x v="4"/>
    <x v="1"/>
    <n v="1"/>
    <n v="0"/>
    <n v="0"/>
    <n v="0"/>
    <x v="0"/>
    <n v="4"/>
    <n v="0"/>
    <m/>
    <n v="56.3"/>
    <m/>
    <n v="0"/>
    <m/>
    <n v="1"/>
    <m/>
    <n v="0"/>
    <m/>
    <n v="0"/>
    <m/>
    <n v="4"/>
    <m/>
  </r>
  <r>
    <x v="45"/>
    <n v="45802"/>
    <x v="0"/>
    <x v="2"/>
    <x v="1"/>
    <x v="3"/>
    <x v="2"/>
    <n v="1"/>
    <n v="0"/>
    <n v="0"/>
    <n v="0"/>
    <x v="0"/>
    <n v="0"/>
    <n v="0"/>
    <m/>
    <n v="62.4"/>
    <m/>
    <n v="0"/>
    <m/>
    <n v="1"/>
    <m/>
    <n v="0"/>
    <m/>
    <n v="0"/>
    <m/>
    <n v="0"/>
    <m/>
  </r>
  <r>
    <x v="46"/>
    <n v="45782"/>
    <x v="0"/>
    <x v="1"/>
    <x v="0"/>
    <x v="1"/>
    <x v="1"/>
    <n v="1"/>
    <n v="1"/>
    <n v="1"/>
    <n v="0"/>
    <x v="0"/>
    <n v="0"/>
    <n v="0"/>
    <m/>
    <n v="58.1"/>
    <m/>
    <n v="0"/>
    <m/>
    <n v="1"/>
    <m/>
    <n v="1"/>
    <m/>
    <n v="1"/>
    <m/>
    <n v="0"/>
    <m/>
  </r>
  <r>
    <x v="47"/>
    <n v="45793"/>
    <x v="0"/>
    <x v="0"/>
    <x v="1"/>
    <x v="1"/>
    <x v="1"/>
    <n v="1"/>
    <n v="1"/>
    <n v="1"/>
    <n v="0"/>
    <x v="0"/>
    <n v="0"/>
    <n v="0"/>
    <m/>
    <n v="80.8"/>
    <m/>
    <n v="0"/>
    <m/>
    <n v="1"/>
    <m/>
    <n v="1"/>
    <m/>
    <n v="1"/>
    <m/>
    <n v="0"/>
    <m/>
  </r>
  <r>
    <x v="48"/>
    <n v="45665"/>
    <x v="0"/>
    <x v="0"/>
    <x v="1"/>
    <x v="4"/>
    <x v="1"/>
    <n v="1"/>
    <n v="1"/>
    <n v="0"/>
    <n v="0"/>
    <x v="0"/>
    <n v="0"/>
    <n v="0"/>
    <m/>
    <n v="42.9"/>
    <m/>
    <n v="0"/>
    <m/>
    <n v="1"/>
    <m/>
    <n v="1"/>
    <m/>
    <n v="0"/>
    <m/>
    <n v="0"/>
    <m/>
  </r>
  <r>
    <x v="49"/>
    <n v="45663"/>
    <x v="0"/>
    <x v="1"/>
    <x v="0"/>
    <x v="2"/>
    <x v="1"/>
    <n v="1"/>
    <n v="0"/>
    <n v="0"/>
    <n v="0"/>
    <x v="0"/>
    <n v="0"/>
    <n v="0"/>
    <m/>
    <n v="52.7"/>
    <m/>
    <n v="0"/>
    <m/>
    <n v="1"/>
    <m/>
    <n v="0"/>
    <m/>
    <n v="0"/>
    <m/>
    <n v="0"/>
    <m/>
  </r>
  <r>
    <x v="50"/>
    <n v="45669"/>
    <x v="0"/>
    <x v="0"/>
    <x v="1"/>
    <x v="4"/>
    <x v="0"/>
    <n v="0"/>
    <n v="0"/>
    <n v="0"/>
    <n v="0"/>
    <x v="0"/>
    <n v="0"/>
    <n v="0"/>
    <m/>
    <n v="46.9"/>
    <m/>
    <n v="0"/>
    <m/>
    <n v="0"/>
    <m/>
    <n v="0"/>
    <m/>
    <n v="0"/>
    <m/>
    <n v="0"/>
    <m/>
  </r>
  <r>
    <x v="51"/>
    <n v="45702"/>
    <x v="0"/>
    <x v="2"/>
    <x v="0"/>
    <x v="0"/>
    <x v="2"/>
    <n v="1"/>
    <n v="0"/>
    <n v="0"/>
    <n v="0"/>
    <x v="0"/>
    <n v="0"/>
    <n v="0"/>
    <m/>
    <n v="63"/>
    <m/>
    <n v="0"/>
    <m/>
    <n v="1"/>
    <m/>
    <n v="0"/>
    <m/>
    <n v="0"/>
    <m/>
    <n v="0"/>
    <m/>
  </r>
  <r>
    <x v="52"/>
    <n v="45726"/>
    <x v="0"/>
    <x v="3"/>
    <x v="2"/>
    <x v="1"/>
    <x v="1"/>
    <n v="0"/>
    <n v="0"/>
    <n v="0"/>
    <n v="0"/>
    <x v="0"/>
    <n v="0"/>
    <n v="0"/>
    <m/>
    <n v="53.6"/>
    <m/>
    <n v="0"/>
    <m/>
    <n v="0"/>
    <m/>
    <n v="0"/>
    <m/>
    <n v="0"/>
    <m/>
    <n v="0"/>
    <m/>
  </r>
  <r>
    <x v="53"/>
    <n v="45767"/>
    <x v="0"/>
    <x v="1"/>
    <x v="0"/>
    <x v="1"/>
    <x v="0"/>
    <n v="0"/>
    <n v="0"/>
    <n v="0"/>
    <n v="0"/>
    <x v="0"/>
    <n v="0"/>
    <n v="0"/>
    <m/>
    <n v="49.6"/>
    <m/>
    <n v="0"/>
    <m/>
    <n v="0"/>
    <m/>
    <n v="0"/>
    <m/>
    <n v="0"/>
    <m/>
    <n v="0"/>
    <m/>
  </r>
  <r>
    <x v="54"/>
    <n v="45707"/>
    <x v="0"/>
    <x v="3"/>
    <x v="1"/>
    <x v="1"/>
    <x v="1"/>
    <n v="0"/>
    <n v="0"/>
    <n v="0"/>
    <n v="0"/>
    <x v="0"/>
    <n v="0"/>
    <n v="0"/>
    <m/>
    <n v="54"/>
    <m/>
    <n v="0"/>
    <m/>
    <n v="0"/>
    <m/>
    <n v="0"/>
    <m/>
    <n v="0"/>
    <m/>
    <n v="0"/>
    <m/>
  </r>
  <r>
    <x v="55"/>
    <n v="45794"/>
    <x v="0"/>
    <x v="3"/>
    <x v="1"/>
    <x v="4"/>
    <x v="0"/>
    <n v="1"/>
    <n v="0"/>
    <n v="0"/>
    <n v="0"/>
    <x v="0"/>
    <n v="2"/>
    <n v="0"/>
    <m/>
    <n v="50"/>
    <m/>
    <n v="0"/>
    <m/>
    <n v="1"/>
    <m/>
    <n v="0"/>
    <m/>
    <n v="0"/>
    <m/>
    <n v="2"/>
    <m/>
  </r>
  <r>
    <x v="56"/>
    <n v="45748"/>
    <x v="0"/>
    <x v="2"/>
    <x v="1"/>
    <x v="4"/>
    <x v="0"/>
    <n v="0"/>
    <n v="0"/>
    <n v="0"/>
    <n v="0"/>
    <x v="0"/>
    <n v="0"/>
    <n v="0"/>
    <m/>
    <n v="48.1"/>
    <m/>
    <n v="0"/>
    <m/>
    <n v="0"/>
    <m/>
    <n v="0"/>
    <m/>
    <n v="0"/>
    <m/>
    <n v="0"/>
    <m/>
  </r>
  <r>
    <x v="57"/>
    <n v="45692"/>
    <x v="0"/>
    <x v="0"/>
    <x v="0"/>
    <x v="1"/>
    <x v="1"/>
    <n v="1"/>
    <n v="0"/>
    <n v="0"/>
    <n v="0"/>
    <x v="0"/>
    <n v="0"/>
    <n v="0"/>
    <m/>
    <n v="49.6"/>
    <m/>
    <n v="0"/>
    <m/>
    <n v="1"/>
    <m/>
    <n v="0"/>
    <m/>
    <n v="0"/>
    <m/>
    <n v="0"/>
    <m/>
  </r>
  <r>
    <x v="58"/>
    <n v="45761"/>
    <x v="0"/>
    <x v="0"/>
    <x v="1"/>
    <x v="4"/>
    <x v="1"/>
    <n v="0"/>
    <n v="0"/>
    <n v="0"/>
    <n v="0"/>
    <x v="0"/>
    <n v="2"/>
    <n v="0"/>
    <m/>
    <n v="48.9"/>
    <m/>
    <n v="0"/>
    <m/>
    <n v="0"/>
    <m/>
    <n v="0"/>
    <m/>
    <n v="0"/>
    <m/>
    <n v="2"/>
    <m/>
  </r>
  <r>
    <x v="59"/>
    <n v="45658"/>
    <x v="0"/>
    <x v="1"/>
    <x v="1"/>
    <x v="4"/>
    <x v="1"/>
    <n v="1"/>
    <n v="1"/>
    <n v="1"/>
    <n v="1"/>
    <x v="1"/>
    <n v="0"/>
    <n v="0"/>
    <n v="16"/>
    <n v="56.5"/>
    <m/>
    <n v="1"/>
    <m/>
    <n v="1"/>
    <m/>
    <n v="1"/>
    <m/>
    <n v="1"/>
    <m/>
    <n v="0"/>
    <m/>
  </r>
  <r>
    <x v="60"/>
    <n v="45749"/>
    <x v="0"/>
    <x v="3"/>
    <x v="1"/>
    <x v="3"/>
    <x v="1"/>
    <n v="1"/>
    <n v="0"/>
    <n v="0"/>
    <n v="0"/>
    <x v="0"/>
    <n v="0"/>
    <n v="0"/>
    <m/>
    <n v="53.7"/>
    <m/>
    <n v="0"/>
    <m/>
    <n v="1"/>
    <m/>
    <n v="0"/>
    <m/>
    <n v="0"/>
    <m/>
    <n v="0"/>
    <m/>
  </r>
  <r>
    <x v="61"/>
    <n v="45745"/>
    <x v="0"/>
    <x v="0"/>
    <x v="1"/>
    <x v="4"/>
    <x v="2"/>
    <n v="0"/>
    <n v="0"/>
    <n v="0"/>
    <n v="0"/>
    <x v="0"/>
    <n v="0"/>
    <n v="0"/>
    <m/>
    <n v="62.2"/>
    <m/>
    <n v="0"/>
    <m/>
    <n v="0"/>
    <m/>
    <n v="0"/>
    <m/>
    <n v="0"/>
    <m/>
    <n v="0"/>
    <m/>
  </r>
  <r>
    <x v="62"/>
    <n v="45792"/>
    <x v="0"/>
    <x v="3"/>
    <x v="0"/>
    <x v="1"/>
    <x v="1"/>
    <n v="1"/>
    <n v="0"/>
    <n v="0"/>
    <n v="0"/>
    <x v="0"/>
    <n v="0"/>
    <n v="0"/>
    <m/>
    <n v="50.2"/>
    <m/>
    <n v="0"/>
    <m/>
    <n v="1"/>
    <m/>
    <n v="0"/>
    <m/>
    <n v="0"/>
    <m/>
    <n v="0"/>
    <m/>
  </r>
  <r>
    <x v="63"/>
    <n v="45758"/>
    <x v="0"/>
    <x v="0"/>
    <x v="1"/>
    <x v="1"/>
    <x v="0"/>
    <n v="1"/>
    <n v="0"/>
    <n v="0"/>
    <n v="0"/>
    <x v="0"/>
    <n v="0"/>
    <n v="0"/>
    <m/>
    <n v="74.3"/>
    <m/>
    <n v="0"/>
    <m/>
    <n v="1"/>
    <m/>
    <n v="0"/>
    <m/>
    <n v="0"/>
    <m/>
    <n v="0"/>
    <m/>
  </r>
  <r>
    <x v="64"/>
    <n v="45723"/>
    <x v="0"/>
    <x v="3"/>
    <x v="0"/>
    <x v="2"/>
    <x v="1"/>
    <n v="1"/>
    <n v="0"/>
    <n v="0"/>
    <n v="0"/>
    <x v="0"/>
    <n v="0"/>
    <n v="0"/>
    <m/>
    <n v="58"/>
    <m/>
    <n v="0"/>
    <m/>
    <n v="1"/>
    <m/>
    <n v="0"/>
    <m/>
    <n v="0"/>
    <m/>
    <n v="0"/>
    <m/>
  </r>
  <r>
    <x v="65"/>
    <n v="45807"/>
    <x v="0"/>
    <x v="3"/>
    <x v="1"/>
    <x v="1"/>
    <x v="1"/>
    <n v="0"/>
    <n v="0"/>
    <n v="0"/>
    <n v="0"/>
    <x v="0"/>
    <n v="0"/>
    <n v="0"/>
    <m/>
    <n v="46.7"/>
    <m/>
    <n v="0"/>
    <m/>
    <n v="0"/>
    <m/>
    <n v="0"/>
    <m/>
    <n v="0"/>
    <m/>
    <n v="0"/>
    <m/>
  </r>
  <r>
    <x v="66"/>
    <n v="45664"/>
    <x v="0"/>
    <x v="3"/>
    <x v="0"/>
    <x v="1"/>
    <x v="2"/>
    <n v="1"/>
    <n v="0"/>
    <n v="0"/>
    <n v="0"/>
    <x v="0"/>
    <n v="1"/>
    <n v="0"/>
    <m/>
    <n v="49.6"/>
    <m/>
    <n v="0"/>
    <m/>
    <n v="1"/>
    <m/>
    <n v="0"/>
    <m/>
    <n v="0"/>
    <m/>
    <n v="1"/>
    <m/>
  </r>
  <r>
    <x v="67"/>
    <n v="45785"/>
    <x v="0"/>
    <x v="1"/>
    <x v="1"/>
    <x v="4"/>
    <x v="1"/>
    <n v="0"/>
    <n v="0"/>
    <n v="0"/>
    <n v="0"/>
    <x v="0"/>
    <n v="0"/>
    <n v="0"/>
    <m/>
    <n v="60.4"/>
    <m/>
    <n v="0"/>
    <m/>
    <n v="0"/>
    <m/>
    <n v="0"/>
    <m/>
    <n v="0"/>
    <m/>
    <n v="0"/>
    <m/>
  </r>
  <r>
    <x v="68"/>
    <n v="45735"/>
    <x v="0"/>
    <x v="2"/>
    <x v="0"/>
    <x v="0"/>
    <x v="1"/>
    <n v="1"/>
    <n v="1"/>
    <n v="1"/>
    <n v="0"/>
    <x v="0"/>
    <n v="0"/>
    <n v="0"/>
    <m/>
    <n v="55.3"/>
    <m/>
    <n v="0"/>
    <m/>
    <n v="1"/>
    <m/>
    <n v="1"/>
    <m/>
    <n v="1"/>
    <m/>
    <n v="0"/>
    <m/>
  </r>
  <r>
    <x v="69"/>
    <n v="45793"/>
    <x v="0"/>
    <x v="0"/>
    <x v="0"/>
    <x v="1"/>
    <x v="1"/>
    <n v="0"/>
    <n v="0"/>
    <n v="0"/>
    <n v="0"/>
    <x v="0"/>
    <n v="0"/>
    <n v="0"/>
    <m/>
    <n v="56.2"/>
    <m/>
    <n v="0"/>
    <m/>
    <n v="0"/>
    <m/>
    <n v="0"/>
    <m/>
    <n v="0"/>
    <m/>
    <n v="0"/>
    <m/>
  </r>
  <r>
    <x v="70"/>
    <n v="45724"/>
    <x v="0"/>
    <x v="1"/>
    <x v="1"/>
    <x v="0"/>
    <x v="1"/>
    <n v="0"/>
    <n v="0"/>
    <n v="0"/>
    <n v="0"/>
    <x v="0"/>
    <n v="0"/>
    <n v="0"/>
    <m/>
    <n v="29.4"/>
    <m/>
    <n v="0"/>
    <m/>
    <n v="0"/>
    <m/>
    <n v="0"/>
    <m/>
    <n v="0"/>
    <m/>
    <n v="0"/>
    <m/>
  </r>
  <r>
    <x v="71"/>
    <n v="45724"/>
    <x v="0"/>
    <x v="2"/>
    <x v="1"/>
    <x v="0"/>
    <x v="1"/>
    <n v="1"/>
    <n v="0"/>
    <n v="0"/>
    <n v="0"/>
    <x v="0"/>
    <n v="0"/>
    <n v="0"/>
    <m/>
    <n v="54.2"/>
    <m/>
    <n v="0"/>
    <m/>
    <n v="1"/>
    <m/>
    <n v="0"/>
    <m/>
    <n v="0"/>
    <m/>
    <n v="0"/>
    <m/>
  </r>
  <r>
    <x v="72"/>
    <n v="45671"/>
    <x v="0"/>
    <x v="2"/>
    <x v="0"/>
    <x v="2"/>
    <x v="0"/>
    <n v="0"/>
    <n v="0"/>
    <n v="0"/>
    <n v="0"/>
    <x v="0"/>
    <n v="0"/>
    <n v="0"/>
    <m/>
    <n v="46.4"/>
    <m/>
    <n v="0"/>
    <m/>
    <n v="0"/>
    <m/>
    <n v="0"/>
    <m/>
    <n v="0"/>
    <m/>
    <n v="0"/>
    <m/>
  </r>
  <r>
    <x v="73"/>
    <n v="45698"/>
    <x v="0"/>
    <x v="3"/>
    <x v="1"/>
    <x v="2"/>
    <x v="0"/>
    <n v="0"/>
    <n v="0"/>
    <n v="0"/>
    <n v="0"/>
    <x v="0"/>
    <n v="0"/>
    <n v="0"/>
    <m/>
    <n v="54.5"/>
    <m/>
    <n v="0"/>
    <m/>
    <n v="0"/>
    <m/>
    <n v="0"/>
    <m/>
    <n v="0"/>
    <m/>
    <n v="0"/>
    <m/>
  </r>
  <r>
    <x v="74"/>
    <n v="45733"/>
    <x v="0"/>
    <x v="0"/>
    <x v="1"/>
    <x v="1"/>
    <x v="1"/>
    <n v="0"/>
    <n v="0"/>
    <n v="0"/>
    <n v="0"/>
    <x v="0"/>
    <n v="0"/>
    <n v="0"/>
    <m/>
    <n v="58.5"/>
    <m/>
    <n v="0"/>
    <m/>
    <n v="0"/>
    <m/>
    <n v="0"/>
    <m/>
    <n v="0"/>
    <m/>
    <n v="0"/>
    <m/>
  </r>
  <r>
    <x v="75"/>
    <n v="45666"/>
    <x v="0"/>
    <x v="3"/>
    <x v="1"/>
    <x v="0"/>
    <x v="1"/>
    <n v="0"/>
    <n v="0"/>
    <n v="0"/>
    <n v="0"/>
    <x v="0"/>
    <n v="0"/>
    <n v="0"/>
    <m/>
    <n v="75.900000000000006"/>
    <m/>
    <n v="0"/>
    <m/>
    <n v="0"/>
    <m/>
    <n v="0"/>
    <m/>
    <n v="0"/>
    <m/>
    <n v="0"/>
    <m/>
  </r>
  <r>
    <x v="76"/>
    <n v="45764"/>
    <x v="0"/>
    <x v="0"/>
    <x v="1"/>
    <x v="3"/>
    <x v="1"/>
    <n v="0"/>
    <n v="0"/>
    <n v="0"/>
    <n v="0"/>
    <x v="0"/>
    <n v="1"/>
    <n v="0"/>
    <m/>
    <n v="84.9"/>
    <m/>
    <n v="0"/>
    <m/>
    <n v="0"/>
    <m/>
    <n v="0"/>
    <m/>
    <n v="0"/>
    <m/>
    <n v="1"/>
    <m/>
  </r>
  <r>
    <x v="77"/>
    <n v="45673"/>
    <x v="0"/>
    <x v="0"/>
    <x v="1"/>
    <x v="1"/>
    <x v="1"/>
    <n v="0"/>
    <n v="0"/>
    <n v="0"/>
    <n v="0"/>
    <x v="0"/>
    <n v="2"/>
    <n v="0"/>
    <m/>
    <n v="48.4"/>
    <m/>
    <n v="0"/>
    <m/>
    <n v="0"/>
    <m/>
    <n v="0"/>
    <m/>
    <n v="0"/>
    <m/>
    <n v="2"/>
    <m/>
  </r>
  <r>
    <x v="78"/>
    <n v="45708"/>
    <x v="0"/>
    <x v="1"/>
    <x v="0"/>
    <x v="1"/>
    <x v="1"/>
    <n v="1"/>
    <n v="1"/>
    <n v="1"/>
    <n v="1"/>
    <x v="2"/>
    <n v="0"/>
    <n v="0"/>
    <n v="7"/>
    <n v="38"/>
    <m/>
    <n v="1"/>
    <m/>
    <n v="1"/>
    <m/>
    <n v="1"/>
    <m/>
    <n v="1"/>
    <m/>
    <n v="0"/>
    <m/>
  </r>
  <r>
    <x v="79"/>
    <n v="45798"/>
    <x v="0"/>
    <x v="2"/>
    <x v="1"/>
    <x v="4"/>
    <x v="1"/>
    <n v="1"/>
    <n v="0"/>
    <n v="0"/>
    <n v="0"/>
    <x v="0"/>
    <n v="0"/>
    <n v="0"/>
    <m/>
    <n v="44.2"/>
    <m/>
    <n v="0"/>
    <m/>
    <n v="1"/>
    <m/>
    <n v="0"/>
    <m/>
    <n v="0"/>
    <m/>
    <n v="0"/>
    <m/>
  </r>
  <r>
    <x v="80"/>
    <n v="45785"/>
    <x v="0"/>
    <x v="3"/>
    <x v="1"/>
    <x v="1"/>
    <x v="1"/>
    <n v="1"/>
    <n v="1"/>
    <n v="1"/>
    <n v="0"/>
    <x v="0"/>
    <n v="0"/>
    <n v="0"/>
    <m/>
    <n v="81.2"/>
    <m/>
    <n v="0"/>
    <m/>
    <n v="1"/>
    <m/>
    <n v="1"/>
    <m/>
    <n v="1"/>
    <m/>
    <n v="0"/>
    <m/>
  </r>
  <r>
    <x v="81"/>
    <n v="45724"/>
    <x v="0"/>
    <x v="3"/>
    <x v="1"/>
    <x v="3"/>
    <x v="1"/>
    <n v="1"/>
    <n v="1"/>
    <n v="0"/>
    <n v="0"/>
    <x v="0"/>
    <n v="0"/>
    <n v="0"/>
    <m/>
    <n v="63.8"/>
    <m/>
    <n v="0"/>
    <m/>
    <n v="1"/>
    <m/>
    <n v="1"/>
    <m/>
    <n v="0"/>
    <m/>
    <n v="0"/>
    <m/>
  </r>
  <r>
    <x v="82"/>
    <n v="45748"/>
    <x v="0"/>
    <x v="3"/>
    <x v="0"/>
    <x v="0"/>
    <x v="1"/>
    <n v="0"/>
    <n v="0"/>
    <n v="0"/>
    <n v="0"/>
    <x v="0"/>
    <n v="0"/>
    <n v="0"/>
    <m/>
    <n v="64.7"/>
    <m/>
    <n v="0"/>
    <m/>
    <n v="0"/>
    <m/>
    <n v="0"/>
    <m/>
    <n v="0"/>
    <m/>
    <n v="0"/>
    <m/>
  </r>
  <r>
    <x v="83"/>
    <n v="45719"/>
    <x v="0"/>
    <x v="1"/>
    <x v="1"/>
    <x v="4"/>
    <x v="0"/>
    <n v="0"/>
    <n v="0"/>
    <n v="0"/>
    <n v="0"/>
    <x v="0"/>
    <n v="0"/>
    <n v="0"/>
    <m/>
    <n v="60.4"/>
    <m/>
    <n v="0"/>
    <m/>
    <n v="0"/>
    <m/>
    <n v="0"/>
    <m/>
    <n v="0"/>
    <m/>
    <n v="0"/>
    <m/>
  </r>
  <r>
    <x v="84"/>
    <n v="45763"/>
    <x v="0"/>
    <x v="3"/>
    <x v="1"/>
    <x v="2"/>
    <x v="1"/>
    <n v="0"/>
    <n v="0"/>
    <n v="0"/>
    <n v="0"/>
    <x v="0"/>
    <n v="0"/>
    <n v="0"/>
    <m/>
    <n v="66.599999999999994"/>
    <m/>
    <n v="0"/>
    <m/>
    <n v="0"/>
    <m/>
    <n v="0"/>
    <m/>
    <n v="0"/>
    <m/>
    <n v="0"/>
    <m/>
  </r>
  <r>
    <x v="85"/>
    <n v="45666"/>
    <x v="0"/>
    <x v="0"/>
    <x v="0"/>
    <x v="1"/>
    <x v="1"/>
    <n v="1"/>
    <n v="0"/>
    <n v="0"/>
    <n v="0"/>
    <x v="0"/>
    <n v="0"/>
    <n v="0"/>
    <m/>
    <n v="50.9"/>
    <m/>
    <n v="0"/>
    <m/>
    <n v="1"/>
    <m/>
    <n v="0"/>
    <m/>
    <n v="0"/>
    <m/>
    <n v="0"/>
    <m/>
  </r>
  <r>
    <x v="86"/>
    <n v="45679"/>
    <x v="0"/>
    <x v="1"/>
    <x v="0"/>
    <x v="4"/>
    <x v="0"/>
    <n v="0"/>
    <n v="0"/>
    <n v="0"/>
    <n v="0"/>
    <x v="0"/>
    <n v="0"/>
    <n v="0"/>
    <m/>
    <n v="51"/>
    <m/>
    <n v="0"/>
    <m/>
    <n v="0"/>
    <m/>
    <n v="0"/>
    <m/>
    <n v="0"/>
    <m/>
    <n v="0"/>
    <m/>
  </r>
  <r>
    <x v="87"/>
    <n v="45777"/>
    <x v="0"/>
    <x v="3"/>
    <x v="1"/>
    <x v="0"/>
    <x v="2"/>
    <n v="0"/>
    <n v="0"/>
    <n v="0"/>
    <n v="0"/>
    <x v="0"/>
    <n v="0"/>
    <n v="0"/>
    <m/>
    <n v="65.8"/>
    <m/>
    <n v="0"/>
    <m/>
    <n v="0"/>
    <m/>
    <n v="0"/>
    <m/>
    <n v="0"/>
    <m/>
    <n v="0"/>
    <m/>
  </r>
  <r>
    <x v="88"/>
    <n v="45772"/>
    <x v="0"/>
    <x v="0"/>
    <x v="1"/>
    <x v="3"/>
    <x v="0"/>
    <n v="1"/>
    <n v="0"/>
    <n v="0"/>
    <n v="0"/>
    <x v="0"/>
    <n v="0"/>
    <n v="0"/>
    <m/>
    <n v="61.8"/>
    <m/>
    <n v="0"/>
    <m/>
    <n v="1"/>
    <m/>
    <n v="0"/>
    <m/>
    <n v="0"/>
    <m/>
    <n v="0"/>
    <m/>
  </r>
  <r>
    <x v="89"/>
    <n v="45689"/>
    <x v="0"/>
    <x v="0"/>
    <x v="1"/>
    <x v="1"/>
    <x v="0"/>
    <n v="1"/>
    <n v="0"/>
    <n v="0"/>
    <n v="0"/>
    <x v="0"/>
    <n v="0"/>
    <n v="0"/>
    <m/>
    <n v="54.5"/>
    <m/>
    <n v="0"/>
    <m/>
    <n v="1"/>
    <m/>
    <n v="0"/>
    <m/>
    <n v="0"/>
    <m/>
    <n v="0"/>
    <m/>
  </r>
  <r>
    <x v="90"/>
    <n v="45770"/>
    <x v="0"/>
    <x v="3"/>
    <x v="0"/>
    <x v="1"/>
    <x v="1"/>
    <n v="1"/>
    <n v="0"/>
    <n v="0"/>
    <n v="0"/>
    <x v="0"/>
    <n v="0"/>
    <n v="0"/>
    <m/>
    <n v="72.2"/>
    <m/>
    <n v="0"/>
    <m/>
    <n v="1"/>
    <m/>
    <n v="0"/>
    <m/>
    <n v="0"/>
    <m/>
    <n v="0"/>
    <m/>
  </r>
  <r>
    <x v="91"/>
    <n v="45715"/>
    <x v="0"/>
    <x v="3"/>
    <x v="1"/>
    <x v="4"/>
    <x v="1"/>
    <n v="1"/>
    <n v="0"/>
    <n v="0"/>
    <n v="0"/>
    <x v="0"/>
    <n v="0"/>
    <n v="0"/>
    <m/>
    <n v="42.3"/>
    <m/>
    <n v="0"/>
    <m/>
    <n v="1"/>
    <m/>
    <n v="0"/>
    <m/>
    <n v="0"/>
    <m/>
    <n v="0"/>
    <m/>
  </r>
  <r>
    <x v="92"/>
    <n v="45756"/>
    <x v="0"/>
    <x v="2"/>
    <x v="0"/>
    <x v="1"/>
    <x v="0"/>
    <n v="1"/>
    <n v="0"/>
    <n v="0"/>
    <n v="0"/>
    <x v="0"/>
    <n v="0"/>
    <n v="0"/>
    <m/>
    <n v="76.2"/>
    <m/>
    <n v="0"/>
    <m/>
    <n v="1"/>
    <m/>
    <n v="0"/>
    <m/>
    <n v="0"/>
    <m/>
    <n v="0"/>
    <m/>
  </r>
  <r>
    <x v="93"/>
    <n v="45790"/>
    <x v="0"/>
    <x v="3"/>
    <x v="2"/>
    <x v="1"/>
    <x v="2"/>
    <n v="1"/>
    <n v="1"/>
    <n v="1"/>
    <n v="0"/>
    <x v="0"/>
    <n v="1"/>
    <n v="0"/>
    <m/>
    <n v="37.4"/>
    <m/>
    <n v="0"/>
    <m/>
    <n v="1"/>
    <m/>
    <n v="1"/>
    <m/>
    <n v="1"/>
    <m/>
    <n v="1"/>
    <m/>
  </r>
  <r>
    <x v="94"/>
    <n v="45760"/>
    <x v="0"/>
    <x v="2"/>
    <x v="1"/>
    <x v="1"/>
    <x v="1"/>
    <n v="0"/>
    <n v="0"/>
    <n v="0"/>
    <n v="0"/>
    <x v="0"/>
    <n v="0"/>
    <n v="0"/>
    <m/>
    <n v="84.2"/>
    <m/>
    <n v="0"/>
    <m/>
    <n v="0"/>
    <m/>
    <n v="0"/>
    <m/>
    <n v="0"/>
    <m/>
    <n v="0"/>
    <m/>
  </r>
  <r>
    <x v="95"/>
    <n v="45693"/>
    <x v="0"/>
    <x v="2"/>
    <x v="1"/>
    <x v="4"/>
    <x v="1"/>
    <n v="0"/>
    <n v="0"/>
    <n v="0"/>
    <n v="0"/>
    <x v="0"/>
    <n v="0"/>
    <n v="0"/>
    <m/>
    <n v="68"/>
    <m/>
    <n v="0"/>
    <m/>
    <n v="0"/>
    <m/>
    <n v="0"/>
    <m/>
    <n v="0"/>
    <m/>
    <n v="0"/>
    <m/>
  </r>
  <r>
    <x v="96"/>
    <n v="45702"/>
    <x v="0"/>
    <x v="1"/>
    <x v="1"/>
    <x v="1"/>
    <x v="0"/>
    <n v="1"/>
    <n v="0"/>
    <n v="0"/>
    <n v="0"/>
    <x v="0"/>
    <n v="0"/>
    <n v="0"/>
    <m/>
    <n v="53.5"/>
    <m/>
    <n v="0"/>
    <m/>
    <n v="1"/>
    <m/>
    <n v="0"/>
    <m/>
    <n v="0"/>
    <m/>
    <n v="0"/>
    <m/>
  </r>
  <r>
    <x v="97"/>
    <n v="45699"/>
    <x v="0"/>
    <x v="0"/>
    <x v="0"/>
    <x v="1"/>
    <x v="2"/>
    <n v="1"/>
    <n v="0"/>
    <n v="0"/>
    <n v="0"/>
    <x v="0"/>
    <n v="0"/>
    <n v="0"/>
    <m/>
    <n v="63.2"/>
    <m/>
    <n v="0"/>
    <m/>
    <n v="1"/>
    <m/>
    <n v="0"/>
    <m/>
    <n v="0"/>
    <m/>
    <n v="0"/>
    <m/>
  </r>
  <r>
    <x v="98"/>
    <n v="45699"/>
    <x v="0"/>
    <x v="2"/>
    <x v="0"/>
    <x v="4"/>
    <x v="1"/>
    <n v="1"/>
    <n v="1"/>
    <n v="1"/>
    <n v="1"/>
    <x v="3"/>
    <n v="0"/>
    <n v="0"/>
    <n v="9"/>
    <n v="55.9"/>
    <m/>
    <n v="1"/>
    <m/>
    <n v="1"/>
    <m/>
    <n v="1"/>
    <m/>
    <n v="1"/>
    <m/>
    <n v="0"/>
    <m/>
  </r>
  <r>
    <x v="99"/>
    <n v="45803"/>
    <x v="0"/>
    <x v="0"/>
    <x v="1"/>
    <x v="1"/>
    <x v="1"/>
    <n v="1"/>
    <n v="0"/>
    <n v="0"/>
    <n v="0"/>
    <x v="0"/>
    <n v="0"/>
    <n v="0"/>
    <m/>
    <n v="63.5"/>
    <m/>
    <n v="0"/>
    <m/>
    <n v="1"/>
    <m/>
    <n v="0"/>
    <m/>
    <n v="0"/>
    <m/>
    <n v="0"/>
    <m/>
  </r>
  <r>
    <x v="100"/>
    <n v="45738"/>
    <x v="0"/>
    <x v="0"/>
    <x v="1"/>
    <x v="2"/>
    <x v="0"/>
    <n v="1"/>
    <n v="0"/>
    <n v="0"/>
    <n v="0"/>
    <x v="0"/>
    <n v="0"/>
    <n v="0"/>
    <m/>
    <n v="51.5"/>
    <m/>
    <n v="0"/>
    <m/>
    <n v="1"/>
    <m/>
    <n v="0"/>
    <m/>
    <n v="0"/>
    <m/>
    <n v="0"/>
    <m/>
  </r>
  <r>
    <x v="101"/>
    <n v="45755"/>
    <x v="0"/>
    <x v="1"/>
    <x v="1"/>
    <x v="2"/>
    <x v="1"/>
    <n v="1"/>
    <n v="0"/>
    <n v="0"/>
    <n v="0"/>
    <x v="0"/>
    <n v="0"/>
    <n v="0"/>
    <m/>
    <n v="74.400000000000006"/>
    <m/>
    <n v="0"/>
    <m/>
    <n v="1"/>
    <m/>
    <n v="0"/>
    <m/>
    <n v="0"/>
    <m/>
    <n v="0"/>
    <m/>
  </r>
  <r>
    <x v="102"/>
    <n v="45761"/>
    <x v="0"/>
    <x v="0"/>
    <x v="0"/>
    <x v="4"/>
    <x v="1"/>
    <n v="1"/>
    <n v="1"/>
    <n v="1"/>
    <n v="1"/>
    <x v="4"/>
    <n v="0"/>
    <n v="0"/>
    <n v="13"/>
    <n v="60.2"/>
    <m/>
    <n v="1"/>
    <m/>
    <n v="1"/>
    <m/>
    <n v="1"/>
    <m/>
    <n v="1"/>
    <m/>
    <n v="0"/>
    <m/>
  </r>
  <r>
    <x v="103"/>
    <n v="45743"/>
    <x v="0"/>
    <x v="3"/>
    <x v="1"/>
    <x v="0"/>
    <x v="1"/>
    <n v="1"/>
    <n v="0"/>
    <n v="0"/>
    <n v="0"/>
    <x v="0"/>
    <n v="1"/>
    <n v="0"/>
    <m/>
    <n v="67.2"/>
    <m/>
    <n v="0"/>
    <m/>
    <n v="1"/>
    <m/>
    <n v="0"/>
    <m/>
    <n v="0"/>
    <m/>
    <n v="1"/>
    <m/>
  </r>
  <r>
    <x v="104"/>
    <n v="45662"/>
    <x v="0"/>
    <x v="3"/>
    <x v="1"/>
    <x v="4"/>
    <x v="1"/>
    <n v="1"/>
    <n v="1"/>
    <n v="1"/>
    <n v="0"/>
    <x v="0"/>
    <n v="0"/>
    <n v="0"/>
    <m/>
    <n v="79.599999999999994"/>
    <m/>
    <n v="0"/>
    <m/>
    <n v="1"/>
    <m/>
    <n v="1"/>
    <m/>
    <n v="1"/>
    <m/>
    <n v="0"/>
    <m/>
  </r>
  <r>
    <x v="105"/>
    <n v="45682"/>
    <x v="0"/>
    <x v="3"/>
    <x v="1"/>
    <x v="4"/>
    <x v="0"/>
    <n v="1"/>
    <n v="1"/>
    <n v="1"/>
    <n v="1"/>
    <x v="5"/>
    <n v="0"/>
    <n v="0"/>
    <n v="6"/>
    <n v="61"/>
    <m/>
    <n v="1"/>
    <m/>
    <n v="1"/>
    <m/>
    <n v="1"/>
    <m/>
    <n v="1"/>
    <m/>
    <n v="0"/>
    <m/>
  </r>
  <r>
    <x v="106"/>
    <n v="45680"/>
    <x v="0"/>
    <x v="1"/>
    <x v="1"/>
    <x v="0"/>
    <x v="1"/>
    <n v="1"/>
    <n v="1"/>
    <n v="1"/>
    <n v="0"/>
    <x v="0"/>
    <n v="4"/>
    <n v="0"/>
    <m/>
    <n v="51.1"/>
    <m/>
    <n v="0"/>
    <m/>
    <n v="1"/>
    <m/>
    <n v="1"/>
    <m/>
    <n v="1"/>
    <m/>
    <n v="4"/>
    <m/>
  </r>
  <r>
    <x v="107"/>
    <n v="45802"/>
    <x v="0"/>
    <x v="2"/>
    <x v="0"/>
    <x v="3"/>
    <x v="1"/>
    <n v="1"/>
    <n v="0"/>
    <n v="0"/>
    <n v="0"/>
    <x v="0"/>
    <n v="0"/>
    <n v="0"/>
    <m/>
    <n v="92.1"/>
    <m/>
    <n v="0"/>
    <m/>
    <n v="1"/>
    <m/>
    <n v="0"/>
    <m/>
    <n v="0"/>
    <m/>
    <n v="0"/>
    <m/>
  </r>
  <r>
    <x v="108"/>
    <n v="45738"/>
    <x v="0"/>
    <x v="3"/>
    <x v="1"/>
    <x v="3"/>
    <x v="0"/>
    <n v="0"/>
    <n v="0"/>
    <n v="0"/>
    <n v="0"/>
    <x v="0"/>
    <n v="0"/>
    <n v="0"/>
    <m/>
    <n v="82.1"/>
    <m/>
    <n v="0"/>
    <m/>
    <n v="0"/>
    <m/>
    <n v="0"/>
    <m/>
    <n v="0"/>
    <m/>
    <n v="0"/>
    <m/>
  </r>
  <r>
    <x v="109"/>
    <n v="45700"/>
    <x v="0"/>
    <x v="1"/>
    <x v="0"/>
    <x v="2"/>
    <x v="0"/>
    <n v="1"/>
    <n v="0"/>
    <n v="0"/>
    <n v="0"/>
    <x v="0"/>
    <n v="1"/>
    <n v="0"/>
    <m/>
    <n v="74"/>
    <m/>
    <n v="0"/>
    <m/>
    <n v="1"/>
    <m/>
    <n v="0"/>
    <m/>
    <n v="0"/>
    <m/>
    <n v="1"/>
    <m/>
  </r>
  <r>
    <x v="110"/>
    <n v="45775"/>
    <x v="0"/>
    <x v="1"/>
    <x v="0"/>
    <x v="1"/>
    <x v="0"/>
    <n v="1"/>
    <n v="0"/>
    <n v="0"/>
    <n v="0"/>
    <x v="0"/>
    <n v="0"/>
    <n v="0"/>
    <m/>
    <n v="63.4"/>
    <m/>
    <n v="0"/>
    <m/>
    <n v="1"/>
    <m/>
    <n v="0"/>
    <m/>
    <n v="0"/>
    <m/>
    <n v="0"/>
    <m/>
  </r>
  <r>
    <x v="111"/>
    <n v="45687"/>
    <x v="0"/>
    <x v="0"/>
    <x v="1"/>
    <x v="1"/>
    <x v="0"/>
    <n v="1"/>
    <n v="0"/>
    <n v="0"/>
    <n v="0"/>
    <x v="0"/>
    <n v="0"/>
    <n v="0"/>
    <m/>
    <n v="53.2"/>
    <m/>
    <n v="0"/>
    <m/>
    <n v="1"/>
    <m/>
    <n v="0"/>
    <m/>
    <n v="0"/>
    <m/>
    <n v="0"/>
    <m/>
  </r>
  <r>
    <x v="112"/>
    <n v="45796"/>
    <x v="0"/>
    <x v="2"/>
    <x v="2"/>
    <x v="2"/>
    <x v="1"/>
    <n v="0"/>
    <n v="0"/>
    <n v="0"/>
    <n v="0"/>
    <x v="0"/>
    <n v="0"/>
    <n v="0"/>
    <m/>
    <n v="48.1"/>
    <m/>
    <n v="0"/>
    <m/>
    <n v="0"/>
    <m/>
    <n v="0"/>
    <m/>
    <n v="0"/>
    <m/>
    <n v="0"/>
    <m/>
  </r>
  <r>
    <x v="113"/>
    <n v="45680"/>
    <x v="0"/>
    <x v="3"/>
    <x v="1"/>
    <x v="4"/>
    <x v="1"/>
    <n v="1"/>
    <n v="1"/>
    <n v="0"/>
    <n v="0"/>
    <x v="0"/>
    <n v="0"/>
    <n v="0"/>
    <m/>
    <n v="61.5"/>
    <m/>
    <n v="0"/>
    <m/>
    <n v="1"/>
    <m/>
    <n v="1"/>
    <m/>
    <n v="0"/>
    <m/>
    <n v="0"/>
    <m/>
  </r>
  <r>
    <x v="114"/>
    <n v="45744"/>
    <x v="0"/>
    <x v="2"/>
    <x v="0"/>
    <x v="4"/>
    <x v="1"/>
    <n v="1"/>
    <n v="0"/>
    <n v="0"/>
    <n v="0"/>
    <x v="0"/>
    <n v="0"/>
    <n v="0"/>
    <m/>
    <n v="63.2"/>
    <m/>
    <n v="0"/>
    <m/>
    <n v="1"/>
    <m/>
    <n v="0"/>
    <m/>
    <n v="0"/>
    <m/>
    <n v="0"/>
    <m/>
  </r>
  <r>
    <x v="115"/>
    <n v="45668"/>
    <x v="0"/>
    <x v="1"/>
    <x v="1"/>
    <x v="1"/>
    <x v="1"/>
    <n v="0"/>
    <n v="0"/>
    <n v="0"/>
    <n v="0"/>
    <x v="0"/>
    <n v="0"/>
    <n v="0"/>
    <m/>
    <n v="71.900000000000006"/>
    <m/>
    <n v="0"/>
    <m/>
    <n v="0"/>
    <m/>
    <n v="0"/>
    <m/>
    <n v="0"/>
    <m/>
    <n v="0"/>
    <m/>
  </r>
  <r>
    <x v="116"/>
    <n v="45758"/>
    <x v="0"/>
    <x v="0"/>
    <x v="1"/>
    <x v="3"/>
    <x v="1"/>
    <n v="0"/>
    <n v="0"/>
    <n v="0"/>
    <n v="0"/>
    <x v="0"/>
    <n v="0"/>
    <n v="0"/>
    <m/>
    <n v="62.7"/>
    <m/>
    <n v="0"/>
    <m/>
    <n v="0"/>
    <m/>
    <n v="0"/>
    <m/>
    <n v="0"/>
    <m/>
    <n v="0"/>
    <m/>
  </r>
  <r>
    <x v="117"/>
    <n v="45659"/>
    <x v="0"/>
    <x v="1"/>
    <x v="1"/>
    <x v="2"/>
    <x v="1"/>
    <n v="1"/>
    <n v="0"/>
    <n v="0"/>
    <n v="0"/>
    <x v="0"/>
    <n v="0"/>
    <n v="0"/>
    <m/>
    <n v="51.5"/>
    <m/>
    <n v="0"/>
    <m/>
    <n v="1"/>
    <m/>
    <n v="0"/>
    <m/>
    <n v="0"/>
    <m/>
    <n v="0"/>
    <m/>
  </r>
  <r>
    <x v="118"/>
    <n v="45734"/>
    <x v="0"/>
    <x v="2"/>
    <x v="1"/>
    <x v="4"/>
    <x v="1"/>
    <n v="1"/>
    <n v="1"/>
    <n v="1"/>
    <n v="0"/>
    <x v="0"/>
    <n v="0"/>
    <n v="0"/>
    <m/>
    <n v="39.1"/>
    <m/>
    <n v="0"/>
    <m/>
    <n v="1"/>
    <m/>
    <n v="1"/>
    <m/>
    <n v="1"/>
    <m/>
    <n v="0"/>
    <m/>
  </r>
  <r>
    <x v="119"/>
    <n v="45747"/>
    <x v="0"/>
    <x v="0"/>
    <x v="1"/>
    <x v="0"/>
    <x v="1"/>
    <n v="1"/>
    <n v="0"/>
    <n v="0"/>
    <n v="0"/>
    <x v="0"/>
    <n v="0"/>
    <n v="0"/>
    <m/>
    <n v="43.8"/>
    <m/>
    <n v="0"/>
    <m/>
    <n v="1"/>
    <m/>
    <n v="0"/>
    <m/>
    <n v="0"/>
    <m/>
    <n v="0"/>
    <m/>
  </r>
  <r>
    <x v="120"/>
    <n v="45663"/>
    <x v="0"/>
    <x v="0"/>
    <x v="1"/>
    <x v="2"/>
    <x v="0"/>
    <n v="1"/>
    <n v="0"/>
    <n v="0"/>
    <n v="0"/>
    <x v="0"/>
    <n v="0"/>
    <n v="0"/>
    <m/>
    <n v="59.9"/>
    <m/>
    <n v="0"/>
    <m/>
    <n v="1"/>
    <m/>
    <n v="0"/>
    <m/>
    <n v="0"/>
    <m/>
    <n v="0"/>
    <m/>
  </r>
  <r>
    <x v="121"/>
    <n v="45683"/>
    <x v="0"/>
    <x v="0"/>
    <x v="1"/>
    <x v="3"/>
    <x v="1"/>
    <n v="1"/>
    <n v="1"/>
    <n v="0"/>
    <n v="0"/>
    <x v="0"/>
    <n v="0"/>
    <n v="0"/>
    <m/>
    <n v="71.400000000000006"/>
    <m/>
    <n v="0"/>
    <m/>
    <n v="1"/>
    <m/>
    <n v="1"/>
    <m/>
    <n v="0"/>
    <m/>
    <n v="0"/>
    <m/>
  </r>
  <r>
    <x v="122"/>
    <n v="45769"/>
    <x v="0"/>
    <x v="3"/>
    <x v="1"/>
    <x v="3"/>
    <x v="0"/>
    <n v="0"/>
    <n v="0"/>
    <n v="0"/>
    <n v="0"/>
    <x v="0"/>
    <n v="0"/>
    <n v="0"/>
    <m/>
    <n v="36.1"/>
    <m/>
    <n v="0"/>
    <m/>
    <n v="0"/>
    <m/>
    <n v="0"/>
    <m/>
    <n v="0"/>
    <m/>
    <n v="0"/>
    <m/>
  </r>
  <r>
    <x v="123"/>
    <n v="45807"/>
    <x v="0"/>
    <x v="1"/>
    <x v="3"/>
    <x v="0"/>
    <x v="0"/>
    <n v="1"/>
    <n v="1"/>
    <n v="0"/>
    <n v="0"/>
    <x v="0"/>
    <n v="0"/>
    <n v="0"/>
    <m/>
    <n v="47.9"/>
    <m/>
    <n v="0"/>
    <m/>
    <n v="1"/>
    <m/>
    <n v="1"/>
    <m/>
    <n v="0"/>
    <m/>
    <n v="0"/>
    <m/>
  </r>
  <r>
    <x v="124"/>
    <n v="45795"/>
    <x v="0"/>
    <x v="1"/>
    <x v="0"/>
    <x v="1"/>
    <x v="2"/>
    <n v="1"/>
    <n v="0"/>
    <n v="0"/>
    <n v="0"/>
    <x v="0"/>
    <n v="0"/>
    <n v="0"/>
    <m/>
    <n v="62.5"/>
    <m/>
    <n v="0"/>
    <m/>
    <n v="1"/>
    <m/>
    <n v="0"/>
    <m/>
    <n v="0"/>
    <m/>
    <n v="0"/>
    <m/>
  </r>
  <r>
    <x v="125"/>
    <n v="45670"/>
    <x v="0"/>
    <x v="3"/>
    <x v="0"/>
    <x v="2"/>
    <x v="2"/>
    <n v="1"/>
    <n v="0"/>
    <n v="0"/>
    <n v="0"/>
    <x v="0"/>
    <n v="0"/>
    <n v="0"/>
    <m/>
    <n v="56.9"/>
    <m/>
    <n v="0"/>
    <m/>
    <n v="1"/>
    <m/>
    <n v="0"/>
    <m/>
    <n v="0"/>
    <m/>
    <n v="0"/>
    <m/>
  </r>
  <r>
    <x v="126"/>
    <n v="45741"/>
    <x v="0"/>
    <x v="0"/>
    <x v="0"/>
    <x v="0"/>
    <x v="1"/>
    <n v="0"/>
    <n v="0"/>
    <n v="0"/>
    <n v="0"/>
    <x v="0"/>
    <n v="0"/>
    <n v="0"/>
    <m/>
    <n v="64.7"/>
    <m/>
    <n v="0"/>
    <m/>
    <n v="0"/>
    <m/>
    <n v="0"/>
    <m/>
    <n v="0"/>
    <m/>
    <n v="0"/>
    <m/>
  </r>
  <r>
    <x v="127"/>
    <n v="45776"/>
    <x v="0"/>
    <x v="3"/>
    <x v="0"/>
    <x v="1"/>
    <x v="1"/>
    <n v="1"/>
    <n v="1"/>
    <n v="1"/>
    <n v="0"/>
    <x v="0"/>
    <n v="0"/>
    <n v="0"/>
    <m/>
    <n v="64"/>
    <m/>
    <n v="0"/>
    <m/>
    <n v="1"/>
    <m/>
    <n v="1"/>
    <m/>
    <n v="1"/>
    <m/>
    <n v="0"/>
    <m/>
  </r>
  <r>
    <x v="128"/>
    <n v="45794"/>
    <x v="0"/>
    <x v="2"/>
    <x v="1"/>
    <x v="3"/>
    <x v="0"/>
    <n v="1"/>
    <n v="1"/>
    <n v="1"/>
    <n v="0"/>
    <x v="0"/>
    <n v="0"/>
    <n v="0"/>
    <m/>
    <n v="75.2"/>
    <m/>
    <n v="0"/>
    <m/>
    <n v="1"/>
    <m/>
    <n v="1"/>
    <m/>
    <n v="1"/>
    <m/>
    <n v="0"/>
    <m/>
  </r>
  <r>
    <x v="129"/>
    <n v="45659"/>
    <x v="0"/>
    <x v="0"/>
    <x v="1"/>
    <x v="2"/>
    <x v="1"/>
    <n v="1"/>
    <n v="0"/>
    <n v="0"/>
    <n v="0"/>
    <x v="0"/>
    <n v="1"/>
    <n v="0"/>
    <m/>
    <n v="79"/>
    <m/>
    <n v="0"/>
    <m/>
    <n v="1"/>
    <m/>
    <n v="0"/>
    <m/>
    <n v="0"/>
    <m/>
    <n v="1"/>
    <m/>
  </r>
  <r>
    <x v="130"/>
    <n v="45691"/>
    <x v="0"/>
    <x v="3"/>
    <x v="1"/>
    <x v="1"/>
    <x v="1"/>
    <n v="0"/>
    <n v="0"/>
    <n v="0"/>
    <n v="0"/>
    <x v="0"/>
    <n v="0"/>
    <n v="0"/>
    <m/>
    <n v="33"/>
    <m/>
    <n v="0"/>
    <m/>
    <n v="0"/>
    <m/>
    <n v="0"/>
    <m/>
    <n v="0"/>
    <m/>
    <n v="0"/>
    <m/>
  </r>
  <r>
    <x v="131"/>
    <n v="45720"/>
    <x v="0"/>
    <x v="2"/>
    <x v="1"/>
    <x v="1"/>
    <x v="1"/>
    <n v="1"/>
    <n v="0"/>
    <n v="0"/>
    <n v="0"/>
    <x v="0"/>
    <n v="0"/>
    <n v="0"/>
    <m/>
    <n v="67.900000000000006"/>
    <m/>
    <n v="0"/>
    <m/>
    <n v="1"/>
    <m/>
    <n v="0"/>
    <m/>
    <n v="0"/>
    <m/>
    <n v="0"/>
    <m/>
  </r>
  <r>
    <x v="132"/>
    <n v="45683"/>
    <x v="0"/>
    <x v="3"/>
    <x v="1"/>
    <x v="2"/>
    <x v="0"/>
    <n v="0"/>
    <n v="0"/>
    <n v="0"/>
    <n v="0"/>
    <x v="0"/>
    <n v="0"/>
    <n v="0"/>
    <m/>
    <n v="42.2"/>
    <m/>
    <n v="0"/>
    <m/>
    <n v="0"/>
    <m/>
    <n v="0"/>
    <m/>
    <n v="0"/>
    <m/>
    <n v="0"/>
    <m/>
  </r>
  <r>
    <x v="133"/>
    <n v="45789"/>
    <x v="0"/>
    <x v="1"/>
    <x v="1"/>
    <x v="2"/>
    <x v="0"/>
    <n v="1"/>
    <n v="1"/>
    <n v="1"/>
    <n v="0"/>
    <x v="0"/>
    <n v="0"/>
    <n v="0"/>
    <m/>
    <n v="43.4"/>
    <m/>
    <n v="0"/>
    <m/>
    <n v="1"/>
    <m/>
    <n v="1"/>
    <m/>
    <n v="1"/>
    <m/>
    <n v="0"/>
    <m/>
  </r>
  <r>
    <x v="134"/>
    <n v="45722"/>
    <x v="0"/>
    <x v="0"/>
    <x v="1"/>
    <x v="1"/>
    <x v="0"/>
    <n v="0"/>
    <n v="0"/>
    <n v="0"/>
    <n v="0"/>
    <x v="0"/>
    <n v="0"/>
    <n v="0"/>
    <m/>
    <n v="54.4"/>
    <m/>
    <n v="0"/>
    <m/>
    <n v="0"/>
    <m/>
    <n v="0"/>
    <m/>
    <n v="0"/>
    <m/>
    <n v="0"/>
    <m/>
  </r>
  <r>
    <x v="135"/>
    <n v="45726"/>
    <x v="0"/>
    <x v="3"/>
    <x v="0"/>
    <x v="0"/>
    <x v="2"/>
    <n v="0"/>
    <n v="0"/>
    <n v="0"/>
    <n v="0"/>
    <x v="0"/>
    <n v="0"/>
    <n v="0"/>
    <m/>
    <n v="45.7"/>
    <m/>
    <n v="0"/>
    <m/>
    <n v="0"/>
    <m/>
    <n v="0"/>
    <m/>
    <n v="0"/>
    <m/>
    <n v="0"/>
    <m/>
  </r>
  <r>
    <x v="136"/>
    <n v="45783"/>
    <x v="0"/>
    <x v="0"/>
    <x v="1"/>
    <x v="2"/>
    <x v="1"/>
    <n v="0"/>
    <n v="0"/>
    <n v="0"/>
    <n v="0"/>
    <x v="0"/>
    <n v="3"/>
    <n v="0"/>
    <m/>
    <n v="32"/>
    <m/>
    <n v="0"/>
    <m/>
    <n v="0"/>
    <m/>
    <n v="0"/>
    <m/>
    <n v="0"/>
    <m/>
    <n v="3"/>
    <m/>
  </r>
  <r>
    <x v="137"/>
    <n v="45711"/>
    <x v="0"/>
    <x v="3"/>
    <x v="0"/>
    <x v="2"/>
    <x v="1"/>
    <n v="1"/>
    <n v="0"/>
    <n v="0"/>
    <n v="0"/>
    <x v="0"/>
    <n v="0"/>
    <n v="0"/>
    <m/>
    <n v="70.900000000000006"/>
    <m/>
    <n v="0"/>
    <m/>
    <n v="1"/>
    <m/>
    <n v="0"/>
    <m/>
    <n v="0"/>
    <m/>
    <n v="0"/>
    <m/>
  </r>
  <r>
    <x v="138"/>
    <n v="45686"/>
    <x v="0"/>
    <x v="1"/>
    <x v="1"/>
    <x v="4"/>
    <x v="0"/>
    <n v="1"/>
    <n v="1"/>
    <n v="1"/>
    <n v="0"/>
    <x v="0"/>
    <n v="0"/>
    <n v="0"/>
    <m/>
    <n v="59.1"/>
    <m/>
    <n v="0"/>
    <m/>
    <n v="1"/>
    <m/>
    <n v="1"/>
    <m/>
    <n v="1"/>
    <m/>
    <n v="0"/>
    <m/>
  </r>
  <r>
    <x v="139"/>
    <n v="45688"/>
    <x v="0"/>
    <x v="0"/>
    <x v="1"/>
    <x v="1"/>
    <x v="0"/>
    <n v="0"/>
    <n v="0"/>
    <n v="0"/>
    <n v="0"/>
    <x v="0"/>
    <n v="0"/>
    <n v="0"/>
    <m/>
    <n v="62.4"/>
    <m/>
    <n v="0"/>
    <m/>
    <n v="0"/>
    <m/>
    <n v="0"/>
    <m/>
    <n v="0"/>
    <m/>
    <n v="0"/>
    <m/>
  </r>
  <r>
    <x v="140"/>
    <n v="45676"/>
    <x v="0"/>
    <x v="3"/>
    <x v="1"/>
    <x v="1"/>
    <x v="1"/>
    <n v="0"/>
    <n v="0"/>
    <n v="0"/>
    <n v="0"/>
    <x v="0"/>
    <n v="0"/>
    <n v="0"/>
    <m/>
    <n v="49.6"/>
    <m/>
    <n v="0"/>
    <m/>
    <n v="0"/>
    <m/>
    <n v="0"/>
    <m/>
    <n v="0"/>
    <m/>
    <n v="0"/>
    <m/>
  </r>
  <r>
    <x v="141"/>
    <n v="45750"/>
    <x v="0"/>
    <x v="1"/>
    <x v="0"/>
    <x v="4"/>
    <x v="1"/>
    <n v="1"/>
    <n v="1"/>
    <n v="1"/>
    <n v="1"/>
    <x v="6"/>
    <n v="0"/>
    <n v="0"/>
    <n v="9"/>
    <n v="80.599999999999994"/>
    <m/>
    <n v="1"/>
    <m/>
    <n v="1"/>
    <m/>
    <n v="1"/>
    <m/>
    <n v="1"/>
    <m/>
    <n v="0"/>
    <m/>
  </r>
  <r>
    <x v="142"/>
    <n v="45754"/>
    <x v="0"/>
    <x v="0"/>
    <x v="1"/>
    <x v="2"/>
    <x v="1"/>
    <n v="1"/>
    <n v="0"/>
    <n v="0"/>
    <n v="0"/>
    <x v="0"/>
    <n v="0"/>
    <n v="0"/>
    <m/>
    <n v="47.9"/>
    <m/>
    <n v="0"/>
    <m/>
    <n v="1"/>
    <m/>
    <n v="0"/>
    <m/>
    <n v="0"/>
    <m/>
    <n v="0"/>
    <m/>
  </r>
  <r>
    <x v="143"/>
    <n v="45663"/>
    <x v="0"/>
    <x v="2"/>
    <x v="1"/>
    <x v="2"/>
    <x v="0"/>
    <n v="1"/>
    <n v="1"/>
    <n v="0"/>
    <n v="0"/>
    <x v="0"/>
    <n v="0"/>
    <n v="0"/>
    <m/>
    <n v="54.8"/>
    <m/>
    <n v="0"/>
    <m/>
    <n v="1"/>
    <m/>
    <n v="1"/>
    <m/>
    <n v="0"/>
    <m/>
    <n v="0"/>
    <m/>
  </r>
  <r>
    <x v="144"/>
    <n v="45758"/>
    <x v="0"/>
    <x v="2"/>
    <x v="1"/>
    <x v="1"/>
    <x v="1"/>
    <n v="1"/>
    <n v="0"/>
    <n v="0"/>
    <n v="0"/>
    <x v="0"/>
    <n v="1"/>
    <n v="0"/>
    <m/>
    <n v="53.9"/>
    <m/>
    <n v="0"/>
    <m/>
    <n v="1"/>
    <m/>
    <n v="0"/>
    <m/>
    <n v="0"/>
    <m/>
    <n v="1"/>
    <m/>
  </r>
  <r>
    <x v="145"/>
    <n v="45770"/>
    <x v="0"/>
    <x v="2"/>
    <x v="1"/>
    <x v="2"/>
    <x v="1"/>
    <n v="1"/>
    <n v="0"/>
    <n v="0"/>
    <n v="0"/>
    <x v="0"/>
    <n v="0"/>
    <n v="0"/>
    <m/>
    <n v="41.3"/>
    <m/>
    <n v="0"/>
    <m/>
    <n v="1"/>
    <m/>
    <n v="0"/>
    <m/>
    <n v="0"/>
    <m/>
    <n v="0"/>
    <m/>
  </r>
  <r>
    <x v="146"/>
    <n v="45741"/>
    <x v="0"/>
    <x v="1"/>
    <x v="1"/>
    <x v="1"/>
    <x v="0"/>
    <n v="1"/>
    <n v="1"/>
    <n v="0"/>
    <n v="0"/>
    <x v="0"/>
    <n v="0"/>
    <n v="0"/>
    <m/>
    <n v="38.9"/>
    <m/>
    <n v="0"/>
    <m/>
    <n v="1"/>
    <m/>
    <n v="1"/>
    <m/>
    <n v="0"/>
    <m/>
    <n v="0"/>
    <m/>
  </r>
  <r>
    <x v="147"/>
    <n v="45802"/>
    <x v="0"/>
    <x v="3"/>
    <x v="0"/>
    <x v="1"/>
    <x v="0"/>
    <n v="1"/>
    <n v="0"/>
    <n v="0"/>
    <n v="0"/>
    <x v="0"/>
    <n v="0"/>
    <n v="0"/>
    <m/>
    <n v="63.6"/>
    <m/>
    <n v="0"/>
    <m/>
    <n v="1"/>
    <m/>
    <n v="0"/>
    <m/>
    <n v="0"/>
    <m/>
    <n v="0"/>
    <m/>
  </r>
  <r>
    <x v="148"/>
    <n v="45685"/>
    <x v="0"/>
    <x v="0"/>
    <x v="1"/>
    <x v="1"/>
    <x v="1"/>
    <n v="1"/>
    <n v="1"/>
    <n v="1"/>
    <n v="1"/>
    <x v="7"/>
    <n v="0"/>
    <n v="0"/>
    <n v="9"/>
    <n v="76.599999999999994"/>
    <m/>
    <n v="1"/>
    <m/>
    <n v="1"/>
    <m/>
    <n v="1"/>
    <m/>
    <n v="1"/>
    <m/>
    <n v="0"/>
    <m/>
  </r>
  <r>
    <x v="149"/>
    <n v="45700"/>
    <x v="0"/>
    <x v="1"/>
    <x v="1"/>
    <x v="2"/>
    <x v="2"/>
    <n v="0"/>
    <n v="0"/>
    <n v="0"/>
    <n v="0"/>
    <x v="0"/>
    <n v="1"/>
    <n v="0"/>
    <m/>
    <n v="67.599999999999994"/>
    <m/>
    <n v="0"/>
    <m/>
    <n v="0"/>
    <m/>
    <n v="0"/>
    <m/>
    <n v="0"/>
    <m/>
    <n v="1"/>
    <m/>
  </r>
  <r>
    <x v="150"/>
    <n v="45776"/>
    <x v="0"/>
    <x v="0"/>
    <x v="1"/>
    <x v="4"/>
    <x v="2"/>
    <n v="1"/>
    <n v="0"/>
    <n v="0"/>
    <n v="0"/>
    <x v="0"/>
    <n v="0"/>
    <n v="0"/>
    <m/>
    <n v="43.1"/>
    <m/>
    <n v="0"/>
    <m/>
    <n v="1"/>
    <m/>
    <n v="0"/>
    <m/>
    <n v="0"/>
    <m/>
    <n v="0"/>
    <m/>
  </r>
  <r>
    <x v="151"/>
    <n v="45729"/>
    <x v="0"/>
    <x v="3"/>
    <x v="1"/>
    <x v="0"/>
    <x v="1"/>
    <n v="1"/>
    <n v="0"/>
    <n v="0"/>
    <n v="0"/>
    <x v="0"/>
    <n v="0"/>
    <n v="0"/>
    <m/>
    <n v="58.3"/>
    <m/>
    <n v="0"/>
    <m/>
    <n v="1"/>
    <m/>
    <n v="0"/>
    <m/>
    <n v="0"/>
    <m/>
    <n v="0"/>
    <m/>
  </r>
  <r>
    <x v="152"/>
    <n v="45692"/>
    <x v="0"/>
    <x v="2"/>
    <x v="0"/>
    <x v="2"/>
    <x v="1"/>
    <n v="1"/>
    <n v="0"/>
    <n v="0"/>
    <n v="0"/>
    <x v="0"/>
    <n v="0"/>
    <n v="0"/>
    <m/>
    <n v="69.8"/>
    <m/>
    <n v="0"/>
    <m/>
    <n v="1"/>
    <m/>
    <n v="0"/>
    <m/>
    <n v="0"/>
    <m/>
    <n v="0"/>
    <m/>
  </r>
  <r>
    <x v="153"/>
    <n v="45720"/>
    <x v="0"/>
    <x v="3"/>
    <x v="1"/>
    <x v="3"/>
    <x v="1"/>
    <n v="1"/>
    <n v="1"/>
    <n v="0"/>
    <n v="0"/>
    <x v="0"/>
    <n v="0"/>
    <n v="0"/>
    <m/>
    <m/>
    <m/>
    <n v="0"/>
    <m/>
    <n v="1"/>
    <m/>
    <n v="1"/>
    <m/>
    <n v="0"/>
    <m/>
    <n v="0"/>
    <m/>
  </r>
  <r>
    <x v="154"/>
    <n v="45692"/>
    <x v="0"/>
    <x v="1"/>
    <x v="1"/>
    <x v="2"/>
    <x v="0"/>
    <n v="1"/>
    <n v="1"/>
    <n v="0"/>
    <n v="0"/>
    <x v="0"/>
    <n v="0"/>
    <n v="0"/>
    <m/>
    <n v="41.9"/>
    <m/>
    <n v="0"/>
    <m/>
    <n v="1"/>
    <m/>
    <n v="1"/>
    <m/>
    <n v="0"/>
    <m/>
    <n v="0"/>
    <m/>
  </r>
  <r>
    <x v="155"/>
    <n v="45727"/>
    <x v="0"/>
    <x v="0"/>
    <x v="0"/>
    <x v="1"/>
    <x v="1"/>
    <n v="0"/>
    <n v="0"/>
    <n v="0"/>
    <n v="0"/>
    <x v="0"/>
    <n v="0"/>
    <n v="0"/>
    <m/>
    <n v="33.1"/>
    <m/>
    <n v="0"/>
    <m/>
    <n v="0"/>
    <m/>
    <n v="0"/>
    <m/>
    <n v="0"/>
    <m/>
    <n v="0"/>
    <m/>
  </r>
  <r>
    <x v="156"/>
    <n v="45769"/>
    <x v="0"/>
    <x v="1"/>
    <x v="1"/>
    <x v="1"/>
    <x v="1"/>
    <n v="0"/>
    <n v="0"/>
    <n v="0"/>
    <n v="0"/>
    <x v="0"/>
    <n v="0"/>
    <n v="0"/>
    <m/>
    <n v="58.6"/>
    <m/>
    <n v="0"/>
    <m/>
    <n v="0"/>
    <m/>
    <n v="0"/>
    <m/>
    <n v="0"/>
    <m/>
    <n v="0"/>
    <m/>
  </r>
  <r>
    <x v="157"/>
    <n v="45724"/>
    <x v="0"/>
    <x v="0"/>
    <x v="0"/>
    <x v="2"/>
    <x v="1"/>
    <n v="0"/>
    <n v="0"/>
    <n v="0"/>
    <n v="0"/>
    <x v="0"/>
    <n v="0"/>
    <n v="0"/>
    <m/>
    <n v="55.7"/>
    <m/>
    <n v="0"/>
    <m/>
    <n v="0"/>
    <m/>
    <n v="0"/>
    <m/>
    <n v="0"/>
    <m/>
    <n v="0"/>
    <m/>
  </r>
  <r>
    <x v="158"/>
    <n v="45726"/>
    <x v="0"/>
    <x v="2"/>
    <x v="1"/>
    <x v="1"/>
    <x v="1"/>
    <n v="0"/>
    <n v="0"/>
    <n v="0"/>
    <n v="0"/>
    <x v="0"/>
    <n v="2"/>
    <n v="0"/>
    <m/>
    <n v="64.900000000000006"/>
    <m/>
    <n v="0"/>
    <m/>
    <n v="0"/>
    <m/>
    <n v="0"/>
    <m/>
    <n v="0"/>
    <m/>
    <n v="2"/>
    <m/>
  </r>
  <r>
    <x v="159"/>
    <n v="45795"/>
    <x v="0"/>
    <x v="0"/>
    <x v="0"/>
    <x v="2"/>
    <x v="0"/>
    <n v="0"/>
    <n v="0"/>
    <n v="0"/>
    <n v="0"/>
    <x v="0"/>
    <n v="0"/>
    <n v="0"/>
    <m/>
    <n v="72.3"/>
    <m/>
    <n v="0"/>
    <m/>
    <n v="0"/>
    <m/>
    <n v="0"/>
    <m/>
    <n v="0"/>
    <m/>
    <n v="0"/>
    <m/>
  </r>
  <r>
    <x v="160"/>
    <n v="45791"/>
    <x v="0"/>
    <x v="0"/>
    <x v="1"/>
    <x v="4"/>
    <x v="0"/>
    <n v="0"/>
    <n v="0"/>
    <n v="0"/>
    <n v="0"/>
    <x v="0"/>
    <n v="0"/>
    <n v="0"/>
    <m/>
    <n v="42.1"/>
    <m/>
    <n v="0"/>
    <m/>
    <n v="0"/>
    <m/>
    <n v="0"/>
    <m/>
    <n v="0"/>
    <m/>
    <n v="0"/>
    <m/>
  </r>
  <r>
    <x v="161"/>
    <n v="45689"/>
    <x v="0"/>
    <x v="0"/>
    <x v="1"/>
    <x v="1"/>
    <x v="1"/>
    <n v="0"/>
    <n v="0"/>
    <n v="0"/>
    <n v="0"/>
    <x v="0"/>
    <n v="0"/>
    <n v="0"/>
    <m/>
    <m/>
    <m/>
    <n v="0"/>
    <m/>
    <n v="0"/>
    <m/>
    <n v="0"/>
    <m/>
    <n v="0"/>
    <m/>
    <n v="0"/>
    <m/>
  </r>
  <r>
    <x v="162"/>
    <n v="45758"/>
    <x v="0"/>
    <x v="3"/>
    <x v="1"/>
    <x v="1"/>
    <x v="0"/>
    <n v="0"/>
    <n v="0"/>
    <n v="0"/>
    <n v="0"/>
    <x v="0"/>
    <n v="1"/>
    <n v="0"/>
    <m/>
    <n v="64.8"/>
    <m/>
    <n v="0"/>
    <m/>
    <n v="0"/>
    <m/>
    <n v="0"/>
    <m/>
    <n v="0"/>
    <m/>
    <n v="1"/>
    <m/>
  </r>
  <r>
    <x v="163"/>
    <n v="45702"/>
    <x v="0"/>
    <x v="2"/>
    <x v="1"/>
    <x v="1"/>
    <x v="1"/>
    <n v="0"/>
    <n v="0"/>
    <n v="0"/>
    <n v="0"/>
    <x v="0"/>
    <n v="0"/>
    <n v="0"/>
    <m/>
    <n v="72.099999999999994"/>
    <m/>
    <n v="0"/>
    <m/>
    <n v="0"/>
    <m/>
    <n v="0"/>
    <m/>
    <n v="0"/>
    <m/>
    <n v="0"/>
    <m/>
  </r>
  <r>
    <x v="164"/>
    <n v="45796"/>
    <x v="0"/>
    <x v="2"/>
    <x v="1"/>
    <x v="4"/>
    <x v="1"/>
    <n v="1"/>
    <n v="0"/>
    <n v="0"/>
    <n v="0"/>
    <x v="0"/>
    <n v="0"/>
    <n v="0"/>
    <m/>
    <n v="50.6"/>
    <m/>
    <n v="0"/>
    <m/>
    <n v="1"/>
    <m/>
    <n v="0"/>
    <m/>
    <n v="0"/>
    <m/>
    <n v="0"/>
    <m/>
  </r>
  <r>
    <x v="165"/>
    <n v="45773"/>
    <x v="0"/>
    <x v="0"/>
    <x v="0"/>
    <x v="2"/>
    <x v="0"/>
    <n v="1"/>
    <n v="1"/>
    <n v="1"/>
    <n v="1"/>
    <x v="8"/>
    <n v="1"/>
    <n v="0"/>
    <n v="9"/>
    <n v="43.4"/>
    <m/>
    <n v="1"/>
    <m/>
    <n v="1"/>
    <m/>
    <n v="1"/>
    <m/>
    <n v="1"/>
    <m/>
    <n v="1"/>
    <m/>
  </r>
  <r>
    <x v="166"/>
    <n v="45753"/>
    <x v="0"/>
    <x v="3"/>
    <x v="1"/>
    <x v="4"/>
    <x v="1"/>
    <n v="1"/>
    <n v="0"/>
    <n v="0"/>
    <n v="0"/>
    <x v="0"/>
    <n v="0"/>
    <n v="0"/>
    <m/>
    <n v="59.7"/>
    <m/>
    <n v="0"/>
    <m/>
    <n v="1"/>
    <m/>
    <n v="0"/>
    <m/>
    <n v="0"/>
    <m/>
    <n v="0"/>
    <m/>
  </r>
  <r>
    <x v="167"/>
    <n v="45722"/>
    <x v="0"/>
    <x v="3"/>
    <x v="1"/>
    <x v="2"/>
    <x v="1"/>
    <n v="1"/>
    <n v="0"/>
    <n v="0"/>
    <n v="0"/>
    <x v="0"/>
    <n v="1"/>
    <n v="0"/>
    <m/>
    <m/>
    <m/>
    <n v="0"/>
    <m/>
    <n v="1"/>
    <m/>
    <n v="0"/>
    <m/>
    <n v="0"/>
    <m/>
    <n v="1"/>
    <m/>
  </r>
  <r>
    <x v="168"/>
    <n v="45726"/>
    <x v="0"/>
    <x v="1"/>
    <x v="1"/>
    <x v="4"/>
    <x v="0"/>
    <n v="0"/>
    <n v="0"/>
    <n v="0"/>
    <n v="0"/>
    <x v="0"/>
    <n v="0"/>
    <n v="0"/>
    <m/>
    <n v="54.5"/>
    <m/>
    <n v="0"/>
    <m/>
    <n v="0"/>
    <m/>
    <n v="0"/>
    <m/>
    <n v="0"/>
    <m/>
    <n v="0"/>
    <m/>
  </r>
  <r>
    <x v="169"/>
    <n v="45746"/>
    <x v="0"/>
    <x v="0"/>
    <x v="1"/>
    <x v="1"/>
    <x v="1"/>
    <n v="1"/>
    <n v="0"/>
    <n v="0"/>
    <n v="0"/>
    <x v="0"/>
    <n v="0"/>
    <n v="0"/>
    <m/>
    <n v="71.099999999999994"/>
    <m/>
    <n v="0"/>
    <m/>
    <n v="1"/>
    <m/>
    <n v="0"/>
    <m/>
    <n v="0"/>
    <m/>
    <n v="0"/>
    <m/>
  </r>
  <r>
    <x v="170"/>
    <n v="45806"/>
    <x v="0"/>
    <x v="2"/>
    <x v="3"/>
    <x v="2"/>
    <x v="1"/>
    <n v="1"/>
    <n v="1"/>
    <n v="1"/>
    <n v="0"/>
    <x v="0"/>
    <n v="0"/>
    <n v="0"/>
    <m/>
    <n v="44.4"/>
    <m/>
    <n v="0"/>
    <m/>
    <n v="1"/>
    <m/>
    <n v="1"/>
    <m/>
    <n v="1"/>
    <m/>
    <n v="0"/>
    <m/>
  </r>
  <r>
    <x v="171"/>
    <n v="45739"/>
    <x v="0"/>
    <x v="0"/>
    <x v="1"/>
    <x v="1"/>
    <x v="1"/>
    <n v="1"/>
    <n v="0"/>
    <n v="0"/>
    <n v="0"/>
    <x v="0"/>
    <n v="0"/>
    <n v="0"/>
    <m/>
    <n v="61.7"/>
    <m/>
    <n v="0"/>
    <m/>
    <n v="1"/>
    <m/>
    <n v="0"/>
    <m/>
    <n v="0"/>
    <m/>
    <n v="0"/>
    <m/>
  </r>
  <r>
    <x v="172"/>
    <n v="45706"/>
    <x v="0"/>
    <x v="0"/>
    <x v="2"/>
    <x v="1"/>
    <x v="0"/>
    <n v="0"/>
    <n v="0"/>
    <n v="0"/>
    <n v="0"/>
    <x v="0"/>
    <n v="1"/>
    <n v="0"/>
    <m/>
    <n v="81.3"/>
    <m/>
    <n v="0"/>
    <m/>
    <n v="0"/>
    <m/>
    <n v="0"/>
    <m/>
    <n v="0"/>
    <m/>
    <n v="1"/>
    <m/>
  </r>
  <r>
    <x v="173"/>
    <n v="45683"/>
    <x v="0"/>
    <x v="0"/>
    <x v="0"/>
    <x v="0"/>
    <x v="1"/>
    <n v="1"/>
    <n v="0"/>
    <n v="0"/>
    <n v="0"/>
    <x v="0"/>
    <n v="2"/>
    <n v="0"/>
    <m/>
    <n v="28.7"/>
    <m/>
    <n v="0"/>
    <m/>
    <n v="1"/>
    <m/>
    <n v="0"/>
    <m/>
    <n v="0"/>
    <m/>
    <n v="2"/>
    <m/>
  </r>
  <r>
    <x v="174"/>
    <n v="45770"/>
    <x v="0"/>
    <x v="2"/>
    <x v="1"/>
    <x v="4"/>
    <x v="0"/>
    <n v="0"/>
    <n v="0"/>
    <n v="0"/>
    <n v="0"/>
    <x v="0"/>
    <n v="0"/>
    <n v="0"/>
    <m/>
    <n v="53"/>
    <m/>
    <n v="0"/>
    <m/>
    <n v="0"/>
    <m/>
    <n v="0"/>
    <m/>
    <n v="0"/>
    <m/>
    <n v="0"/>
    <m/>
  </r>
  <r>
    <x v="175"/>
    <n v="45732"/>
    <x v="0"/>
    <x v="3"/>
    <x v="2"/>
    <x v="3"/>
    <x v="0"/>
    <n v="1"/>
    <n v="0"/>
    <n v="0"/>
    <n v="0"/>
    <x v="0"/>
    <n v="0"/>
    <n v="0"/>
    <m/>
    <n v="54.9"/>
    <m/>
    <n v="0"/>
    <m/>
    <n v="1"/>
    <m/>
    <n v="0"/>
    <m/>
    <n v="0"/>
    <m/>
    <n v="0"/>
    <m/>
  </r>
  <r>
    <x v="176"/>
    <n v="45776"/>
    <x v="0"/>
    <x v="1"/>
    <x v="1"/>
    <x v="1"/>
    <x v="0"/>
    <n v="1"/>
    <n v="0"/>
    <n v="0"/>
    <n v="0"/>
    <x v="0"/>
    <n v="0"/>
    <n v="0"/>
    <m/>
    <n v="58.2"/>
    <m/>
    <n v="0"/>
    <m/>
    <n v="1"/>
    <m/>
    <n v="0"/>
    <m/>
    <n v="0"/>
    <m/>
    <n v="0"/>
    <m/>
  </r>
  <r>
    <x v="177"/>
    <n v="45753"/>
    <x v="0"/>
    <x v="0"/>
    <x v="1"/>
    <x v="1"/>
    <x v="1"/>
    <n v="0"/>
    <n v="0"/>
    <n v="0"/>
    <n v="0"/>
    <x v="0"/>
    <n v="0"/>
    <n v="0"/>
    <m/>
    <n v="80.599999999999994"/>
    <m/>
    <n v="0"/>
    <m/>
    <n v="0"/>
    <m/>
    <n v="0"/>
    <m/>
    <n v="0"/>
    <m/>
    <n v="0"/>
    <m/>
  </r>
  <r>
    <x v="178"/>
    <n v="45764"/>
    <x v="0"/>
    <x v="0"/>
    <x v="0"/>
    <x v="3"/>
    <x v="2"/>
    <n v="1"/>
    <n v="1"/>
    <n v="1"/>
    <n v="0"/>
    <x v="0"/>
    <n v="0"/>
    <n v="0"/>
    <m/>
    <n v="38.4"/>
    <m/>
    <n v="0"/>
    <m/>
    <n v="1"/>
    <m/>
    <n v="1"/>
    <m/>
    <n v="1"/>
    <m/>
    <n v="0"/>
    <m/>
  </r>
  <r>
    <x v="179"/>
    <n v="45750"/>
    <x v="0"/>
    <x v="3"/>
    <x v="1"/>
    <x v="2"/>
    <x v="1"/>
    <n v="1"/>
    <n v="0"/>
    <n v="0"/>
    <n v="0"/>
    <x v="0"/>
    <n v="0"/>
    <n v="0"/>
    <m/>
    <n v="56.1"/>
    <m/>
    <n v="0"/>
    <m/>
    <n v="1"/>
    <m/>
    <n v="0"/>
    <m/>
    <n v="0"/>
    <m/>
    <n v="0"/>
    <m/>
  </r>
  <r>
    <x v="180"/>
    <n v="45772"/>
    <x v="0"/>
    <x v="1"/>
    <x v="1"/>
    <x v="2"/>
    <x v="1"/>
    <n v="0"/>
    <n v="0"/>
    <n v="0"/>
    <n v="0"/>
    <x v="0"/>
    <n v="0"/>
    <n v="0"/>
    <m/>
    <n v="62.6"/>
    <m/>
    <n v="0"/>
    <m/>
    <n v="0"/>
    <m/>
    <n v="0"/>
    <m/>
    <n v="0"/>
    <m/>
    <n v="0"/>
    <m/>
  </r>
  <r>
    <x v="181"/>
    <n v="45777"/>
    <x v="0"/>
    <x v="3"/>
    <x v="1"/>
    <x v="1"/>
    <x v="2"/>
    <n v="0"/>
    <n v="0"/>
    <n v="0"/>
    <n v="0"/>
    <x v="0"/>
    <n v="0"/>
    <n v="0"/>
    <m/>
    <n v="36.299999999999997"/>
    <m/>
    <n v="0"/>
    <m/>
    <n v="0"/>
    <m/>
    <n v="0"/>
    <m/>
    <n v="0"/>
    <m/>
    <n v="0"/>
    <m/>
  </r>
  <r>
    <x v="182"/>
    <n v="45728"/>
    <x v="0"/>
    <x v="3"/>
    <x v="1"/>
    <x v="2"/>
    <x v="1"/>
    <n v="1"/>
    <n v="0"/>
    <n v="0"/>
    <n v="0"/>
    <x v="0"/>
    <n v="0"/>
    <n v="0"/>
    <m/>
    <n v="52.1"/>
    <m/>
    <n v="0"/>
    <m/>
    <n v="1"/>
    <m/>
    <n v="0"/>
    <m/>
    <n v="0"/>
    <m/>
    <n v="0"/>
    <m/>
  </r>
  <r>
    <x v="183"/>
    <n v="45781"/>
    <x v="0"/>
    <x v="3"/>
    <x v="1"/>
    <x v="1"/>
    <x v="1"/>
    <n v="1"/>
    <n v="0"/>
    <n v="0"/>
    <n v="0"/>
    <x v="0"/>
    <n v="0"/>
    <n v="0"/>
    <m/>
    <n v="45.1"/>
    <m/>
    <n v="0"/>
    <m/>
    <n v="1"/>
    <m/>
    <n v="0"/>
    <m/>
    <n v="0"/>
    <m/>
    <n v="0"/>
    <m/>
  </r>
  <r>
    <x v="184"/>
    <n v="45695"/>
    <x v="0"/>
    <x v="3"/>
    <x v="2"/>
    <x v="2"/>
    <x v="2"/>
    <n v="0"/>
    <n v="0"/>
    <n v="0"/>
    <n v="0"/>
    <x v="0"/>
    <n v="0"/>
    <n v="0"/>
    <m/>
    <n v="67.5"/>
    <m/>
    <n v="0"/>
    <m/>
    <n v="0"/>
    <m/>
    <n v="0"/>
    <m/>
    <n v="0"/>
    <m/>
    <n v="0"/>
    <m/>
  </r>
  <r>
    <x v="185"/>
    <n v="45775"/>
    <x v="0"/>
    <x v="2"/>
    <x v="2"/>
    <x v="0"/>
    <x v="0"/>
    <n v="1"/>
    <n v="1"/>
    <n v="1"/>
    <n v="0"/>
    <x v="0"/>
    <n v="0"/>
    <n v="0"/>
    <m/>
    <n v="80"/>
    <m/>
    <n v="0"/>
    <m/>
    <n v="1"/>
    <m/>
    <n v="1"/>
    <m/>
    <n v="1"/>
    <m/>
    <n v="0"/>
    <m/>
  </r>
  <r>
    <x v="186"/>
    <n v="45792"/>
    <x v="0"/>
    <x v="2"/>
    <x v="0"/>
    <x v="3"/>
    <x v="1"/>
    <n v="0"/>
    <n v="0"/>
    <n v="0"/>
    <n v="0"/>
    <x v="0"/>
    <n v="0"/>
    <n v="0"/>
    <m/>
    <n v="56.4"/>
    <m/>
    <n v="0"/>
    <m/>
    <n v="0"/>
    <m/>
    <n v="0"/>
    <m/>
    <n v="0"/>
    <m/>
    <n v="0"/>
    <m/>
  </r>
  <r>
    <x v="187"/>
    <n v="45675"/>
    <x v="0"/>
    <x v="1"/>
    <x v="1"/>
    <x v="2"/>
    <x v="0"/>
    <n v="0"/>
    <n v="0"/>
    <n v="0"/>
    <n v="0"/>
    <x v="0"/>
    <n v="0"/>
    <n v="0"/>
    <m/>
    <n v="55.4"/>
    <m/>
    <n v="0"/>
    <m/>
    <n v="0"/>
    <m/>
    <n v="0"/>
    <m/>
    <n v="0"/>
    <m/>
    <n v="0"/>
    <m/>
  </r>
  <r>
    <x v="188"/>
    <n v="45703"/>
    <x v="0"/>
    <x v="3"/>
    <x v="1"/>
    <x v="4"/>
    <x v="0"/>
    <n v="1"/>
    <n v="0"/>
    <n v="0"/>
    <n v="0"/>
    <x v="0"/>
    <n v="0"/>
    <n v="0"/>
    <m/>
    <n v="67.900000000000006"/>
    <m/>
    <n v="0"/>
    <m/>
    <n v="1"/>
    <m/>
    <n v="0"/>
    <m/>
    <n v="0"/>
    <m/>
    <n v="0"/>
    <m/>
  </r>
  <r>
    <x v="189"/>
    <n v="45706"/>
    <x v="0"/>
    <x v="0"/>
    <x v="2"/>
    <x v="0"/>
    <x v="1"/>
    <n v="1"/>
    <n v="0"/>
    <n v="0"/>
    <n v="0"/>
    <x v="0"/>
    <n v="0"/>
    <n v="0"/>
    <m/>
    <n v="62.5"/>
    <m/>
    <n v="0"/>
    <m/>
    <n v="1"/>
    <m/>
    <n v="0"/>
    <m/>
    <n v="0"/>
    <m/>
    <n v="0"/>
    <m/>
  </r>
  <r>
    <x v="190"/>
    <n v="45687"/>
    <x v="0"/>
    <x v="3"/>
    <x v="0"/>
    <x v="0"/>
    <x v="0"/>
    <n v="1"/>
    <n v="1"/>
    <n v="1"/>
    <n v="0"/>
    <x v="0"/>
    <n v="0"/>
    <n v="0"/>
    <m/>
    <n v="54.3"/>
    <m/>
    <n v="0"/>
    <m/>
    <n v="1"/>
    <m/>
    <n v="1"/>
    <m/>
    <n v="1"/>
    <m/>
    <n v="0"/>
    <m/>
  </r>
  <r>
    <x v="191"/>
    <n v="45697"/>
    <x v="0"/>
    <x v="3"/>
    <x v="0"/>
    <x v="1"/>
    <x v="0"/>
    <n v="1"/>
    <n v="0"/>
    <n v="0"/>
    <n v="0"/>
    <x v="0"/>
    <n v="0"/>
    <n v="0"/>
    <m/>
    <n v="37.5"/>
    <m/>
    <n v="0"/>
    <m/>
    <n v="1"/>
    <m/>
    <n v="0"/>
    <m/>
    <n v="0"/>
    <m/>
    <n v="0"/>
    <m/>
  </r>
  <r>
    <x v="192"/>
    <n v="45732"/>
    <x v="0"/>
    <x v="1"/>
    <x v="1"/>
    <x v="2"/>
    <x v="0"/>
    <n v="1"/>
    <n v="0"/>
    <n v="0"/>
    <n v="0"/>
    <x v="0"/>
    <n v="0"/>
    <n v="0"/>
    <m/>
    <n v="52.6"/>
    <m/>
    <n v="0"/>
    <m/>
    <n v="1"/>
    <m/>
    <n v="0"/>
    <m/>
    <n v="0"/>
    <m/>
    <n v="0"/>
    <m/>
  </r>
  <r>
    <x v="193"/>
    <n v="45796"/>
    <x v="0"/>
    <x v="0"/>
    <x v="1"/>
    <x v="2"/>
    <x v="1"/>
    <n v="1"/>
    <n v="0"/>
    <n v="0"/>
    <n v="0"/>
    <x v="0"/>
    <n v="0"/>
    <n v="0"/>
    <m/>
    <n v="46.1"/>
    <m/>
    <n v="0"/>
    <m/>
    <n v="1"/>
    <m/>
    <n v="0"/>
    <m/>
    <n v="0"/>
    <m/>
    <n v="0"/>
    <m/>
  </r>
  <r>
    <x v="194"/>
    <n v="45793"/>
    <x v="0"/>
    <x v="3"/>
    <x v="0"/>
    <x v="1"/>
    <x v="0"/>
    <n v="1"/>
    <n v="0"/>
    <n v="0"/>
    <n v="0"/>
    <x v="0"/>
    <n v="0"/>
    <n v="0"/>
    <m/>
    <n v="54.7"/>
    <m/>
    <n v="0"/>
    <m/>
    <n v="1"/>
    <m/>
    <n v="0"/>
    <m/>
    <n v="0"/>
    <m/>
    <n v="0"/>
    <m/>
  </r>
  <r>
    <x v="195"/>
    <n v="45772"/>
    <x v="0"/>
    <x v="1"/>
    <x v="0"/>
    <x v="3"/>
    <x v="0"/>
    <n v="0"/>
    <n v="0"/>
    <n v="0"/>
    <n v="0"/>
    <x v="0"/>
    <n v="0"/>
    <n v="0"/>
    <m/>
    <n v="74.2"/>
    <m/>
    <n v="0"/>
    <m/>
    <n v="0"/>
    <m/>
    <n v="0"/>
    <m/>
    <n v="0"/>
    <m/>
    <n v="0"/>
    <m/>
  </r>
  <r>
    <x v="196"/>
    <n v="45715"/>
    <x v="0"/>
    <x v="0"/>
    <x v="1"/>
    <x v="4"/>
    <x v="0"/>
    <n v="1"/>
    <n v="1"/>
    <n v="1"/>
    <n v="1"/>
    <x v="9"/>
    <n v="2"/>
    <n v="0"/>
    <n v="6"/>
    <n v="64.7"/>
    <m/>
    <n v="1"/>
    <m/>
    <n v="1"/>
    <m/>
    <n v="1"/>
    <m/>
    <n v="1"/>
    <m/>
    <n v="2"/>
    <m/>
  </r>
  <r>
    <x v="197"/>
    <n v="45773"/>
    <x v="0"/>
    <x v="3"/>
    <x v="1"/>
    <x v="2"/>
    <x v="0"/>
    <n v="0"/>
    <n v="0"/>
    <n v="0"/>
    <n v="0"/>
    <x v="0"/>
    <n v="0"/>
    <n v="0"/>
    <m/>
    <n v="65.900000000000006"/>
    <m/>
    <n v="0"/>
    <m/>
    <n v="0"/>
    <m/>
    <n v="0"/>
    <m/>
    <n v="0"/>
    <m/>
    <n v="0"/>
    <m/>
  </r>
  <r>
    <x v="198"/>
    <n v="45791"/>
    <x v="0"/>
    <x v="0"/>
    <x v="1"/>
    <x v="1"/>
    <x v="0"/>
    <n v="1"/>
    <n v="0"/>
    <n v="0"/>
    <n v="0"/>
    <x v="0"/>
    <n v="0"/>
    <n v="0"/>
    <m/>
    <n v="64"/>
    <m/>
    <n v="0"/>
    <m/>
    <n v="1"/>
    <m/>
    <n v="0"/>
    <m/>
    <n v="0"/>
    <m/>
    <n v="0"/>
    <m/>
  </r>
  <r>
    <x v="199"/>
    <n v="45721"/>
    <x v="0"/>
    <x v="0"/>
    <x v="1"/>
    <x v="1"/>
    <x v="2"/>
    <n v="1"/>
    <n v="0"/>
    <n v="0"/>
    <n v="0"/>
    <x v="0"/>
    <n v="0"/>
    <n v="0"/>
    <m/>
    <n v="57.2"/>
    <m/>
    <n v="0"/>
    <m/>
    <n v="1"/>
    <m/>
    <n v="0"/>
    <m/>
    <n v="0"/>
    <m/>
    <n v="0"/>
    <m/>
  </r>
  <r>
    <x v="200"/>
    <n v="45749"/>
    <x v="0"/>
    <x v="1"/>
    <x v="0"/>
    <x v="1"/>
    <x v="1"/>
    <n v="1"/>
    <n v="0"/>
    <n v="0"/>
    <n v="0"/>
    <x v="0"/>
    <n v="0"/>
    <n v="0"/>
    <m/>
    <n v="80.5"/>
    <m/>
    <n v="0"/>
    <m/>
    <n v="1"/>
    <m/>
    <n v="0"/>
    <m/>
    <n v="0"/>
    <m/>
    <n v="0"/>
    <m/>
  </r>
  <r>
    <x v="201"/>
    <n v="45791"/>
    <x v="0"/>
    <x v="3"/>
    <x v="2"/>
    <x v="1"/>
    <x v="1"/>
    <n v="0"/>
    <n v="0"/>
    <n v="0"/>
    <n v="0"/>
    <x v="0"/>
    <n v="0"/>
    <n v="0"/>
    <m/>
    <n v="53.9"/>
    <m/>
    <n v="0"/>
    <m/>
    <n v="0"/>
    <m/>
    <n v="0"/>
    <m/>
    <n v="0"/>
    <m/>
    <n v="0"/>
    <m/>
  </r>
  <r>
    <x v="202"/>
    <n v="45798"/>
    <x v="0"/>
    <x v="0"/>
    <x v="1"/>
    <x v="2"/>
    <x v="1"/>
    <n v="1"/>
    <n v="1"/>
    <n v="0"/>
    <n v="0"/>
    <x v="0"/>
    <n v="0"/>
    <n v="0"/>
    <m/>
    <n v="77.5"/>
    <m/>
    <n v="0"/>
    <m/>
    <n v="1"/>
    <m/>
    <n v="1"/>
    <m/>
    <n v="0"/>
    <m/>
    <n v="0"/>
    <m/>
  </r>
  <r>
    <x v="203"/>
    <n v="45684"/>
    <x v="0"/>
    <x v="2"/>
    <x v="1"/>
    <x v="4"/>
    <x v="0"/>
    <n v="0"/>
    <n v="0"/>
    <n v="0"/>
    <n v="0"/>
    <x v="0"/>
    <n v="0"/>
    <n v="0"/>
    <m/>
    <n v="84.2"/>
    <m/>
    <n v="0"/>
    <m/>
    <n v="0"/>
    <m/>
    <n v="0"/>
    <m/>
    <n v="0"/>
    <m/>
    <n v="0"/>
    <m/>
  </r>
  <r>
    <x v="204"/>
    <n v="45799"/>
    <x v="0"/>
    <x v="1"/>
    <x v="0"/>
    <x v="1"/>
    <x v="1"/>
    <n v="1"/>
    <n v="1"/>
    <n v="0"/>
    <n v="0"/>
    <x v="0"/>
    <n v="0"/>
    <n v="0"/>
    <m/>
    <n v="54.9"/>
    <m/>
    <n v="0"/>
    <m/>
    <n v="1"/>
    <m/>
    <n v="1"/>
    <m/>
    <n v="0"/>
    <m/>
    <n v="0"/>
    <m/>
  </r>
  <r>
    <x v="205"/>
    <n v="45796"/>
    <x v="0"/>
    <x v="3"/>
    <x v="1"/>
    <x v="2"/>
    <x v="1"/>
    <n v="0"/>
    <n v="0"/>
    <n v="0"/>
    <n v="0"/>
    <x v="0"/>
    <n v="0"/>
    <n v="0"/>
    <m/>
    <n v="69.3"/>
    <m/>
    <n v="0"/>
    <m/>
    <n v="0"/>
    <m/>
    <n v="0"/>
    <m/>
    <n v="0"/>
    <m/>
    <n v="0"/>
    <m/>
  </r>
  <r>
    <x v="206"/>
    <n v="45671"/>
    <x v="0"/>
    <x v="3"/>
    <x v="0"/>
    <x v="2"/>
    <x v="1"/>
    <n v="1"/>
    <n v="0"/>
    <n v="0"/>
    <n v="0"/>
    <x v="0"/>
    <n v="2"/>
    <n v="0"/>
    <m/>
    <n v="42.3"/>
    <m/>
    <n v="0"/>
    <m/>
    <n v="1"/>
    <m/>
    <n v="0"/>
    <m/>
    <n v="0"/>
    <m/>
    <n v="2"/>
    <m/>
  </r>
  <r>
    <x v="207"/>
    <n v="45678"/>
    <x v="0"/>
    <x v="0"/>
    <x v="0"/>
    <x v="3"/>
    <x v="2"/>
    <n v="1"/>
    <n v="0"/>
    <n v="0"/>
    <n v="0"/>
    <x v="0"/>
    <n v="1"/>
    <n v="0"/>
    <m/>
    <n v="69.599999999999994"/>
    <m/>
    <n v="0"/>
    <m/>
    <n v="1"/>
    <m/>
    <n v="0"/>
    <m/>
    <n v="0"/>
    <m/>
    <n v="1"/>
    <m/>
  </r>
  <r>
    <x v="208"/>
    <n v="45793"/>
    <x v="0"/>
    <x v="2"/>
    <x v="1"/>
    <x v="1"/>
    <x v="1"/>
    <n v="0"/>
    <n v="0"/>
    <n v="0"/>
    <n v="0"/>
    <x v="0"/>
    <n v="0"/>
    <n v="0"/>
    <m/>
    <n v="40.700000000000003"/>
    <m/>
    <n v="0"/>
    <m/>
    <n v="0"/>
    <m/>
    <n v="0"/>
    <m/>
    <n v="0"/>
    <m/>
    <n v="0"/>
    <m/>
  </r>
  <r>
    <x v="209"/>
    <n v="45690"/>
    <x v="0"/>
    <x v="0"/>
    <x v="1"/>
    <x v="0"/>
    <x v="1"/>
    <n v="1"/>
    <n v="0"/>
    <n v="0"/>
    <n v="0"/>
    <x v="0"/>
    <n v="0"/>
    <n v="0"/>
    <m/>
    <n v="54"/>
    <m/>
    <n v="0"/>
    <m/>
    <n v="1"/>
    <m/>
    <n v="0"/>
    <m/>
    <n v="0"/>
    <m/>
    <n v="0"/>
    <m/>
  </r>
  <r>
    <x v="210"/>
    <n v="45739"/>
    <x v="0"/>
    <x v="2"/>
    <x v="3"/>
    <x v="3"/>
    <x v="1"/>
    <n v="1"/>
    <n v="1"/>
    <n v="1"/>
    <n v="1"/>
    <x v="10"/>
    <n v="0"/>
    <n v="0"/>
    <n v="5"/>
    <n v="46.3"/>
    <m/>
    <n v="1"/>
    <m/>
    <n v="1"/>
    <m/>
    <n v="1"/>
    <m/>
    <n v="1"/>
    <m/>
    <n v="0"/>
    <m/>
  </r>
  <r>
    <x v="211"/>
    <n v="45681"/>
    <x v="0"/>
    <x v="2"/>
    <x v="1"/>
    <x v="1"/>
    <x v="1"/>
    <n v="1"/>
    <n v="0"/>
    <n v="0"/>
    <n v="0"/>
    <x v="0"/>
    <n v="0"/>
    <n v="0"/>
    <m/>
    <n v="64.2"/>
    <m/>
    <n v="0"/>
    <m/>
    <n v="1"/>
    <m/>
    <n v="0"/>
    <m/>
    <n v="0"/>
    <m/>
    <n v="0"/>
    <m/>
  </r>
  <r>
    <x v="212"/>
    <n v="45759"/>
    <x v="0"/>
    <x v="0"/>
    <x v="0"/>
    <x v="1"/>
    <x v="1"/>
    <n v="1"/>
    <n v="0"/>
    <n v="0"/>
    <n v="0"/>
    <x v="0"/>
    <n v="0"/>
    <n v="0"/>
    <m/>
    <n v="75.2"/>
    <m/>
    <n v="0"/>
    <m/>
    <n v="1"/>
    <m/>
    <n v="0"/>
    <m/>
    <n v="0"/>
    <m/>
    <n v="0"/>
    <m/>
  </r>
  <r>
    <x v="213"/>
    <n v="45706"/>
    <x v="0"/>
    <x v="2"/>
    <x v="0"/>
    <x v="2"/>
    <x v="1"/>
    <n v="1"/>
    <n v="1"/>
    <n v="0"/>
    <n v="0"/>
    <x v="0"/>
    <n v="0"/>
    <n v="0"/>
    <m/>
    <n v="60.9"/>
    <m/>
    <n v="0"/>
    <m/>
    <n v="1"/>
    <m/>
    <n v="1"/>
    <m/>
    <n v="0"/>
    <m/>
    <n v="0"/>
    <m/>
  </r>
  <r>
    <x v="214"/>
    <n v="45805"/>
    <x v="0"/>
    <x v="3"/>
    <x v="1"/>
    <x v="0"/>
    <x v="0"/>
    <n v="1"/>
    <n v="1"/>
    <n v="1"/>
    <n v="0"/>
    <x v="0"/>
    <n v="0"/>
    <n v="0"/>
    <m/>
    <n v="62.1"/>
    <m/>
    <n v="0"/>
    <m/>
    <n v="1"/>
    <m/>
    <n v="1"/>
    <m/>
    <n v="1"/>
    <m/>
    <n v="0"/>
    <m/>
  </r>
  <r>
    <x v="215"/>
    <n v="45765"/>
    <x v="0"/>
    <x v="3"/>
    <x v="1"/>
    <x v="4"/>
    <x v="0"/>
    <n v="0"/>
    <n v="0"/>
    <n v="0"/>
    <n v="0"/>
    <x v="0"/>
    <n v="0"/>
    <n v="0"/>
    <m/>
    <n v="45.4"/>
    <m/>
    <n v="0"/>
    <m/>
    <n v="0"/>
    <m/>
    <n v="0"/>
    <m/>
    <n v="0"/>
    <m/>
    <n v="0"/>
    <m/>
  </r>
  <r>
    <x v="216"/>
    <n v="45743"/>
    <x v="0"/>
    <x v="0"/>
    <x v="1"/>
    <x v="2"/>
    <x v="0"/>
    <n v="1"/>
    <n v="0"/>
    <n v="0"/>
    <n v="0"/>
    <x v="0"/>
    <n v="0"/>
    <n v="0"/>
    <m/>
    <n v="53.3"/>
    <m/>
    <n v="0"/>
    <m/>
    <n v="1"/>
    <m/>
    <n v="0"/>
    <m/>
    <n v="0"/>
    <m/>
    <n v="0"/>
    <m/>
  </r>
  <r>
    <x v="217"/>
    <n v="45713"/>
    <x v="0"/>
    <x v="0"/>
    <x v="2"/>
    <x v="4"/>
    <x v="1"/>
    <n v="1"/>
    <n v="0"/>
    <n v="0"/>
    <n v="0"/>
    <x v="0"/>
    <n v="0"/>
    <n v="0"/>
    <m/>
    <m/>
    <m/>
    <n v="0"/>
    <m/>
    <n v="1"/>
    <m/>
    <n v="0"/>
    <m/>
    <n v="0"/>
    <m/>
    <n v="0"/>
    <m/>
  </r>
  <r>
    <x v="218"/>
    <n v="45707"/>
    <x v="0"/>
    <x v="2"/>
    <x v="1"/>
    <x v="2"/>
    <x v="1"/>
    <n v="0"/>
    <n v="0"/>
    <n v="0"/>
    <n v="0"/>
    <x v="0"/>
    <n v="1"/>
    <n v="0"/>
    <m/>
    <n v="38.200000000000003"/>
    <m/>
    <n v="0"/>
    <m/>
    <n v="0"/>
    <m/>
    <n v="0"/>
    <m/>
    <n v="0"/>
    <m/>
    <n v="1"/>
    <m/>
  </r>
  <r>
    <x v="219"/>
    <n v="45758"/>
    <x v="0"/>
    <x v="1"/>
    <x v="1"/>
    <x v="2"/>
    <x v="1"/>
    <n v="1"/>
    <n v="1"/>
    <n v="0"/>
    <n v="0"/>
    <x v="0"/>
    <n v="3"/>
    <n v="0"/>
    <m/>
    <n v="59"/>
    <m/>
    <n v="0"/>
    <m/>
    <n v="1"/>
    <m/>
    <n v="1"/>
    <m/>
    <n v="0"/>
    <m/>
    <n v="3"/>
    <m/>
  </r>
  <r>
    <x v="220"/>
    <n v="45679"/>
    <x v="0"/>
    <x v="2"/>
    <x v="2"/>
    <x v="3"/>
    <x v="2"/>
    <n v="1"/>
    <n v="1"/>
    <n v="1"/>
    <n v="0"/>
    <x v="0"/>
    <n v="0"/>
    <n v="0"/>
    <m/>
    <n v="80.599999999999994"/>
    <m/>
    <n v="0"/>
    <m/>
    <n v="1"/>
    <m/>
    <n v="1"/>
    <m/>
    <n v="1"/>
    <m/>
    <n v="0"/>
    <m/>
  </r>
  <r>
    <x v="221"/>
    <n v="45669"/>
    <x v="0"/>
    <x v="3"/>
    <x v="1"/>
    <x v="4"/>
    <x v="1"/>
    <n v="1"/>
    <n v="0"/>
    <n v="0"/>
    <n v="0"/>
    <x v="0"/>
    <n v="0"/>
    <n v="0"/>
    <m/>
    <n v="67"/>
    <m/>
    <n v="0"/>
    <m/>
    <n v="1"/>
    <m/>
    <n v="0"/>
    <m/>
    <n v="0"/>
    <m/>
    <n v="0"/>
    <m/>
  </r>
  <r>
    <x v="222"/>
    <n v="45705"/>
    <x v="0"/>
    <x v="1"/>
    <x v="1"/>
    <x v="0"/>
    <x v="1"/>
    <n v="1"/>
    <n v="0"/>
    <n v="0"/>
    <n v="0"/>
    <x v="0"/>
    <n v="1"/>
    <n v="0"/>
    <m/>
    <n v="72.099999999999994"/>
    <m/>
    <n v="0"/>
    <m/>
    <n v="1"/>
    <m/>
    <n v="0"/>
    <m/>
    <n v="0"/>
    <m/>
    <n v="1"/>
    <m/>
  </r>
  <r>
    <x v="223"/>
    <n v="45758"/>
    <x v="0"/>
    <x v="1"/>
    <x v="0"/>
    <x v="1"/>
    <x v="1"/>
    <n v="0"/>
    <n v="0"/>
    <n v="0"/>
    <n v="0"/>
    <x v="0"/>
    <n v="0"/>
    <n v="0"/>
    <m/>
    <n v="74.099999999999994"/>
    <m/>
    <n v="0"/>
    <m/>
    <n v="0"/>
    <m/>
    <n v="0"/>
    <m/>
    <n v="0"/>
    <m/>
    <n v="0"/>
    <m/>
  </r>
  <r>
    <x v="224"/>
    <n v="45802"/>
    <x v="0"/>
    <x v="3"/>
    <x v="1"/>
    <x v="3"/>
    <x v="2"/>
    <n v="0"/>
    <n v="0"/>
    <n v="0"/>
    <n v="0"/>
    <x v="0"/>
    <n v="0"/>
    <n v="0"/>
    <m/>
    <n v="84.8"/>
    <m/>
    <n v="0"/>
    <m/>
    <n v="0"/>
    <m/>
    <n v="0"/>
    <m/>
    <n v="0"/>
    <m/>
    <n v="0"/>
    <m/>
  </r>
  <r>
    <x v="225"/>
    <n v="45728"/>
    <x v="0"/>
    <x v="3"/>
    <x v="1"/>
    <x v="1"/>
    <x v="0"/>
    <n v="1"/>
    <n v="0"/>
    <n v="0"/>
    <n v="0"/>
    <x v="0"/>
    <n v="0"/>
    <n v="0"/>
    <m/>
    <n v="33"/>
    <m/>
    <n v="0"/>
    <m/>
    <n v="1"/>
    <m/>
    <n v="0"/>
    <m/>
    <n v="0"/>
    <m/>
    <n v="0"/>
    <m/>
  </r>
  <r>
    <x v="226"/>
    <n v="45767"/>
    <x v="0"/>
    <x v="0"/>
    <x v="2"/>
    <x v="0"/>
    <x v="1"/>
    <n v="0"/>
    <n v="0"/>
    <n v="0"/>
    <n v="0"/>
    <x v="0"/>
    <n v="0"/>
    <n v="0"/>
    <m/>
    <n v="52.5"/>
    <m/>
    <n v="0"/>
    <m/>
    <n v="0"/>
    <m/>
    <n v="0"/>
    <m/>
    <n v="0"/>
    <m/>
    <n v="0"/>
    <m/>
  </r>
  <r>
    <x v="227"/>
    <n v="45711"/>
    <x v="0"/>
    <x v="0"/>
    <x v="2"/>
    <x v="1"/>
    <x v="1"/>
    <n v="0"/>
    <n v="0"/>
    <n v="0"/>
    <n v="0"/>
    <x v="0"/>
    <n v="0"/>
    <n v="0"/>
    <m/>
    <n v="66.900000000000006"/>
    <m/>
    <n v="0"/>
    <m/>
    <n v="0"/>
    <m/>
    <n v="0"/>
    <m/>
    <n v="0"/>
    <m/>
    <n v="0"/>
    <m/>
  </r>
  <r>
    <x v="228"/>
    <n v="45681"/>
    <x v="0"/>
    <x v="0"/>
    <x v="1"/>
    <x v="1"/>
    <x v="0"/>
    <n v="1"/>
    <n v="1"/>
    <n v="1"/>
    <n v="0"/>
    <x v="0"/>
    <n v="1"/>
    <n v="0"/>
    <m/>
    <n v="32.700000000000003"/>
    <m/>
    <n v="0"/>
    <m/>
    <n v="1"/>
    <m/>
    <n v="1"/>
    <m/>
    <n v="1"/>
    <m/>
    <n v="1"/>
    <m/>
  </r>
  <r>
    <x v="229"/>
    <n v="45673"/>
    <x v="0"/>
    <x v="1"/>
    <x v="1"/>
    <x v="1"/>
    <x v="2"/>
    <n v="1"/>
    <n v="1"/>
    <n v="1"/>
    <n v="0"/>
    <x v="0"/>
    <n v="1"/>
    <n v="0"/>
    <m/>
    <n v="70.599999999999994"/>
    <m/>
    <n v="0"/>
    <m/>
    <n v="1"/>
    <m/>
    <n v="1"/>
    <m/>
    <n v="1"/>
    <m/>
    <n v="1"/>
    <m/>
  </r>
  <r>
    <x v="230"/>
    <n v="45705"/>
    <x v="0"/>
    <x v="0"/>
    <x v="1"/>
    <x v="4"/>
    <x v="1"/>
    <n v="0"/>
    <n v="0"/>
    <n v="0"/>
    <n v="0"/>
    <x v="0"/>
    <n v="0"/>
    <n v="0"/>
    <m/>
    <n v="69.400000000000006"/>
    <m/>
    <n v="0"/>
    <m/>
    <n v="0"/>
    <m/>
    <n v="0"/>
    <m/>
    <n v="0"/>
    <m/>
    <n v="0"/>
    <m/>
  </r>
  <r>
    <x v="231"/>
    <n v="45781"/>
    <x v="0"/>
    <x v="0"/>
    <x v="0"/>
    <x v="1"/>
    <x v="0"/>
    <n v="1"/>
    <n v="0"/>
    <n v="0"/>
    <n v="0"/>
    <x v="0"/>
    <n v="0"/>
    <n v="0"/>
    <m/>
    <n v="56.1"/>
    <m/>
    <n v="0"/>
    <m/>
    <n v="1"/>
    <m/>
    <n v="0"/>
    <m/>
    <n v="0"/>
    <m/>
    <n v="0"/>
    <m/>
  </r>
  <r>
    <x v="232"/>
    <n v="45669"/>
    <x v="0"/>
    <x v="1"/>
    <x v="1"/>
    <x v="1"/>
    <x v="0"/>
    <n v="0"/>
    <n v="0"/>
    <n v="0"/>
    <n v="0"/>
    <x v="0"/>
    <n v="0"/>
    <n v="0"/>
    <m/>
    <n v="55.8"/>
    <m/>
    <n v="0"/>
    <m/>
    <n v="0"/>
    <m/>
    <n v="0"/>
    <m/>
    <n v="0"/>
    <m/>
    <n v="0"/>
    <m/>
  </r>
  <r>
    <x v="233"/>
    <n v="45775"/>
    <x v="0"/>
    <x v="0"/>
    <x v="2"/>
    <x v="1"/>
    <x v="1"/>
    <n v="0"/>
    <n v="0"/>
    <n v="0"/>
    <n v="0"/>
    <x v="0"/>
    <n v="0"/>
    <n v="0"/>
    <m/>
    <n v="49.3"/>
    <m/>
    <n v="0"/>
    <m/>
    <n v="0"/>
    <m/>
    <n v="0"/>
    <m/>
    <n v="0"/>
    <m/>
    <n v="0"/>
    <m/>
  </r>
  <r>
    <x v="234"/>
    <n v="45714"/>
    <x v="0"/>
    <x v="0"/>
    <x v="1"/>
    <x v="1"/>
    <x v="1"/>
    <n v="0"/>
    <n v="0"/>
    <n v="0"/>
    <n v="0"/>
    <x v="0"/>
    <n v="0"/>
    <n v="0"/>
    <m/>
    <n v="71.8"/>
    <m/>
    <n v="0"/>
    <m/>
    <n v="0"/>
    <m/>
    <n v="0"/>
    <m/>
    <n v="0"/>
    <m/>
    <n v="0"/>
    <m/>
  </r>
  <r>
    <x v="235"/>
    <n v="45734"/>
    <x v="0"/>
    <x v="1"/>
    <x v="1"/>
    <x v="4"/>
    <x v="1"/>
    <n v="1"/>
    <n v="0"/>
    <n v="0"/>
    <n v="0"/>
    <x v="0"/>
    <n v="3"/>
    <n v="0"/>
    <m/>
    <n v="39.700000000000003"/>
    <m/>
    <n v="0"/>
    <m/>
    <n v="1"/>
    <m/>
    <n v="0"/>
    <m/>
    <n v="0"/>
    <m/>
    <n v="3"/>
    <m/>
  </r>
  <r>
    <x v="236"/>
    <n v="45717"/>
    <x v="0"/>
    <x v="3"/>
    <x v="0"/>
    <x v="1"/>
    <x v="2"/>
    <n v="1"/>
    <n v="0"/>
    <n v="0"/>
    <n v="0"/>
    <x v="0"/>
    <n v="0"/>
    <n v="0"/>
    <m/>
    <n v="45.4"/>
    <m/>
    <n v="0"/>
    <m/>
    <n v="1"/>
    <m/>
    <n v="0"/>
    <m/>
    <n v="0"/>
    <m/>
    <n v="0"/>
    <m/>
  </r>
  <r>
    <x v="237"/>
    <n v="45752"/>
    <x v="0"/>
    <x v="0"/>
    <x v="0"/>
    <x v="4"/>
    <x v="2"/>
    <n v="1"/>
    <n v="0"/>
    <n v="0"/>
    <n v="0"/>
    <x v="0"/>
    <n v="0"/>
    <n v="0"/>
    <m/>
    <n v="69.900000000000006"/>
    <m/>
    <n v="0"/>
    <m/>
    <n v="1"/>
    <m/>
    <n v="0"/>
    <m/>
    <n v="0"/>
    <m/>
    <n v="0"/>
    <m/>
  </r>
  <r>
    <x v="238"/>
    <n v="45728"/>
    <x v="0"/>
    <x v="0"/>
    <x v="0"/>
    <x v="4"/>
    <x v="1"/>
    <n v="1"/>
    <n v="1"/>
    <n v="1"/>
    <n v="0"/>
    <x v="0"/>
    <n v="0"/>
    <n v="0"/>
    <m/>
    <n v="56.1"/>
    <m/>
    <n v="0"/>
    <m/>
    <n v="1"/>
    <m/>
    <n v="1"/>
    <m/>
    <n v="1"/>
    <m/>
    <n v="0"/>
    <m/>
  </r>
  <r>
    <x v="239"/>
    <n v="45731"/>
    <x v="0"/>
    <x v="1"/>
    <x v="1"/>
    <x v="3"/>
    <x v="0"/>
    <n v="1"/>
    <n v="1"/>
    <n v="0"/>
    <n v="0"/>
    <x v="0"/>
    <n v="0"/>
    <n v="0"/>
    <m/>
    <n v="45.9"/>
    <m/>
    <n v="0"/>
    <m/>
    <n v="1"/>
    <m/>
    <n v="1"/>
    <m/>
    <n v="0"/>
    <m/>
    <n v="0"/>
    <m/>
  </r>
  <r>
    <x v="240"/>
    <n v="45711"/>
    <x v="0"/>
    <x v="1"/>
    <x v="1"/>
    <x v="0"/>
    <x v="1"/>
    <n v="0"/>
    <n v="0"/>
    <n v="0"/>
    <n v="0"/>
    <x v="0"/>
    <n v="0"/>
    <n v="0"/>
    <m/>
    <n v="65.8"/>
    <m/>
    <n v="0"/>
    <m/>
    <n v="0"/>
    <m/>
    <n v="0"/>
    <m/>
    <n v="0"/>
    <m/>
    <n v="0"/>
    <m/>
  </r>
  <r>
    <x v="241"/>
    <n v="45769"/>
    <x v="0"/>
    <x v="0"/>
    <x v="1"/>
    <x v="1"/>
    <x v="0"/>
    <n v="1"/>
    <n v="0"/>
    <n v="0"/>
    <n v="0"/>
    <x v="0"/>
    <n v="0"/>
    <n v="0"/>
    <m/>
    <n v="48.2"/>
    <m/>
    <n v="0"/>
    <m/>
    <n v="1"/>
    <m/>
    <n v="0"/>
    <m/>
    <n v="0"/>
    <m/>
    <n v="0"/>
    <m/>
  </r>
  <r>
    <x v="242"/>
    <n v="45666"/>
    <x v="0"/>
    <x v="2"/>
    <x v="1"/>
    <x v="1"/>
    <x v="0"/>
    <n v="1"/>
    <n v="1"/>
    <n v="1"/>
    <n v="0"/>
    <x v="0"/>
    <n v="0"/>
    <n v="0"/>
    <m/>
    <n v="81.099999999999994"/>
    <m/>
    <n v="0"/>
    <m/>
    <n v="1"/>
    <m/>
    <n v="1"/>
    <m/>
    <n v="1"/>
    <m/>
    <n v="0"/>
    <m/>
  </r>
  <r>
    <x v="243"/>
    <n v="45721"/>
    <x v="0"/>
    <x v="2"/>
    <x v="2"/>
    <x v="4"/>
    <x v="2"/>
    <n v="1"/>
    <n v="1"/>
    <n v="0"/>
    <n v="0"/>
    <x v="0"/>
    <n v="0"/>
    <n v="0"/>
    <m/>
    <n v="53.2"/>
    <m/>
    <n v="0"/>
    <m/>
    <n v="1"/>
    <m/>
    <n v="1"/>
    <m/>
    <n v="0"/>
    <m/>
    <n v="0"/>
    <m/>
  </r>
  <r>
    <x v="244"/>
    <n v="45685"/>
    <x v="0"/>
    <x v="0"/>
    <x v="1"/>
    <x v="4"/>
    <x v="1"/>
    <n v="1"/>
    <n v="1"/>
    <n v="1"/>
    <n v="0"/>
    <x v="0"/>
    <n v="0"/>
    <n v="0"/>
    <m/>
    <n v="57.7"/>
    <m/>
    <n v="0"/>
    <m/>
    <n v="1"/>
    <m/>
    <n v="1"/>
    <m/>
    <n v="1"/>
    <m/>
    <n v="0"/>
    <m/>
  </r>
  <r>
    <x v="245"/>
    <n v="45678"/>
    <x v="0"/>
    <x v="1"/>
    <x v="1"/>
    <x v="2"/>
    <x v="2"/>
    <n v="1"/>
    <n v="1"/>
    <n v="0"/>
    <n v="0"/>
    <x v="0"/>
    <n v="0"/>
    <n v="0"/>
    <m/>
    <n v="78.900000000000006"/>
    <m/>
    <n v="0"/>
    <m/>
    <n v="1"/>
    <m/>
    <n v="1"/>
    <m/>
    <n v="0"/>
    <m/>
    <n v="0"/>
    <m/>
  </r>
  <r>
    <x v="246"/>
    <n v="45730"/>
    <x v="0"/>
    <x v="3"/>
    <x v="1"/>
    <x v="3"/>
    <x v="0"/>
    <n v="0"/>
    <n v="0"/>
    <n v="0"/>
    <n v="0"/>
    <x v="0"/>
    <n v="0"/>
    <n v="0"/>
    <m/>
    <n v="55.7"/>
    <m/>
    <n v="0"/>
    <m/>
    <n v="0"/>
    <m/>
    <n v="0"/>
    <m/>
    <n v="0"/>
    <m/>
    <n v="0"/>
    <m/>
  </r>
  <r>
    <x v="247"/>
    <n v="45691"/>
    <x v="0"/>
    <x v="1"/>
    <x v="1"/>
    <x v="2"/>
    <x v="1"/>
    <n v="0"/>
    <n v="0"/>
    <n v="0"/>
    <n v="0"/>
    <x v="0"/>
    <n v="0"/>
    <n v="0"/>
    <m/>
    <n v="52.3"/>
    <m/>
    <n v="0"/>
    <m/>
    <n v="0"/>
    <m/>
    <n v="0"/>
    <m/>
    <n v="0"/>
    <m/>
    <n v="0"/>
    <m/>
  </r>
  <r>
    <x v="248"/>
    <n v="45799"/>
    <x v="0"/>
    <x v="0"/>
    <x v="1"/>
    <x v="4"/>
    <x v="1"/>
    <n v="1"/>
    <n v="0"/>
    <n v="0"/>
    <n v="0"/>
    <x v="0"/>
    <n v="0"/>
    <n v="0"/>
    <m/>
    <n v="51.5"/>
    <m/>
    <n v="0"/>
    <m/>
    <n v="1"/>
    <m/>
    <n v="0"/>
    <m/>
    <n v="0"/>
    <m/>
    <n v="0"/>
    <m/>
  </r>
  <r>
    <x v="249"/>
    <n v="45772"/>
    <x v="0"/>
    <x v="0"/>
    <x v="0"/>
    <x v="0"/>
    <x v="1"/>
    <n v="1"/>
    <n v="0"/>
    <n v="0"/>
    <n v="0"/>
    <x v="0"/>
    <n v="0"/>
    <n v="0"/>
    <m/>
    <n v="70.8"/>
    <m/>
    <n v="0"/>
    <m/>
    <n v="1"/>
    <m/>
    <n v="0"/>
    <m/>
    <n v="0"/>
    <m/>
    <n v="0"/>
    <m/>
  </r>
  <r>
    <x v="250"/>
    <n v="45687"/>
    <x v="0"/>
    <x v="0"/>
    <x v="0"/>
    <x v="0"/>
    <x v="0"/>
    <n v="1"/>
    <n v="1"/>
    <n v="1"/>
    <n v="1"/>
    <x v="11"/>
    <n v="0"/>
    <n v="0"/>
    <n v="10"/>
    <n v="39"/>
    <m/>
    <n v="1"/>
    <m/>
    <n v="1"/>
    <m/>
    <n v="1"/>
    <m/>
    <n v="1"/>
    <m/>
    <n v="0"/>
    <m/>
  </r>
  <r>
    <x v="251"/>
    <n v="45800"/>
    <x v="0"/>
    <x v="1"/>
    <x v="1"/>
    <x v="1"/>
    <x v="1"/>
    <n v="1"/>
    <n v="0"/>
    <n v="0"/>
    <n v="0"/>
    <x v="0"/>
    <n v="0"/>
    <n v="0"/>
    <m/>
    <n v="61.6"/>
    <m/>
    <n v="0"/>
    <m/>
    <n v="1"/>
    <m/>
    <n v="0"/>
    <m/>
    <n v="0"/>
    <m/>
    <n v="0"/>
    <m/>
  </r>
  <r>
    <x v="252"/>
    <n v="45702"/>
    <x v="0"/>
    <x v="2"/>
    <x v="0"/>
    <x v="1"/>
    <x v="1"/>
    <n v="1"/>
    <n v="1"/>
    <n v="1"/>
    <n v="0"/>
    <x v="0"/>
    <n v="0"/>
    <n v="0"/>
    <m/>
    <n v="46.8"/>
    <m/>
    <n v="0"/>
    <m/>
    <n v="1"/>
    <m/>
    <n v="1"/>
    <m/>
    <n v="1"/>
    <m/>
    <n v="0"/>
    <m/>
  </r>
  <r>
    <x v="253"/>
    <n v="45721"/>
    <x v="0"/>
    <x v="0"/>
    <x v="1"/>
    <x v="2"/>
    <x v="2"/>
    <n v="0"/>
    <n v="0"/>
    <n v="0"/>
    <n v="0"/>
    <x v="0"/>
    <n v="1"/>
    <n v="0"/>
    <m/>
    <n v="58.5"/>
    <m/>
    <n v="0"/>
    <m/>
    <n v="0"/>
    <m/>
    <n v="0"/>
    <m/>
    <n v="0"/>
    <m/>
    <n v="1"/>
    <m/>
  </r>
  <r>
    <x v="254"/>
    <n v="45804"/>
    <x v="0"/>
    <x v="0"/>
    <x v="1"/>
    <x v="2"/>
    <x v="0"/>
    <n v="0"/>
    <n v="0"/>
    <n v="0"/>
    <n v="0"/>
    <x v="0"/>
    <n v="0"/>
    <n v="0"/>
    <m/>
    <n v="70.900000000000006"/>
    <m/>
    <n v="0"/>
    <m/>
    <n v="0"/>
    <m/>
    <n v="0"/>
    <m/>
    <n v="0"/>
    <m/>
    <n v="0"/>
    <m/>
  </r>
  <r>
    <x v="255"/>
    <n v="45664"/>
    <x v="0"/>
    <x v="3"/>
    <x v="1"/>
    <x v="2"/>
    <x v="1"/>
    <n v="1"/>
    <n v="0"/>
    <n v="0"/>
    <n v="0"/>
    <x v="0"/>
    <n v="0"/>
    <n v="0"/>
    <m/>
    <n v="48.4"/>
    <m/>
    <n v="0"/>
    <m/>
    <n v="1"/>
    <m/>
    <n v="0"/>
    <m/>
    <n v="0"/>
    <m/>
    <n v="0"/>
    <m/>
  </r>
  <r>
    <x v="256"/>
    <n v="45768"/>
    <x v="0"/>
    <x v="0"/>
    <x v="1"/>
    <x v="0"/>
    <x v="1"/>
    <n v="1"/>
    <n v="0"/>
    <n v="0"/>
    <n v="0"/>
    <x v="0"/>
    <n v="0"/>
    <n v="0"/>
    <m/>
    <n v="58"/>
    <m/>
    <n v="0"/>
    <m/>
    <n v="1"/>
    <m/>
    <n v="0"/>
    <m/>
    <n v="0"/>
    <m/>
    <n v="0"/>
    <m/>
  </r>
  <r>
    <x v="257"/>
    <n v="45790"/>
    <x v="0"/>
    <x v="0"/>
    <x v="1"/>
    <x v="2"/>
    <x v="1"/>
    <n v="0"/>
    <n v="0"/>
    <n v="0"/>
    <n v="0"/>
    <x v="0"/>
    <n v="0"/>
    <n v="0"/>
    <m/>
    <n v="61.6"/>
    <m/>
    <n v="0"/>
    <m/>
    <n v="0"/>
    <m/>
    <n v="0"/>
    <m/>
    <n v="0"/>
    <m/>
    <n v="0"/>
    <m/>
  </r>
  <r>
    <x v="258"/>
    <n v="45685"/>
    <x v="0"/>
    <x v="2"/>
    <x v="0"/>
    <x v="1"/>
    <x v="1"/>
    <n v="1"/>
    <n v="0"/>
    <n v="0"/>
    <n v="0"/>
    <x v="0"/>
    <n v="0"/>
    <n v="0"/>
    <m/>
    <n v="43.2"/>
    <m/>
    <n v="0"/>
    <m/>
    <n v="1"/>
    <m/>
    <n v="0"/>
    <m/>
    <n v="0"/>
    <m/>
    <n v="0"/>
    <m/>
  </r>
  <r>
    <x v="259"/>
    <n v="45732"/>
    <x v="0"/>
    <x v="2"/>
    <x v="0"/>
    <x v="2"/>
    <x v="0"/>
    <n v="1"/>
    <n v="0"/>
    <n v="0"/>
    <n v="0"/>
    <x v="0"/>
    <n v="1"/>
    <n v="0"/>
    <m/>
    <n v="53.3"/>
    <m/>
    <n v="0"/>
    <m/>
    <n v="1"/>
    <m/>
    <n v="0"/>
    <m/>
    <n v="0"/>
    <m/>
    <n v="1"/>
    <m/>
  </r>
  <r>
    <x v="260"/>
    <n v="45757"/>
    <x v="0"/>
    <x v="2"/>
    <x v="0"/>
    <x v="4"/>
    <x v="0"/>
    <n v="0"/>
    <n v="0"/>
    <n v="0"/>
    <n v="0"/>
    <x v="0"/>
    <n v="0"/>
    <n v="0"/>
    <m/>
    <n v="33.9"/>
    <m/>
    <n v="0"/>
    <m/>
    <n v="0"/>
    <m/>
    <n v="0"/>
    <m/>
    <n v="0"/>
    <m/>
    <n v="0"/>
    <m/>
  </r>
  <r>
    <x v="261"/>
    <n v="45731"/>
    <x v="0"/>
    <x v="2"/>
    <x v="0"/>
    <x v="3"/>
    <x v="1"/>
    <n v="1"/>
    <n v="1"/>
    <n v="1"/>
    <n v="0"/>
    <x v="0"/>
    <n v="0"/>
    <n v="0"/>
    <m/>
    <n v="35.4"/>
    <m/>
    <n v="0"/>
    <m/>
    <n v="1"/>
    <m/>
    <n v="1"/>
    <m/>
    <n v="1"/>
    <m/>
    <n v="0"/>
    <m/>
  </r>
  <r>
    <x v="262"/>
    <n v="45754"/>
    <x v="0"/>
    <x v="1"/>
    <x v="0"/>
    <x v="1"/>
    <x v="0"/>
    <n v="1"/>
    <n v="0"/>
    <n v="0"/>
    <n v="0"/>
    <x v="0"/>
    <n v="0"/>
    <n v="0"/>
    <m/>
    <n v="45"/>
    <m/>
    <n v="0"/>
    <m/>
    <n v="1"/>
    <m/>
    <n v="0"/>
    <m/>
    <n v="0"/>
    <m/>
    <n v="0"/>
    <m/>
  </r>
  <r>
    <x v="263"/>
    <n v="45700"/>
    <x v="0"/>
    <x v="3"/>
    <x v="1"/>
    <x v="1"/>
    <x v="1"/>
    <n v="1"/>
    <n v="1"/>
    <n v="0"/>
    <n v="0"/>
    <x v="0"/>
    <n v="0"/>
    <n v="0"/>
    <m/>
    <n v="86.5"/>
    <m/>
    <n v="0"/>
    <m/>
    <n v="1"/>
    <m/>
    <n v="1"/>
    <m/>
    <n v="0"/>
    <m/>
    <n v="0"/>
    <m/>
  </r>
  <r>
    <x v="264"/>
    <n v="45782"/>
    <x v="0"/>
    <x v="1"/>
    <x v="1"/>
    <x v="4"/>
    <x v="1"/>
    <n v="0"/>
    <n v="0"/>
    <n v="0"/>
    <n v="0"/>
    <x v="0"/>
    <n v="0"/>
    <n v="0"/>
    <m/>
    <n v="58.1"/>
    <m/>
    <n v="0"/>
    <m/>
    <n v="0"/>
    <m/>
    <n v="0"/>
    <m/>
    <n v="0"/>
    <m/>
    <n v="0"/>
    <m/>
  </r>
  <r>
    <x v="265"/>
    <n v="45727"/>
    <x v="0"/>
    <x v="1"/>
    <x v="1"/>
    <x v="3"/>
    <x v="1"/>
    <n v="1"/>
    <n v="0"/>
    <n v="0"/>
    <n v="0"/>
    <x v="0"/>
    <n v="0"/>
    <n v="0"/>
    <m/>
    <n v="36.1"/>
    <m/>
    <n v="0"/>
    <m/>
    <n v="1"/>
    <m/>
    <n v="0"/>
    <m/>
    <n v="0"/>
    <m/>
    <n v="0"/>
    <m/>
  </r>
  <r>
    <x v="266"/>
    <n v="45698"/>
    <x v="0"/>
    <x v="2"/>
    <x v="1"/>
    <x v="4"/>
    <x v="1"/>
    <n v="0"/>
    <n v="0"/>
    <n v="0"/>
    <n v="0"/>
    <x v="0"/>
    <n v="0"/>
    <n v="0"/>
    <m/>
    <n v="62.8"/>
    <m/>
    <n v="0"/>
    <m/>
    <n v="0"/>
    <m/>
    <n v="0"/>
    <m/>
    <n v="0"/>
    <m/>
    <n v="0"/>
    <m/>
  </r>
  <r>
    <x v="267"/>
    <n v="45753"/>
    <x v="0"/>
    <x v="3"/>
    <x v="1"/>
    <x v="1"/>
    <x v="1"/>
    <n v="0"/>
    <n v="0"/>
    <n v="0"/>
    <n v="0"/>
    <x v="0"/>
    <n v="0"/>
    <n v="0"/>
    <m/>
    <n v="54.2"/>
    <m/>
    <n v="0"/>
    <m/>
    <n v="0"/>
    <m/>
    <n v="0"/>
    <m/>
    <n v="0"/>
    <m/>
    <n v="0"/>
    <m/>
  </r>
  <r>
    <x v="268"/>
    <n v="45663"/>
    <x v="0"/>
    <x v="2"/>
    <x v="1"/>
    <x v="3"/>
    <x v="1"/>
    <n v="0"/>
    <n v="0"/>
    <n v="0"/>
    <n v="0"/>
    <x v="0"/>
    <n v="0"/>
    <n v="0"/>
    <m/>
    <n v="50"/>
    <m/>
    <n v="0"/>
    <m/>
    <n v="0"/>
    <m/>
    <n v="0"/>
    <m/>
    <n v="0"/>
    <m/>
    <n v="0"/>
    <m/>
  </r>
  <r>
    <x v="269"/>
    <n v="45741"/>
    <x v="0"/>
    <x v="2"/>
    <x v="2"/>
    <x v="2"/>
    <x v="0"/>
    <n v="1"/>
    <n v="0"/>
    <n v="0"/>
    <n v="0"/>
    <x v="0"/>
    <n v="0"/>
    <n v="0"/>
    <m/>
    <n v="62"/>
    <m/>
    <n v="0"/>
    <m/>
    <n v="1"/>
    <m/>
    <n v="0"/>
    <m/>
    <n v="0"/>
    <m/>
    <n v="0"/>
    <m/>
  </r>
  <r>
    <x v="270"/>
    <n v="45701"/>
    <x v="0"/>
    <x v="2"/>
    <x v="0"/>
    <x v="3"/>
    <x v="1"/>
    <n v="1"/>
    <n v="0"/>
    <n v="0"/>
    <n v="0"/>
    <x v="0"/>
    <n v="0"/>
    <n v="0"/>
    <m/>
    <n v="29.3"/>
    <m/>
    <n v="0"/>
    <m/>
    <n v="1"/>
    <m/>
    <n v="0"/>
    <m/>
    <n v="0"/>
    <m/>
    <n v="0"/>
    <m/>
  </r>
  <r>
    <x v="271"/>
    <n v="45733"/>
    <x v="0"/>
    <x v="1"/>
    <x v="0"/>
    <x v="1"/>
    <x v="1"/>
    <n v="1"/>
    <n v="0"/>
    <n v="0"/>
    <n v="0"/>
    <x v="0"/>
    <n v="0"/>
    <n v="0"/>
    <m/>
    <n v="67.900000000000006"/>
    <m/>
    <n v="0"/>
    <m/>
    <n v="1"/>
    <m/>
    <n v="0"/>
    <m/>
    <n v="0"/>
    <m/>
    <n v="0"/>
    <m/>
  </r>
  <r>
    <x v="272"/>
    <n v="45787"/>
    <x v="0"/>
    <x v="0"/>
    <x v="1"/>
    <x v="3"/>
    <x v="1"/>
    <n v="1"/>
    <n v="1"/>
    <n v="1"/>
    <n v="0"/>
    <x v="0"/>
    <n v="0"/>
    <n v="0"/>
    <m/>
    <n v="67.599999999999994"/>
    <m/>
    <n v="0"/>
    <m/>
    <n v="1"/>
    <m/>
    <n v="1"/>
    <m/>
    <n v="1"/>
    <m/>
    <n v="0"/>
    <m/>
  </r>
  <r>
    <x v="273"/>
    <n v="45784"/>
    <x v="0"/>
    <x v="3"/>
    <x v="1"/>
    <x v="2"/>
    <x v="0"/>
    <n v="0"/>
    <n v="0"/>
    <n v="0"/>
    <n v="0"/>
    <x v="0"/>
    <n v="0"/>
    <n v="0"/>
    <m/>
    <n v="67.400000000000006"/>
    <m/>
    <n v="0"/>
    <m/>
    <n v="0"/>
    <m/>
    <n v="0"/>
    <m/>
    <n v="0"/>
    <m/>
    <n v="0"/>
    <m/>
  </r>
  <r>
    <x v="274"/>
    <n v="45714"/>
    <x v="0"/>
    <x v="1"/>
    <x v="0"/>
    <x v="2"/>
    <x v="2"/>
    <n v="0"/>
    <n v="0"/>
    <n v="0"/>
    <n v="0"/>
    <x v="0"/>
    <n v="2"/>
    <n v="0"/>
    <m/>
    <n v="53"/>
    <m/>
    <n v="0"/>
    <m/>
    <n v="0"/>
    <m/>
    <n v="0"/>
    <m/>
    <n v="0"/>
    <m/>
    <n v="2"/>
    <m/>
  </r>
  <r>
    <x v="275"/>
    <n v="45788"/>
    <x v="0"/>
    <x v="0"/>
    <x v="1"/>
    <x v="1"/>
    <x v="0"/>
    <n v="0"/>
    <n v="0"/>
    <n v="0"/>
    <n v="0"/>
    <x v="0"/>
    <n v="0"/>
    <n v="0"/>
    <m/>
    <n v="65.5"/>
    <m/>
    <n v="0"/>
    <m/>
    <n v="0"/>
    <m/>
    <n v="0"/>
    <m/>
    <n v="0"/>
    <m/>
    <n v="0"/>
    <m/>
  </r>
  <r>
    <x v="276"/>
    <n v="45736"/>
    <x v="0"/>
    <x v="3"/>
    <x v="1"/>
    <x v="1"/>
    <x v="0"/>
    <n v="1"/>
    <n v="1"/>
    <n v="0"/>
    <n v="0"/>
    <x v="0"/>
    <n v="0"/>
    <n v="0"/>
    <m/>
    <n v="49.6"/>
    <m/>
    <n v="0"/>
    <m/>
    <n v="1"/>
    <m/>
    <n v="1"/>
    <m/>
    <n v="0"/>
    <m/>
    <n v="0"/>
    <m/>
  </r>
  <r>
    <x v="277"/>
    <n v="45676"/>
    <x v="0"/>
    <x v="0"/>
    <x v="1"/>
    <x v="0"/>
    <x v="1"/>
    <n v="1"/>
    <n v="1"/>
    <n v="0"/>
    <n v="0"/>
    <x v="0"/>
    <n v="0"/>
    <n v="0"/>
    <m/>
    <n v="74.5"/>
    <m/>
    <n v="0"/>
    <m/>
    <n v="1"/>
    <m/>
    <n v="1"/>
    <m/>
    <n v="0"/>
    <m/>
    <n v="0"/>
    <m/>
  </r>
  <r>
    <x v="278"/>
    <n v="45724"/>
    <x v="0"/>
    <x v="0"/>
    <x v="2"/>
    <x v="2"/>
    <x v="2"/>
    <n v="1"/>
    <n v="0"/>
    <n v="0"/>
    <n v="0"/>
    <x v="0"/>
    <n v="1"/>
    <n v="0"/>
    <m/>
    <n v="46.9"/>
    <m/>
    <n v="0"/>
    <m/>
    <n v="1"/>
    <m/>
    <n v="0"/>
    <m/>
    <n v="0"/>
    <m/>
    <n v="1"/>
    <m/>
  </r>
  <r>
    <x v="279"/>
    <n v="45772"/>
    <x v="0"/>
    <x v="0"/>
    <x v="1"/>
    <x v="1"/>
    <x v="1"/>
    <n v="0"/>
    <n v="0"/>
    <n v="0"/>
    <n v="0"/>
    <x v="0"/>
    <n v="0"/>
    <n v="0"/>
    <m/>
    <n v="87.1"/>
    <m/>
    <n v="0"/>
    <m/>
    <n v="0"/>
    <m/>
    <n v="0"/>
    <m/>
    <n v="0"/>
    <m/>
    <n v="0"/>
    <m/>
  </r>
  <r>
    <x v="280"/>
    <n v="45751"/>
    <x v="0"/>
    <x v="0"/>
    <x v="0"/>
    <x v="1"/>
    <x v="1"/>
    <n v="1"/>
    <n v="0"/>
    <n v="0"/>
    <n v="0"/>
    <x v="0"/>
    <n v="0"/>
    <n v="0"/>
    <m/>
    <n v="56"/>
    <m/>
    <n v="0"/>
    <m/>
    <n v="1"/>
    <m/>
    <n v="0"/>
    <m/>
    <n v="0"/>
    <m/>
    <n v="0"/>
    <m/>
  </r>
  <r>
    <x v="281"/>
    <n v="45778"/>
    <x v="0"/>
    <x v="2"/>
    <x v="1"/>
    <x v="2"/>
    <x v="2"/>
    <n v="1"/>
    <n v="0"/>
    <n v="0"/>
    <n v="0"/>
    <x v="0"/>
    <n v="1"/>
    <n v="0"/>
    <m/>
    <n v="61.7"/>
    <m/>
    <n v="0"/>
    <m/>
    <n v="1"/>
    <m/>
    <n v="0"/>
    <m/>
    <n v="0"/>
    <m/>
    <n v="1"/>
    <m/>
  </r>
  <r>
    <x v="282"/>
    <n v="45678"/>
    <x v="0"/>
    <x v="3"/>
    <x v="1"/>
    <x v="4"/>
    <x v="1"/>
    <n v="1"/>
    <n v="0"/>
    <n v="0"/>
    <n v="0"/>
    <x v="0"/>
    <n v="1"/>
    <n v="0"/>
    <m/>
    <n v="70.5"/>
    <m/>
    <n v="0"/>
    <m/>
    <n v="1"/>
    <m/>
    <n v="0"/>
    <m/>
    <n v="0"/>
    <m/>
    <n v="1"/>
    <m/>
  </r>
  <r>
    <x v="283"/>
    <n v="45698"/>
    <x v="0"/>
    <x v="0"/>
    <x v="0"/>
    <x v="3"/>
    <x v="0"/>
    <n v="1"/>
    <n v="0"/>
    <n v="0"/>
    <n v="0"/>
    <x v="0"/>
    <n v="0"/>
    <n v="0"/>
    <m/>
    <n v="33.4"/>
    <m/>
    <n v="0"/>
    <m/>
    <n v="1"/>
    <m/>
    <n v="0"/>
    <m/>
    <n v="0"/>
    <m/>
    <n v="0"/>
    <m/>
  </r>
  <r>
    <x v="284"/>
    <n v="45783"/>
    <x v="0"/>
    <x v="3"/>
    <x v="0"/>
    <x v="1"/>
    <x v="1"/>
    <n v="1"/>
    <n v="0"/>
    <n v="0"/>
    <n v="0"/>
    <x v="0"/>
    <n v="0"/>
    <n v="0"/>
    <m/>
    <n v="57.5"/>
    <m/>
    <n v="0"/>
    <m/>
    <n v="1"/>
    <m/>
    <n v="0"/>
    <m/>
    <n v="0"/>
    <m/>
    <n v="0"/>
    <m/>
  </r>
  <r>
    <x v="285"/>
    <n v="45696"/>
    <x v="0"/>
    <x v="0"/>
    <x v="0"/>
    <x v="2"/>
    <x v="0"/>
    <n v="1"/>
    <n v="1"/>
    <n v="0"/>
    <n v="0"/>
    <x v="0"/>
    <n v="0"/>
    <n v="0"/>
    <m/>
    <n v="85.7"/>
    <m/>
    <n v="0"/>
    <m/>
    <n v="1"/>
    <m/>
    <n v="1"/>
    <m/>
    <n v="0"/>
    <m/>
    <n v="0"/>
    <m/>
  </r>
  <r>
    <x v="286"/>
    <n v="45808"/>
    <x v="0"/>
    <x v="2"/>
    <x v="1"/>
    <x v="4"/>
    <x v="1"/>
    <n v="1"/>
    <n v="0"/>
    <n v="0"/>
    <n v="0"/>
    <x v="0"/>
    <n v="0"/>
    <n v="0"/>
    <m/>
    <n v="41.9"/>
    <m/>
    <n v="0"/>
    <m/>
    <n v="1"/>
    <m/>
    <n v="0"/>
    <m/>
    <n v="0"/>
    <m/>
    <n v="0"/>
    <m/>
  </r>
  <r>
    <x v="287"/>
    <n v="45695"/>
    <x v="0"/>
    <x v="1"/>
    <x v="1"/>
    <x v="0"/>
    <x v="0"/>
    <n v="1"/>
    <n v="0"/>
    <n v="0"/>
    <n v="0"/>
    <x v="0"/>
    <n v="0"/>
    <n v="0"/>
    <m/>
    <n v="70.2"/>
    <m/>
    <n v="0"/>
    <m/>
    <n v="1"/>
    <m/>
    <n v="0"/>
    <m/>
    <n v="0"/>
    <m/>
    <n v="0"/>
    <m/>
  </r>
  <r>
    <x v="288"/>
    <n v="45698"/>
    <x v="0"/>
    <x v="0"/>
    <x v="1"/>
    <x v="4"/>
    <x v="1"/>
    <n v="1"/>
    <n v="0"/>
    <n v="0"/>
    <n v="0"/>
    <x v="0"/>
    <n v="0"/>
    <n v="0"/>
    <m/>
    <n v="42.6"/>
    <m/>
    <n v="0"/>
    <m/>
    <n v="1"/>
    <m/>
    <n v="0"/>
    <m/>
    <n v="0"/>
    <m/>
    <n v="0"/>
    <m/>
  </r>
  <r>
    <x v="289"/>
    <n v="45688"/>
    <x v="0"/>
    <x v="1"/>
    <x v="1"/>
    <x v="4"/>
    <x v="0"/>
    <n v="0"/>
    <n v="0"/>
    <n v="0"/>
    <n v="0"/>
    <x v="0"/>
    <n v="2"/>
    <n v="0"/>
    <m/>
    <n v="30.4"/>
    <m/>
    <n v="0"/>
    <m/>
    <n v="0"/>
    <m/>
    <n v="0"/>
    <m/>
    <n v="0"/>
    <m/>
    <n v="2"/>
    <m/>
  </r>
  <r>
    <x v="290"/>
    <n v="45732"/>
    <x v="0"/>
    <x v="2"/>
    <x v="1"/>
    <x v="2"/>
    <x v="0"/>
    <n v="1"/>
    <n v="0"/>
    <n v="0"/>
    <n v="0"/>
    <x v="0"/>
    <n v="0"/>
    <n v="0"/>
    <m/>
    <n v="63.7"/>
    <m/>
    <n v="0"/>
    <m/>
    <n v="1"/>
    <m/>
    <n v="0"/>
    <m/>
    <n v="0"/>
    <m/>
    <n v="0"/>
    <m/>
  </r>
  <r>
    <x v="291"/>
    <n v="45771"/>
    <x v="0"/>
    <x v="3"/>
    <x v="1"/>
    <x v="4"/>
    <x v="0"/>
    <n v="0"/>
    <n v="0"/>
    <n v="0"/>
    <n v="0"/>
    <x v="0"/>
    <n v="0"/>
    <n v="0"/>
    <m/>
    <n v="42.7"/>
    <m/>
    <n v="0"/>
    <m/>
    <n v="0"/>
    <m/>
    <n v="0"/>
    <m/>
    <n v="0"/>
    <m/>
    <n v="0"/>
    <m/>
  </r>
  <r>
    <x v="292"/>
    <n v="45685"/>
    <x v="0"/>
    <x v="0"/>
    <x v="1"/>
    <x v="1"/>
    <x v="1"/>
    <n v="0"/>
    <n v="0"/>
    <n v="0"/>
    <n v="0"/>
    <x v="0"/>
    <n v="0"/>
    <n v="0"/>
    <m/>
    <n v="74.3"/>
    <m/>
    <n v="0"/>
    <m/>
    <n v="0"/>
    <m/>
    <n v="0"/>
    <m/>
    <n v="0"/>
    <m/>
    <n v="0"/>
    <m/>
  </r>
  <r>
    <x v="293"/>
    <n v="45704"/>
    <x v="0"/>
    <x v="1"/>
    <x v="0"/>
    <x v="0"/>
    <x v="1"/>
    <n v="1"/>
    <n v="0"/>
    <n v="0"/>
    <n v="0"/>
    <x v="0"/>
    <n v="0"/>
    <n v="0"/>
    <m/>
    <n v="40.6"/>
    <m/>
    <n v="0"/>
    <m/>
    <n v="1"/>
    <m/>
    <n v="0"/>
    <m/>
    <n v="0"/>
    <m/>
    <n v="0"/>
    <m/>
  </r>
  <r>
    <x v="294"/>
    <n v="45739"/>
    <x v="0"/>
    <x v="2"/>
    <x v="1"/>
    <x v="1"/>
    <x v="2"/>
    <n v="0"/>
    <n v="0"/>
    <n v="0"/>
    <n v="0"/>
    <x v="0"/>
    <n v="0"/>
    <n v="0"/>
    <m/>
    <n v="67"/>
    <m/>
    <n v="0"/>
    <m/>
    <n v="0"/>
    <m/>
    <n v="0"/>
    <m/>
    <n v="0"/>
    <m/>
    <n v="0"/>
    <m/>
  </r>
  <r>
    <x v="295"/>
    <n v="45808"/>
    <x v="0"/>
    <x v="2"/>
    <x v="1"/>
    <x v="2"/>
    <x v="2"/>
    <n v="0"/>
    <n v="0"/>
    <n v="0"/>
    <n v="0"/>
    <x v="0"/>
    <n v="0"/>
    <n v="0"/>
    <m/>
    <n v="51"/>
    <m/>
    <n v="0"/>
    <m/>
    <n v="0"/>
    <m/>
    <n v="0"/>
    <m/>
    <n v="0"/>
    <m/>
    <n v="0"/>
    <m/>
  </r>
  <r>
    <x v="296"/>
    <n v="45760"/>
    <x v="0"/>
    <x v="1"/>
    <x v="1"/>
    <x v="4"/>
    <x v="0"/>
    <n v="1"/>
    <n v="1"/>
    <n v="0"/>
    <n v="0"/>
    <x v="0"/>
    <n v="1"/>
    <n v="0"/>
    <m/>
    <n v="54.8"/>
    <m/>
    <n v="0"/>
    <m/>
    <n v="1"/>
    <m/>
    <n v="1"/>
    <m/>
    <n v="0"/>
    <m/>
    <n v="1"/>
    <m/>
  </r>
  <r>
    <x v="297"/>
    <n v="45791"/>
    <x v="0"/>
    <x v="0"/>
    <x v="2"/>
    <x v="0"/>
    <x v="0"/>
    <n v="0"/>
    <n v="0"/>
    <n v="0"/>
    <n v="0"/>
    <x v="0"/>
    <n v="0"/>
    <n v="0"/>
    <m/>
    <n v="40.799999999999997"/>
    <m/>
    <n v="0"/>
    <m/>
    <n v="0"/>
    <m/>
    <n v="0"/>
    <m/>
    <n v="0"/>
    <m/>
    <n v="0"/>
    <m/>
  </r>
  <r>
    <x v="298"/>
    <n v="45707"/>
    <x v="0"/>
    <x v="2"/>
    <x v="1"/>
    <x v="2"/>
    <x v="1"/>
    <n v="0"/>
    <n v="0"/>
    <n v="0"/>
    <n v="0"/>
    <x v="0"/>
    <n v="0"/>
    <n v="0"/>
    <m/>
    <n v="48.8"/>
    <m/>
    <n v="0"/>
    <m/>
    <n v="0"/>
    <m/>
    <n v="0"/>
    <m/>
    <n v="0"/>
    <m/>
    <n v="0"/>
    <m/>
  </r>
  <r>
    <x v="299"/>
    <n v="45681"/>
    <x v="0"/>
    <x v="3"/>
    <x v="1"/>
    <x v="5"/>
    <x v="0"/>
    <n v="1"/>
    <n v="1"/>
    <n v="1"/>
    <n v="1"/>
    <x v="12"/>
    <n v="1"/>
    <n v="0"/>
    <n v="6"/>
    <n v="88.9"/>
    <m/>
    <n v="1"/>
    <m/>
    <n v="1"/>
    <m/>
    <n v="1"/>
    <m/>
    <n v="1"/>
    <m/>
    <n v="1"/>
    <m/>
  </r>
  <r>
    <x v="300"/>
    <n v="45786"/>
    <x v="0"/>
    <x v="0"/>
    <x v="1"/>
    <x v="0"/>
    <x v="0"/>
    <n v="1"/>
    <n v="1"/>
    <n v="1"/>
    <n v="0"/>
    <x v="0"/>
    <n v="1"/>
    <n v="0"/>
    <m/>
    <n v="60.5"/>
    <m/>
    <n v="0"/>
    <m/>
    <n v="1"/>
    <m/>
    <n v="1"/>
    <m/>
    <n v="1"/>
    <m/>
    <n v="1"/>
    <m/>
  </r>
  <r>
    <x v="301"/>
    <n v="45699"/>
    <x v="0"/>
    <x v="0"/>
    <x v="1"/>
    <x v="1"/>
    <x v="0"/>
    <n v="1"/>
    <n v="0"/>
    <n v="0"/>
    <n v="0"/>
    <x v="0"/>
    <n v="0"/>
    <n v="0"/>
    <m/>
    <n v="63.6"/>
    <m/>
    <n v="0"/>
    <m/>
    <n v="1"/>
    <m/>
    <n v="0"/>
    <m/>
    <n v="0"/>
    <m/>
    <n v="0"/>
    <m/>
  </r>
  <r>
    <x v="302"/>
    <n v="45714"/>
    <x v="0"/>
    <x v="0"/>
    <x v="0"/>
    <x v="1"/>
    <x v="0"/>
    <n v="1"/>
    <n v="1"/>
    <n v="1"/>
    <n v="1"/>
    <x v="13"/>
    <n v="0"/>
    <n v="0"/>
    <n v="17"/>
    <n v="58.4"/>
    <m/>
    <n v="1"/>
    <m/>
    <n v="1"/>
    <m/>
    <n v="1"/>
    <m/>
    <n v="1"/>
    <m/>
    <n v="0"/>
    <m/>
  </r>
  <r>
    <x v="303"/>
    <n v="45700"/>
    <x v="0"/>
    <x v="3"/>
    <x v="1"/>
    <x v="4"/>
    <x v="2"/>
    <n v="0"/>
    <n v="0"/>
    <n v="0"/>
    <n v="0"/>
    <x v="0"/>
    <n v="0"/>
    <n v="0"/>
    <m/>
    <n v="52.7"/>
    <m/>
    <n v="0"/>
    <m/>
    <n v="0"/>
    <m/>
    <n v="0"/>
    <m/>
    <n v="0"/>
    <m/>
    <n v="0"/>
    <m/>
  </r>
  <r>
    <x v="304"/>
    <n v="45662"/>
    <x v="0"/>
    <x v="3"/>
    <x v="2"/>
    <x v="4"/>
    <x v="2"/>
    <n v="1"/>
    <n v="1"/>
    <n v="1"/>
    <n v="0"/>
    <x v="0"/>
    <n v="2"/>
    <n v="0"/>
    <m/>
    <n v="48.9"/>
    <m/>
    <n v="0"/>
    <m/>
    <n v="1"/>
    <m/>
    <n v="1"/>
    <m/>
    <n v="1"/>
    <m/>
    <n v="2"/>
    <m/>
  </r>
  <r>
    <x v="305"/>
    <n v="45796"/>
    <x v="0"/>
    <x v="1"/>
    <x v="1"/>
    <x v="1"/>
    <x v="2"/>
    <n v="0"/>
    <n v="0"/>
    <n v="0"/>
    <n v="0"/>
    <x v="0"/>
    <n v="0"/>
    <n v="0"/>
    <m/>
    <n v="79.7"/>
    <m/>
    <n v="0"/>
    <m/>
    <n v="0"/>
    <m/>
    <n v="0"/>
    <m/>
    <n v="0"/>
    <m/>
    <n v="0"/>
    <m/>
  </r>
  <r>
    <x v="306"/>
    <n v="45690"/>
    <x v="0"/>
    <x v="0"/>
    <x v="1"/>
    <x v="4"/>
    <x v="1"/>
    <n v="1"/>
    <n v="0"/>
    <n v="0"/>
    <n v="0"/>
    <x v="0"/>
    <n v="0"/>
    <n v="0"/>
    <m/>
    <n v="44.9"/>
    <m/>
    <n v="0"/>
    <m/>
    <n v="1"/>
    <m/>
    <n v="0"/>
    <m/>
    <n v="0"/>
    <m/>
    <n v="0"/>
    <m/>
  </r>
  <r>
    <x v="307"/>
    <n v="45687"/>
    <x v="0"/>
    <x v="1"/>
    <x v="2"/>
    <x v="2"/>
    <x v="1"/>
    <n v="1"/>
    <n v="1"/>
    <n v="1"/>
    <n v="1"/>
    <x v="14"/>
    <n v="0"/>
    <n v="0"/>
    <n v="10"/>
    <n v="38.799999999999997"/>
    <m/>
    <n v="1"/>
    <m/>
    <n v="1"/>
    <m/>
    <n v="1"/>
    <m/>
    <n v="1"/>
    <m/>
    <n v="0"/>
    <m/>
  </r>
  <r>
    <x v="308"/>
    <n v="45778"/>
    <x v="0"/>
    <x v="3"/>
    <x v="0"/>
    <x v="0"/>
    <x v="1"/>
    <n v="0"/>
    <n v="0"/>
    <n v="0"/>
    <n v="0"/>
    <x v="0"/>
    <n v="0"/>
    <n v="0"/>
    <m/>
    <n v="70"/>
    <m/>
    <n v="0"/>
    <m/>
    <n v="0"/>
    <m/>
    <n v="0"/>
    <m/>
    <n v="0"/>
    <m/>
    <n v="0"/>
    <m/>
  </r>
  <r>
    <x v="309"/>
    <n v="45793"/>
    <x v="0"/>
    <x v="3"/>
    <x v="0"/>
    <x v="3"/>
    <x v="0"/>
    <n v="1"/>
    <n v="0"/>
    <n v="0"/>
    <n v="0"/>
    <x v="0"/>
    <n v="0"/>
    <n v="0"/>
    <m/>
    <n v="77.7"/>
    <m/>
    <n v="0"/>
    <m/>
    <n v="1"/>
    <m/>
    <n v="0"/>
    <m/>
    <n v="0"/>
    <m/>
    <n v="0"/>
    <m/>
  </r>
  <r>
    <x v="310"/>
    <n v="45724"/>
    <x v="0"/>
    <x v="1"/>
    <x v="1"/>
    <x v="1"/>
    <x v="1"/>
    <n v="0"/>
    <n v="0"/>
    <n v="0"/>
    <n v="0"/>
    <x v="0"/>
    <n v="0"/>
    <n v="0"/>
    <m/>
    <n v="71.2"/>
    <m/>
    <n v="0"/>
    <m/>
    <n v="0"/>
    <m/>
    <n v="0"/>
    <m/>
    <n v="0"/>
    <m/>
    <n v="0"/>
    <m/>
  </r>
  <r>
    <x v="311"/>
    <n v="45751"/>
    <x v="0"/>
    <x v="0"/>
    <x v="1"/>
    <x v="1"/>
    <x v="0"/>
    <n v="1"/>
    <n v="0"/>
    <n v="0"/>
    <n v="0"/>
    <x v="0"/>
    <n v="0"/>
    <n v="0"/>
    <m/>
    <n v="43.8"/>
    <m/>
    <n v="0"/>
    <m/>
    <n v="1"/>
    <m/>
    <n v="0"/>
    <m/>
    <n v="0"/>
    <m/>
    <n v="0"/>
    <m/>
  </r>
  <r>
    <x v="312"/>
    <n v="45807"/>
    <x v="0"/>
    <x v="3"/>
    <x v="2"/>
    <x v="1"/>
    <x v="1"/>
    <n v="1"/>
    <n v="0"/>
    <n v="0"/>
    <n v="0"/>
    <x v="0"/>
    <n v="0"/>
    <n v="0"/>
    <m/>
    <n v="50.9"/>
    <m/>
    <n v="0"/>
    <m/>
    <n v="1"/>
    <m/>
    <n v="0"/>
    <m/>
    <n v="0"/>
    <m/>
    <n v="0"/>
    <m/>
  </r>
  <r>
    <x v="313"/>
    <n v="45662"/>
    <x v="0"/>
    <x v="1"/>
    <x v="1"/>
    <x v="1"/>
    <x v="2"/>
    <n v="0"/>
    <n v="0"/>
    <n v="0"/>
    <n v="0"/>
    <x v="0"/>
    <n v="0"/>
    <n v="0"/>
    <m/>
    <n v="58.5"/>
    <m/>
    <n v="0"/>
    <m/>
    <n v="0"/>
    <m/>
    <n v="0"/>
    <m/>
    <n v="0"/>
    <m/>
    <n v="0"/>
    <m/>
  </r>
  <r>
    <x v="314"/>
    <n v="45677"/>
    <x v="0"/>
    <x v="2"/>
    <x v="1"/>
    <x v="1"/>
    <x v="1"/>
    <n v="1"/>
    <n v="1"/>
    <n v="1"/>
    <n v="0"/>
    <x v="0"/>
    <n v="0"/>
    <n v="0"/>
    <m/>
    <n v="53.6"/>
    <m/>
    <n v="0"/>
    <m/>
    <n v="1"/>
    <m/>
    <n v="1"/>
    <m/>
    <n v="1"/>
    <m/>
    <n v="0"/>
    <m/>
  </r>
  <r>
    <x v="315"/>
    <n v="45778"/>
    <x v="0"/>
    <x v="2"/>
    <x v="1"/>
    <x v="0"/>
    <x v="1"/>
    <n v="0"/>
    <n v="0"/>
    <n v="0"/>
    <n v="0"/>
    <x v="0"/>
    <n v="0"/>
    <n v="0"/>
    <m/>
    <n v="54.9"/>
    <m/>
    <n v="0"/>
    <m/>
    <n v="0"/>
    <m/>
    <n v="0"/>
    <m/>
    <n v="0"/>
    <m/>
    <n v="0"/>
    <m/>
  </r>
  <r>
    <x v="316"/>
    <n v="45721"/>
    <x v="0"/>
    <x v="0"/>
    <x v="0"/>
    <x v="1"/>
    <x v="2"/>
    <n v="0"/>
    <n v="0"/>
    <n v="0"/>
    <n v="0"/>
    <x v="0"/>
    <n v="0"/>
    <n v="0"/>
    <m/>
    <n v="57.3"/>
    <m/>
    <n v="0"/>
    <m/>
    <n v="0"/>
    <m/>
    <n v="0"/>
    <m/>
    <n v="0"/>
    <m/>
    <n v="0"/>
    <m/>
  </r>
  <r>
    <x v="317"/>
    <n v="45748"/>
    <x v="0"/>
    <x v="2"/>
    <x v="0"/>
    <x v="3"/>
    <x v="1"/>
    <n v="1"/>
    <n v="0"/>
    <n v="0"/>
    <n v="0"/>
    <x v="0"/>
    <n v="0"/>
    <n v="0"/>
    <m/>
    <n v="52.1"/>
    <m/>
    <n v="0"/>
    <m/>
    <n v="1"/>
    <m/>
    <n v="0"/>
    <m/>
    <n v="0"/>
    <m/>
    <n v="0"/>
    <m/>
  </r>
  <r>
    <x v="318"/>
    <n v="45780"/>
    <x v="0"/>
    <x v="0"/>
    <x v="1"/>
    <x v="1"/>
    <x v="1"/>
    <n v="1"/>
    <n v="0"/>
    <n v="0"/>
    <n v="0"/>
    <x v="0"/>
    <n v="0"/>
    <n v="0"/>
    <m/>
    <n v="80"/>
    <m/>
    <n v="0"/>
    <m/>
    <n v="1"/>
    <m/>
    <n v="0"/>
    <m/>
    <n v="0"/>
    <m/>
    <n v="0"/>
    <m/>
  </r>
  <r>
    <x v="319"/>
    <n v="45722"/>
    <x v="0"/>
    <x v="3"/>
    <x v="0"/>
    <x v="2"/>
    <x v="2"/>
    <n v="1"/>
    <n v="0"/>
    <n v="0"/>
    <n v="0"/>
    <x v="0"/>
    <n v="0"/>
    <n v="0"/>
    <m/>
    <n v="39.299999999999997"/>
    <m/>
    <n v="0"/>
    <m/>
    <n v="1"/>
    <m/>
    <n v="0"/>
    <m/>
    <n v="0"/>
    <m/>
    <n v="0"/>
    <m/>
  </r>
  <r>
    <x v="320"/>
    <n v="45748"/>
    <x v="0"/>
    <x v="0"/>
    <x v="0"/>
    <x v="3"/>
    <x v="2"/>
    <n v="0"/>
    <n v="0"/>
    <n v="0"/>
    <n v="0"/>
    <x v="0"/>
    <n v="0"/>
    <n v="0"/>
    <m/>
    <n v="45.7"/>
    <m/>
    <n v="0"/>
    <m/>
    <n v="0"/>
    <m/>
    <n v="0"/>
    <m/>
    <n v="0"/>
    <m/>
    <n v="0"/>
    <m/>
  </r>
  <r>
    <x v="321"/>
    <n v="45697"/>
    <x v="0"/>
    <x v="0"/>
    <x v="0"/>
    <x v="4"/>
    <x v="0"/>
    <n v="1"/>
    <n v="0"/>
    <n v="0"/>
    <n v="0"/>
    <x v="0"/>
    <n v="2"/>
    <n v="0"/>
    <m/>
    <n v="61.2"/>
    <m/>
    <n v="0"/>
    <m/>
    <n v="1"/>
    <m/>
    <n v="0"/>
    <m/>
    <n v="0"/>
    <m/>
    <n v="2"/>
    <m/>
  </r>
  <r>
    <x v="322"/>
    <n v="45759"/>
    <x v="0"/>
    <x v="1"/>
    <x v="1"/>
    <x v="1"/>
    <x v="0"/>
    <n v="1"/>
    <n v="1"/>
    <n v="0"/>
    <n v="0"/>
    <x v="0"/>
    <n v="0"/>
    <n v="0"/>
    <m/>
    <n v="66.2"/>
    <m/>
    <n v="0"/>
    <m/>
    <n v="1"/>
    <m/>
    <n v="1"/>
    <m/>
    <n v="0"/>
    <m/>
    <n v="0"/>
    <m/>
  </r>
  <r>
    <x v="323"/>
    <n v="45734"/>
    <x v="0"/>
    <x v="2"/>
    <x v="1"/>
    <x v="4"/>
    <x v="1"/>
    <n v="1"/>
    <n v="1"/>
    <n v="1"/>
    <n v="0"/>
    <x v="0"/>
    <n v="0"/>
    <n v="0"/>
    <m/>
    <n v="61.3"/>
    <m/>
    <n v="0"/>
    <m/>
    <n v="1"/>
    <m/>
    <n v="1"/>
    <m/>
    <n v="1"/>
    <m/>
    <n v="0"/>
    <m/>
  </r>
  <r>
    <x v="324"/>
    <n v="45750"/>
    <x v="0"/>
    <x v="2"/>
    <x v="1"/>
    <x v="2"/>
    <x v="1"/>
    <n v="1"/>
    <n v="0"/>
    <n v="0"/>
    <n v="0"/>
    <x v="0"/>
    <n v="0"/>
    <n v="0"/>
    <m/>
    <n v="72.2"/>
    <m/>
    <n v="0"/>
    <m/>
    <n v="1"/>
    <m/>
    <n v="0"/>
    <m/>
    <n v="0"/>
    <m/>
    <n v="0"/>
    <m/>
  </r>
  <r>
    <x v="325"/>
    <n v="45749"/>
    <x v="0"/>
    <x v="1"/>
    <x v="1"/>
    <x v="0"/>
    <x v="2"/>
    <n v="1"/>
    <n v="1"/>
    <n v="1"/>
    <n v="0"/>
    <x v="0"/>
    <n v="0"/>
    <n v="0"/>
    <m/>
    <n v="84"/>
    <m/>
    <n v="0"/>
    <m/>
    <n v="1"/>
    <m/>
    <n v="1"/>
    <m/>
    <n v="1"/>
    <m/>
    <n v="0"/>
    <m/>
  </r>
  <r>
    <x v="326"/>
    <n v="45787"/>
    <x v="0"/>
    <x v="1"/>
    <x v="0"/>
    <x v="0"/>
    <x v="0"/>
    <n v="0"/>
    <n v="0"/>
    <n v="0"/>
    <n v="0"/>
    <x v="0"/>
    <n v="0"/>
    <n v="0"/>
    <m/>
    <n v="59.8"/>
    <m/>
    <n v="0"/>
    <m/>
    <n v="0"/>
    <m/>
    <n v="0"/>
    <m/>
    <n v="0"/>
    <m/>
    <n v="0"/>
    <m/>
  </r>
  <r>
    <x v="327"/>
    <n v="45776"/>
    <x v="0"/>
    <x v="1"/>
    <x v="0"/>
    <x v="2"/>
    <x v="1"/>
    <n v="1"/>
    <n v="0"/>
    <n v="0"/>
    <n v="0"/>
    <x v="0"/>
    <n v="0"/>
    <n v="0"/>
    <m/>
    <n v="64.900000000000006"/>
    <m/>
    <n v="0"/>
    <m/>
    <n v="1"/>
    <m/>
    <n v="0"/>
    <m/>
    <n v="0"/>
    <m/>
    <n v="0"/>
    <m/>
  </r>
  <r>
    <x v="328"/>
    <n v="45715"/>
    <x v="0"/>
    <x v="3"/>
    <x v="1"/>
    <x v="2"/>
    <x v="1"/>
    <n v="1"/>
    <n v="0"/>
    <n v="0"/>
    <n v="0"/>
    <x v="0"/>
    <n v="0"/>
    <n v="0"/>
    <m/>
    <n v="66.8"/>
    <m/>
    <n v="0"/>
    <m/>
    <n v="1"/>
    <m/>
    <n v="0"/>
    <m/>
    <n v="0"/>
    <m/>
    <n v="0"/>
    <m/>
  </r>
  <r>
    <x v="329"/>
    <n v="45757"/>
    <x v="0"/>
    <x v="0"/>
    <x v="0"/>
    <x v="1"/>
    <x v="2"/>
    <n v="0"/>
    <n v="0"/>
    <n v="0"/>
    <n v="0"/>
    <x v="0"/>
    <n v="0"/>
    <n v="0"/>
    <m/>
    <n v="70.900000000000006"/>
    <m/>
    <n v="0"/>
    <m/>
    <n v="0"/>
    <m/>
    <n v="0"/>
    <m/>
    <n v="0"/>
    <m/>
    <n v="0"/>
    <m/>
  </r>
  <r>
    <x v="330"/>
    <n v="45701"/>
    <x v="0"/>
    <x v="2"/>
    <x v="1"/>
    <x v="1"/>
    <x v="1"/>
    <n v="1"/>
    <n v="1"/>
    <n v="1"/>
    <n v="1"/>
    <x v="15"/>
    <n v="1"/>
    <n v="0"/>
    <n v="14"/>
    <n v="68.8"/>
    <m/>
    <n v="1"/>
    <m/>
    <n v="1"/>
    <m/>
    <n v="1"/>
    <m/>
    <n v="1"/>
    <m/>
    <n v="1"/>
    <m/>
  </r>
  <r>
    <x v="331"/>
    <n v="45780"/>
    <x v="0"/>
    <x v="0"/>
    <x v="1"/>
    <x v="1"/>
    <x v="0"/>
    <n v="1"/>
    <n v="0"/>
    <n v="0"/>
    <n v="0"/>
    <x v="0"/>
    <n v="0"/>
    <n v="0"/>
    <m/>
    <n v="72.400000000000006"/>
    <m/>
    <n v="0"/>
    <m/>
    <n v="1"/>
    <m/>
    <n v="0"/>
    <m/>
    <n v="0"/>
    <m/>
    <n v="0"/>
    <m/>
  </r>
  <r>
    <x v="332"/>
    <n v="45726"/>
    <x v="0"/>
    <x v="2"/>
    <x v="1"/>
    <x v="1"/>
    <x v="0"/>
    <n v="0"/>
    <n v="0"/>
    <n v="0"/>
    <n v="0"/>
    <x v="0"/>
    <n v="0"/>
    <n v="0"/>
    <m/>
    <n v="63.3"/>
    <m/>
    <n v="0"/>
    <m/>
    <n v="0"/>
    <m/>
    <n v="0"/>
    <m/>
    <n v="0"/>
    <m/>
    <n v="0"/>
    <m/>
  </r>
  <r>
    <x v="333"/>
    <n v="45667"/>
    <x v="0"/>
    <x v="1"/>
    <x v="2"/>
    <x v="4"/>
    <x v="1"/>
    <n v="1"/>
    <n v="0"/>
    <n v="0"/>
    <n v="0"/>
    <x v="0"/>
    <n v="0"/>
    <n v="0"/>
    <m/>
    <n v="30.8"/>
    <m/>
    <n v="0"/>
    <m/>
    <n v="1"/>
    <m/>
    <n v="0"/>
    <m/>
    <n v="0"/>
    <m/>
    <n v="0"/>
    <m/>
  </r>
  <r>
    <x v="334"/>
    <n v="45673"/>
    <x v="0"/>
    <x v="3"/>
    <x v="1"/>
    <x v="0"/>
    <x v="0"/>
    <n v="1"/>
    <n v="1"/>
    <n v="1"/>
    <n v="1"/>
    <x v="16"/>
    <n v="0"/>
    <n v="0"/>
    <n v="9"/>
    <n v="44.2"/>
    <m/>
    <n v="1"/>
    <m/>
    <n v="1"/>
    <m/>
    <n v="1"/>
    <m/>
    <n v="1"/>
    <m/>
    <n v="0"/>
    <m/>
  </r>
  <r>
    <x v="335"/>
    <n v="45699"/>
    <x v="0"/>
    <x v="3"/>
    <x v="0"/>
    <x v="1"/>
    <x v="2"/>
    <n v="1"/>
    <n v="1"/>
    <n v="1"/>
    <n v="1"/>
    <x v="17"/>
    <n v="0"/>
    <n v="0"/>
    <n v="10"/>
    <n v="56.2"/>
    <m/>
    <n v="1"/>
    <m/>
    <n v="1"/>
    <m/>
    <n v="1"/>
    <m/>
    <n v="1"/>
    <m/>
    <n v="0"/>
    <m/>
  </r>
  <r>
    <x v="336"/>
    <n v="45760"/>
    <x v="0"/>
    <x v="1"/>
    <x v="1"/>
    <x v="1"/>
    <x v="1"/>
    <n v="0"/>
    <n v="0"/>
    <n v="0"/>
    <n v="0"/>
    <x v="0"/>
    <n v="0"/>
    <n v="0"/>
    <m/>
    <n v="40.4"/>
    <m/>
    <n v="0"/>
    <m/>
    <n v="0"/>
    <m/>
    <n v="0"/>
    <m/>
    <n v="0"/>
    <m/>
    <n v="0"/>
    <m/>
  </r>
  <r>
    <x v="337"/>
    <n v="45696"/>
    <x v="0"/>
    <x v="2"/>
    <x v="1"/>
    <x v="2"/>
    <x v="1"/>
    <n v="1"/>
    <n v="1"/>
    <n v="1"/>
    <n v="0"/>
    <x v="0"/>
    <n v="0"/>
    <n v="0"/>
    <m/>
    <n v="68.099999999999994"/>
    <m/>
    <n v="0"/>
    <m/>
    <n v="1"/>
    <m/>
    <n v="1"/>
    <m/>
    <n v="1"/>
    <m/>
    <n v="0"/>
    <m/>
  </r>
  <r>
    <x v="338"/>
    <n v="45747"/>
    <x v="0"/>
    <x v="1"/>
    <x v="0"/>
    <x v="3"/>
    <x v="1"/>
    <n v="1"/>
    <n v="0"/>
    <n v="0"/>
    <n v="0"/>
    <x v="0"/>
    <n v="0"/>
    <n v="0"/>
    <m/>
    <n v="86.3"/>
    <m/>
    <n v="0"/>
    <m/>
    <n v="1"/>
    <m/>
    <n v="0"/>
    <m/>
    <n v="0"/>
    <m/>
    <n v="0"/>
    <m/>
  </r>
  <r>
    <x v="339"/>
    <n v="45688"/>
    <x v="0"/>
    <x v="1"/>
    <x v="0"/>
    <x v="3"/>
    <x v="1"/>
    <n v="1"/>
    <n v="1"/>
    <n v="0"/>
    <n v="0"/>
    <x v="0"/>
    <n v="0"/>
    <n v="0"/>
    <m/>
    <n v="42.9"/>
    <m/>
    <n v="0"/>
    <m/>
    <n v="1"/>
    <m/>
    <n v="1"/>
    <m/>
    <n v="0"/>
    <m/>
    <n v="0"/>
    <m/>
  </r>
  <r>
    <x v="340"/>
    <n v="45785"/>
    <x v="0"/>
    <x v="1"/>
    <x v="2"/>
    <x v="1"/>
    <x v="1"/>
    <n v="0"/>
    <n v="0"/>
    <n v="0"/>
    <n v="0"/>
    <x v="0"/>
    <n v="0"/>
    <n v="0"/>
    <m/>
    <n v="61.4"/>
    <m/>
    <n v="0"/>
    <m/>
    <n v="0"/>
    <m/>
    <n v="0"/>
    <m/>
    <n v="0"/>
    <m/>
    <n v="0"/>
    <m/>
  </r>
  <r>
    <x v="341"/>
    <n v="45731"/>
    <x v="0"/>
    <x v="0"/>
    <x v="1"/>
    <x v="2"/>
    <x v="1"/>
    <n v="1"/>
    <n v="0"/>
    <n v="0"/>
    <n v="0"/>
    <x v="0"/>
    <n v="1"/>
    <n v="0"/>
    <m/>
    <n v="73.3"/>
    <m/>
    <n v="0"/>
    <m/>
    <n v="1"/>
    <m/>
    <n v="0"/>
    <m/>
    <n v="0"/>
    <m/>
    <n v="1"/>
    <m/>
  </r>
  <r>
    <x v="342"/>
    <n v="45670"/>
    <x v="0"/>
    <x v="3"/>
    <x v="1"/>
    <x v="3"/>
    <x v="0"/>
    <n v="1"/>
    <n v="0"/>
    <n v="0"/>
    <n v="0"/>
    <x v="0"/>
    <n v="0"/>
    <n v="0"/>
    <m/>
    <n v="59.4"/>
    <m/>
    <n v="0"/>
    <m/>
    <n v="1"/>
    <m/>
    <n v="0"/>
    <m/>
    <n v="0"/>
    <m/>
    <n v="0"/>
    <m/>
  </r>
  <r>
    <x v="343"/>
    <n v="45723"/>
    <x v="0"/>
    <x v="3"/>
    <x v="2"/>
    <x v="1"/>
    <x v="0"/>
    <n v="1"/>
    <n v="0"/>
    <n v="0"/>
    <n v="0"/>
    <x v="0"/>
    <n v="0"/>
    <n v="0"/>
    <m/>
    <n v="35.200000000000003"/>
    <m/>
    <n v="0"/>
    <m/>
    <n v="1"/>
    <m/>
    <n v="0"/>
    <m/>
    <n v="0"/>
    <m/>
    <n v="0"/>
    <m/>
  </r>
  <r>
    <x v="344"/>
    <n v="45698"/>
    <x v="0"/>
    <x v="3"/>
    <x v="1"/>
    <x v="4"/>
    <x v="2"/>
    <n v="1"/>
    <n v="1"/>
    <n v="0"/>
    <n v="0"/>
    <x v="0"/>
    <n v="0"/>
    <n v="0"/>
    <m/>
    <n v="55.3"/>
    <m/>
    <n v="0"/>
    <m/>
    <n v="1"/>
    <m/>
    <n v="1"/>
    <m/>
    <n v="0"/>
    <m/>
    <n v="0"/>
    <m/>
  </r>
  <r>
    <x v="345"/>
    <n v="45728"/>
    <x v="0"/>
    <x v="2"/>
    <x v="1"/>
    <x v="2"/>
    <x v="1"/>
    <n v="0"/>
    <n v="0"/>
    <n v="0"/>
    <n v="0"/>
    <x v="0"/>
    <n v="0"/>
    <n v="0"/>
    <m/>
    <n v="37.5"/>
    <m/>
    <n v="0"/>
    <m/>
    <n v="0"/>
    <m/>
    <n v="0"/>
    <m/>
    <n v="0"/>
    <m/>
    <n v="0"/>
    <m/>
  </r>
  <r>
    <x v="346"/>
    <n v="45660"/>
    <x v="0"/>
    <x v="3"/>
    <x v="0"/>
    <x v="2"/>
    <x v="1"/>
    <n v="0"/>
    <n v="0"/>
    <n v="0"/>
    <n v="0"/>
    <x v="0"/>
    <n v="1"/>
    <n v="0"/>
    <m/>
    <n v="66.400000000000006"/>
    <m/>
    <n v="0"/>
    <m/>
    <n v="0"/>
    <m/>
    <n v="0"/>
    <m/>
    <n v="0"/>
    <m/>
    <n v="1"/>
    <m/>
  </r>
  <r>
    <x v="347"/>
    <n v="45775"/>
    <x v="0"/>
    <x v="0"/>
    <x v="2"/>
    <x v="4"/>
    <x v="0"/>
    <n v="1"/>
    <n v="0"/>
    <n v="0"/>
    <n v="0"/>
    <x v="0"/>
    <n v="0"/>
    <n v="0"/>
    <m/>
    <n v="61.9"/>
    <m/>
    <n v="0"/>
    <m/>
    <n v="1"/>
    <m/>
    <n v="0"/>
    <m/>
    <n v="0"/>
    <m/>
    <n v="0"/>
    <m/>
  </r>
  <r>
    <x v="348"/>
    <n v="45764"/>
    <x v="0"/>
    <x v="2"/>
    <x v="1"/>
    <x v="1"/>
    <x v="1"/>
    <n v="0"/>
    <n v="0"/>
    <n v="0"/>
    <n v="0"/>
    <x v="0"/>
    <n v="0"/>
    <n v="0"/>
    <m/>
    <n v="56"/>
    <m/>
    <n v="0"/>
    <m/>
    <n v="0"/>
    <m/>
    <n v="0"/>
    <m/>
    <n v="0"/>
    <m/>
    <n v="0"/>
    <m/>
  </r>
  <r>
    <x v="349"/>
    <n v="45800"/>
    <x v="0"/>
    <x v="3"/>
    <x v="0"/>
    <x v="4"/>
    <x v="0"/>
    <n v="1"/>
    <n v="0"/>
    <n v="0"/>
    <n v="0"/>
    <x v="0"/>
    <n v="0"/>
    <n v="0"/>
    <m/>
    <n v="55.5"/>
    <m/>
    <n v="0"/>
    <m/>
    <n v="1"/>
    <m/>
    <n v="0"/>
    <m/>
    <n v="0"/>
    <m/>
    <n v="0"/>
    <m/>
  </r>
  <r>
    <x v="350"/>
    <n v="45707"/>
    <x v="0"/>
    <x v="1"/>
    <x v="2"/>
    <x v="3"/>
    <x v="0"/>
    <n v="1"/>
    <n v="0"/>
    <n v="0"/>
    <n v="0"/>
    <x v="0"/>
    <n v="0"/>
    <n v="0"/>
    <m/>
    <n v="37.200000000000003"/>
    <m/>
    <n v="0"/>
    <m/>
    <n v="1"/>
    <m/>
    <n v="0"/>
    <m/>
    <n v="0"/>
    <m/>
    <n v="0"/>
    <m/>
  </r>
  <r>
    <x v="351"/>
    <n v="45675"/>
    <x v="0"/>
    <x v="3"/>
    <x v="0"/>
    <x v="1"/>
    <x v="1"/>
    <n v="1"/>
    <n v="1"/>
    <n v="0"/>
    <n v="0"/>
    <x v="0"/>
    <n v="1"/>
    <n v="0"/>
    <m/>
    <n v="70.5"/>
    <m/>
    <n v="0"/>
    <m/>
    <n v="1"/>
    <m/>
    <n v="1"/>
    <m/>
    <n v="0"/>
    <m/>
    <n v="1"/>
    <m/>
  </r>
  <r>
    <x v="352"/>
    <n v="45764"/>
    <x v="0"/>
    <x v="0"/>
    <x v="1"/>
    <x v="1"/>
    <x v="1"/>
    <n v="0"/>
    <n v="0"/>
    <n v="0"/>
    <n v="0"/>
    <x v="0"/>
    <n v="0"/>
    <n v="0"/>
    <m/>
    <n v="61.2"/>
    <m/>
    <n v="0"/>
    <m/>
    <n v="0"/>
    <m/>
    <n v="0"/>
    <m/>
    <n v="0"/>
    <m/>
    <n v="0"/>
    <m/>
  </r>
  <r>
    <x v="353"/>
    <n v="45759"/>
    <x v="0"/>
    <x v="2"/>
    <x v="2"/>
    <x v="4"/>
    <x v="1"/>
    <n v="1"/>
    <n v="1"/>
    <n v="1"/>
    <n v="0"/>
    <x v="0"/>
    <n v="0"/>
    <n v="0"/>
    <m/>
    <n v="64.599999999999994"/>
    <m/>
    <n v="0"/>
    <m/>
    <n v="1"/>
    <m/>
    <n v="1"/>
    <m/>
    <n v="1"/>
    <m/>
    <n v="0"/>
    <m/>
  </r>
  <r>
    <x v="354"/>
    <n v="45793"/>
    <x v="0"/>
    <x v="2"/>
    <x v="1"/>
    <x v="0"/>
    <x v="1"/>
    <n v="1"/>
    <n v="1"/>
    <n v="0"/>
    <n v="0"/>
    <x v="0"/>
    <n v="0"/>
    <n v="0"/>
    <m/>
    <n v="91.7"/>
    <m/>
    <n v="0"/>
    <m/>
    <n v="1"/>
    <m/>
    <n v="1"/>
    <m/>
    <n v="0"/>
    <m/>
    <n v="0"/>
    <m/>
  </r>
  <r>
    <x v="355"/>
    <n v="45740"/>
    <x v="0"/>
    <x v="1"/>
    <x v="1"/>
    <x v="4"/>
    <x v="1"/>
    <n v="0"/>
    <n v="0"/>
    <n v="0"/>
    <n v="0"/>
    <x v="0"/>
    <n v="0"/>
    <n v="0"/>
    <m/>
    <n v="46"/>
    <m/>
    <n v="0"/>
    <m/>
    <n v="0"/>
    <m/>
    <n v="0"/>
    <m/>
    <n v="0"/>
    <m/>
    <n v="0"/>
    <m/>
  </r>
  <r>
    <x v="356"/>
    <n v="45704"/>
    <x v="0"/>
    <x v="1"/>
    <x v="1"/>
    <x v="1"/>
    <x v="0"/>
    <n v="0"/>
    <n v="0"/>
    <n v="0"/>
    <n v="0"/>
    <x v="0"/>
    <n v="0"/>
    <n v="0"/>
    <m/>
    <n v="50.8"/>
    <m/>
    <n v="0"/>
    <m/>
    <n v="0"/>
    <m/>
    <n v="0"/>
    <m/>
    <n v="0"/>
    <m/>
    <n v="0"/>
    <m/>
  </r>
  <r>
    <x v="357"/>
    <n v="45735"/>
    <x v="0"/>
    <x v="0"/>
    <x v="2"/>
    <x v="1"/>
    <x v="1"/>
    <n v="1"/>
    <n v="1"/>
    <n v="1"/>
    <n v="0"/>
    <x v="0"/>
    <n v="0"/>
    <n v="0"/>
    <m/>
    <n v="52.8"/>
    <m/>
    <n v="0"/>
    <m/>
    <n v="1"/>
    <m/>
    <n v="1"/>
    <m/>
    <n v="1"/>
    <m/>
    <n v="0"/>
    <m/>
  </r>
  <r>
    <x v="358"/>
    <n v="45768"/>
    <x v="0"/>
    <x v="3"/>
    <x v="1"/>
    <x v="1"/>
    <x v="0"/>
    <n v="1"/>
    <n v="1"/>
    <n v="1"/>
    <n v="0"/>
    <x v="0"/>
    <n v="0"/>
    <n v="0"/>
    <m/>
    <n v="63"/>
    <m/>
    <n v="0"/>
    <m/>
    <n v="1"/>
    <m/>
    <n v="1"/>
    <m/>
    <n v="1"/>
    <m/>
    <n v="0"/>
    <m/>
  </r>
  <r>
    <x v="359"/>
    <n v="45668"/>
    <x v="0"/>
    <x v="1"/>
    <x v="1"/>
    <x v="1"/>
    <x v="1"/>
    <n v="0"/>
    <n v="0"/>
    <n v="0"/>
    <n v="0"/>
    <x v="0"/>
    <n v="0"/>
    <n v="0"/>
    <m/>
    <n v="28.4"/>
    <m/>
    <n v="0"/>
    <m/>
    <n v="0"/>
    <m/>
    <n v="0"/>
    <m/>
    <n v="0"/>
    <m/>
    <n v="0"/>
    <m/>
  </r>
  <r>
    <x v="360"/>
    <n v="45771"/>
    <x v="0"/>
    <x v="1"/>
    <x v="0"/>
    <x v="1"/>
    <x v="1"/>
    <n v="1"/>
    <n v="1"/>
    <n v="0"/>
    <n v="0"/>
    <x v="0"/>
    <n v="0"/>
    <n v="0"/>
    <m/>
    <n v="65.599999999999994"/>
    <m/>
    <n v="0"/>
    <m/>
    <n v="1"/>
    <m/>
    <n v="1"/>
    <m/>
    <n v="0"/>
    <m/>
    <n v="0"/>
    <m/>
  </r>
  <r>
    <x v="361"/>
    <n v="45729"/>
    <x v="0"/>
    <x v="0"/>
    <x v="1"/>
    <x v="4"/>
    <x v="2"/>
    <n v="1"/>
    <n v="1"/>
    <n v="1"/>
    <n v="0"/>
    <x v="0"/>
    <n v="0"/>
    <n v="0"/>
    <m/>
    <n v="54.7"/>
    <m/>
    <n v="0"/>
    <m/>
    <n v="1"/>
    <m/>
    <n v="1"/>
    <m/>
    <n v="1"/>
    <m/>
    <n v="0"/>
    <m/>
  </r>
  <r>
    <x v="362"/>
    <n v="45687"/>
    <x v="0"/>
    <x v="0"/>
    <x v="1"/>
    <x v="4"/>
    <x v="0"/>
    <n v="0"/>
    <n v="0"/>
    <n v="0"/>
    <n v="0"/>
    <x v="0"/>
    <n v="0"/>
    <n v="0"/>
    <m/>
    <n v="36.1"/>
    <m/>
    <n v="0"/>
    <m/>
    <n v="0"/>
    <m/>
    <n v="0"/>
    <m/>
    <n v="0"/>
    <m/>
    <n v="0"/>
    <m/>
  </r>
  <r>
    <x v="363"/>
    <n v="45785"/>
    <x v="0"/>
    <x v="3"/>
    <x v="1"/>
    <x v="4"/>
    <x v="0"/>
    <n v="1"/>
    <n v="1"/>
    <n v="1"/>
    <n v="0"/>
    <x v="0"/>
    <n v="0"/>
    <n v="0"/>
    <m/>
    <n v="70.400000000000006"/>
    <m/>
    <n v="0"/>
    <m/>
    <n v="1"/>
    <m/>
    <n v="1"/>
    <m/>
    <n v="1"/>
    <m/>
    <n v="0"/>
    <m/>
  </r>
  <r>
    <x v="364"/>
    <n v="45665"/>
    <x v="0"/>
    <x v="2"/>
    <x v="0"/>
    <x v="4"/>
    <x v="1"/>
    <n v="1"/>
    <n v="0"/>
    <n v="0"/>
    <n v="0"/>
    <x v="0"/>
    <n v="0"/>
    <n v="0"/>
    <m/>
    <n v="56.4"/>
    <m/>
    <n v="0"/>
    <m/>
    <n v="1"/>
    <m/>
    <n v="0"/>
    <m/>
    <n v="0"/>
    <m/>
    <n v="0"/>
    <m/>
  </r>
  <r>
    <x v="365"/>
    <n v="45780"/>
    <x v="0"/>
    <x v="3"/>
    <x v="1"/>
    <x v="1"/>
    <x v="1"/>
    <n v="1"/>
    <n v="0"/>
    <n v="0"/>
    <n v="0"/>
    <x v="0"/>
    <n v="0"/>
    <n v="0"/>
    <m/>
    <n v="79.2"/>
    <m/>
    <n v="0"/>
    <m/>
    <n v="1"/>
    <m/>
    <n v="0"/>
    <m/>
    <n v="0"/>
    <m/>
    <n v="0"/>
    <m/>
  </r>
  <r>
    <x v="366"/>
    <n v="45700"/>
    <x v="0"/>
    <x v="2"/>
    <x v="1"/>
    <x v="2"/>
    <x v="1"/>
    <n v="1"/>
    <n v="1"/>
    <n v="1"/>
    <n v="0"/>
    <x v="0"/>
    <n v="0"/>
    <n v="0"/>
    <m/>
    <n v="60.1"/>
    <m/>
    <n v="0"/>
    <m/>
    <n v="1"/>
    <m/>
    <n v="1"/>
    <m/>
    <n v="1"/>
    <m/>
    <n v="0"/>
    <m/>
  </r>
  <r>
    <x v="367"/>
    <n v="45713"/>
    <x v="0"/>
    <x v="3"/>
    <x v="2"/>
    <x v="1"/>
    <x v="1"/>
    <n v="0"/>
    <n v="0"/>
    <n v="0"/>
    <n v="0"/>
    <x v="0"/>
    <n v="0"/>
    <n v="0"/>
    <m/>
    <n v="58"/>
    <m/>
    <n v="0"/>
    <m/>
    <n v="0"/>
    <m/>
    <n v="0"/>
    <m/>
    <n v="0"/>
    <m/>
    <n v="0"/>
    <m/>
  </r>
  <r>
    <x v="368"/>
    <n v="45761"/>
    <x v="0"/>
    <x v="3"/>
    <x v="1"/>
    <x v="3"/>
    <x v="1"/>
    <n v="1"/>
    <n v="1"/>
    <n v="1"/>
    <n v="0"/>
    <x v="0"/>
    <n v="0"/>
    <n v="0"/>
    <m/>
    <n v="69"/>
    <m/>
    <n v="0"/>
    <m/>
    <n v="1"/>
    <m/>
    <n v="1"/>
    <m/>
    <n v="1"/>
    <m/>
    <n v="0"/>
    <m/>
  </r>
  <r>
    <x v="369"/>
    <n v="45665"/>
    <x v="0"/>
    <x v="0"/>
    <x v="1"/>
    <x v="3"/>
    <x v="2"/>
    <n v="1"/>
    <n v="1"/>
    <n v="1"/>
    <n v="0"/>
    <x v="0"/>
    <n v="1"/>
    <n v="0"/>
    <m/>
    <n v="80.8"/>
    <m/>
    <n v="0"/>
    <m/>
    <n v="1"/>
    <m/>
    <n v="1"/>
    <m/>
    <n v="1"/>
    <m/>
    <n v="1"/>
    <m/>
  </r>
  <r>
    <x v="370"/>
    <n v="45730"/>
    <x v="0"/>
    <x v="2"/>
    <x v="1"/>
    <x v="0"/>
    <x v="1"/>
    <n v="0"/>
    <n v="0"/>
    <n v="0"/>
    <n v="0"/>
    <x v="0"/>
    <n v="0"/>
    <n v="0"/>
    <m/>
    <n v="32.799999999999997"/>
    <m/>
    <n v="0"/>
    <m/>
    <n v="0"/>
    <m/>
    <n v="0"/>
    <m/>
    <n v="0"/>
    <m/>
    <n v="0"/>
    <m/>
  </r>
  <r>
    <x v="371"/>
    <n v="45776"/>
    <x v="0"/>
    <x v="0"/>
    <x v="0"/>
    <x v="2"/>
    <x v="2"/>
    <n v="1"/>
    <n v="0"/>
    <n v="0"/>
    <n v="0"/>
    <x v="0"/>
    <n v="0"/>
    <n v="0"/>
    <m/>
    <n v="56"/>
    <m/>
    <n v="0"/>
    <m/>
    <n v="1"/>
    <m/>
    <n v="0"/>
    <m/>
    <n v="0"/>
    <m/>
    <n v="0"/>
    <m/>
  </r>
  <r>
    <x v="372"/>
    <n v="45778"/>
    <x v="0"/>
    <x v="2"/>
    <x v="0"/>
    <x v="4"/>
    <x v="1"/>
    <n v="1"/>
    <n v="0"/>
    <n v="0"/>
    <n v="0"/>
    <x v="0"/>
    <n v="0"/>
    <n v="0"/>
    <m/>
    <n v="76.400000000000006"/>
    <m/>
    <n v="0"/>
    <m/>
    <n v="1"/>
    <m/>
    <n v="0"/>
    <m/>
    <n v="0"/>
    <m/>
    <n v="0"/>
    <m/>
  </r>
  <r>
    <x v="373"/>
    <n v="45735"/>
    <x v="0"/>
    <x v="0"/>
    <x v="1"/>
    <x v="3"/>
    <x v="1"/>
    <n v="1"/>
    <n v="0"/>
    <n v="0"/>
    <n v="0"/>
    <x v="0"/>
    <n v="0"/>
    <n v="0"/>
    <m/>
    <n v="28.5"/>
    <m/>
    <n v="0"/>
    <m/>
    <n v="1"/>
    <m/>
    <n v="0"/>
    <m/>
    <n v="0"/>
    <m/>
    <n v="0"/>
    <m/>
  </r>
  <r>
    <x v="374"/>
    <n v="45778"/>
    <x v="0"/>
    <x v="3"/>
    <x v="0"/>
    <x v="4"/>
    <x v="0"/>
    <n v="1"/>
    <n v="1"/>
    <n v="1"/>
    <n v="0"/>
    <x v="0"/>
    <n v="0"/>
    <n v="0"/>
    <m/>
    <n v="48.3"/>
    <m/>
    <n v="0"/>
    <m/>
    <n v="1"/>
    <m/>
    <n v="1"/>
    <m/>
    <n v="1"/>
    <m/>
    <n v="0"/>
    <m/>
  </r>
  <r>
    <x v="375"/>
    <n v="45730"/>
    <x v="0"/>
    <x v="1"/>
    <x v="1"/>
    <x v="1"/>
    <x v="1"/>
    <n v="1"/>
    <n v="1"/>
    <n v="0"/>
    <n v="0"/>
    <x v="0"/>
    <n v="0"/>
    <n v="0"/>
    <m/>
    <n v="43.4"/>
    <m/>
    <n v="0"/>
    <m/>
    <n v="1"/>
    <m/>
    <n v="1"/>
    <m/>
    <n v="0"/>
    <m/>
    <n v="0"/>
    <m/>
  </r>
  <r>
    <x v="376"/>
    <n v="45739"/>
    <x v="0"/>
    <x v="0"/>
    <x v="1"/>
    <x v="2"/>
    <x v="1"/>
    <n v="0"/>
    <n v="0"/>
    <n v="0"/>
    <n v="0"/>
    <x v="0"/>
    <n v="0"/>
    <n v="0"/>
    <m/>
    <n v="43"/>
    <m/>
    <n v="0"/>
    <m/>
    <n v="0"/>
    <m/>
    <n v="0"/>
    <m/>
    <n v="0"/>
    <m/>
    <n v="0"/>
    <m/>
  </r>
  <r>
    <x v="377"/>
    <n v="45696"/>
    <x v="0"/>
    <x v="2"/>
    <x v="1"/>
    <x v="3"/>
    <x v="0"/>
    <n v="1"/>
    <n v="1"/>
    <n v="1"/>
    <n v="0"/>
    <x v="0"/>
    <n v="0"/>
    <n v="0"/>
    <m/>
    <n v="91.8"/>
    <m/>
    <n v="0"/>
    <m/>
    <n v="1"/>
    <m/>
    <n v="1"/>
    <m/>
    <n v="1"/>
    <m/>
    <n v="0"/>
    <m/>
  </r>
  <r>
    <x v="378"/>
    <n v="45762"/>
    <x v="0"/>
    <x v="1"/>
    <x v="2"/>
    <x v="2"/>
    <x v="0"/>
    <n v="1"/>
    <n v="0"/>
    <n v="0"/>
    <n v="0"/>
    <x v="0"/>
    <n v="1"/>
    <n v="0"/>
    <m/>
    <n v="69.3"/>
    <m/>
    <n v="0"/>
    <m/>
    <n v="1"/>
    <m/>
    <n v="0"/>
    <m/>
    <n v="0"/>
    <m/>
    <n v="1"/>
    <m/>
  </r>
  <r>
    <x v="379"/>
    <n v="45660"/>
    <x v="0"/>
    <x v="3"/>
    <x v="0"/>
    <x v="2"/>
    <x v="0"/>
    <n v="1"/>
    <n v="0"/>
    <n v="0"/>
    <n v="0"/>
    <x v="0"/>
    <n v="0"/>
    <n v="0"/>
    <m/>
    <n v="58.9"/>
    <m/>
    <n v="0"/>
    <m/>
    <n v="1"/>
    <m/>
    <n v="0"/>
    <m/>
    <n v="0"/>
    <m/>
    <n v="0"/>
    <m/>
  </r>
  <r>
    <x v="380"/>
    <n v="45739"/>
    <x v="0"/>
    <x v="1"/>
    <x v="1"/>
    <x v="4"/>
    <x v="1"/>
    <n v="1"/>
    <n v="1"/>
    <n v="1"/>
    <n v="0"/>
    <x v="0"/>
    <n v="0"/>
    <n v="0"/>
    <m/>
    <n v="76"/>
    <m/>
    <n v="0"/>
    <m/>
    <n v="1"/>
    <m/>
    <n v="1"/>
    <m/>
    <n v="1"/>
    <m/>
    <n v="0"/>
    <m/>
  </r>
  <r>
    <x v="381"/>
    <n v="45804"/>
    <x v="0"/>
    <x v="3"/>
    <x v="1"/>
    <x v="3"/>
    <x v="2"/>
    <n v="1"/>
    <n v="0"/>
    <n v="0"/>
    <n v="0"/>
    <x v="0"/>
    <n v="0"/>
    <n v="0"/>
    <m/>
    <n v="46"/>
    <m/>
    <n v="0"/>
    <m/>
    <n v="1"/>
    <m/>
    <n v="0"/>
    <m/>
    <n v="0"/>
    <m/>
    <n v="0"/>
    <m/>
  </r>
  <r>
    <x v="382"/>
    <n v="45777"/>
    <x v="0"/>
    <x v="2"/>
    <x v="1"/>
    <x v="1"/>
    <x v="1"/>
    <n v="1"/>
    <n v="0"/>
    <n v="0"/>
    <n v="0"/>
    <x v="0"/>
    <n v="0"/>
    <n v="0"/>
    <m/>
    <n v="54.1"/>
    <m/>
    <n v="0"/>
    <m/>
    <n v="1"/>
    <m/>
    <n v="0"/>
    <m/>
    <n v="0"/>
    <m/>
    <n v="0"/>
    <m/>
  </r>
  <r>
    <x v="383"/>
    <n v="45723"/>
    <x v="0"/>
    <x v="1"/>
    <x v="1"/>
    <x v="4"/>
    <x v="0"/>
    <n v="1"/>
    <n v="0"/>
    <n v="0"/>
    <n v="0"/>
    <x v="0"/>
    <n v="0"/>
    <n v="0"/>
    <m/>
    <n v="82.4"/>
    <m/>
    <n v="0"/>
    <m/>
    <n v="1"/>
    <m/>
    <n v="0"/>
    <m/>
    <n v="0"/>
    <m/>
    <n v="0"/>
    <m/>
  </r>
  <r>
    <x v="384"/>
    <n v="45787"/>
    <x v="0"/>
    <x v="3"/>
    <x v="1"/>
    <x v="1"/>
    <x v="0"/>
    <n v="1"/>
    <n v="1"/>
    <n v="1"/>
    <n v="0"/>
    <x v="0"/>
    <n v="0"/>
    <n v="0"/>
    <m/>
    <n v="71.900000000000006"/>
    <m/>
    <n v="0"/>
    <m/>
    <n v="1"/>
    <m/>
    <n v="1"/>
    <m/>
    <n v="1"/>
    <m/>
    <n v="0"/>
    <m/>
  </r>
  <r>
    <x v="385"/>
    <n v="45799"/>
    <x v="0"/>
    <x v="2"/>
    <x v="1"/>
    <x v="1"/>
    <x v="1"/>
    <n v="0"/>
    <n v="0"/>
    <n v="0"/>
    <n v="0"/>
    <x v="0"/>
    <n v="2"/>
    <n v="0"/>
    <m/>
    <n v="38"/>
    <m/>
    <n v="0"/>
    <m/>
    <n v="0"/>
    <m/>
    <n v="0"/>
    <m/>
    <n v="0"/>
    <m/>
    <n v="2"/>
    <m/>
  </r>
  <r>
    <x v="386"/>
    <n v="45697"/>
    <x v="0"/>
    <x v="2"/>
    <x v="1"/>
    <x v="2"/>
    <x v="1"/>
    <n v="1"/>
    <n v="1"/>
    <n v="0"/>
    <n v="0"/>
    <x v="0"/>
    <n v="0"/>
    <n v="0"/>
    <m/>
    <n v="43.7"/>
    <m/>
    <n v="0"/>
    <m/>
    <n v="1"/>
    <m/>
    <n v="1"/>
    <m/>
    <n v="0"/>
    <m/>
    <n v="0"/>
    <m/>
  </r>
  <r>
    <x v="387"/>
    <n v="45807"/>
    <x v="0"/>
    <x v="1"/>
    <x v="0"/>
    <x v="1"/>
    <x v="2"/>
    <n v="1"/>
    <n v="0"/>
    <n v="0"/>
    <n v="0"/>
    <x v="0"/>
    <n v="1"/>
    <n v="0"/>
    <m/>
    <n v="32.200000000000003"/>
    <m/>
    <n v="0"/>
    <m/>
    <n v="1"/>
    <m/>
    <n v="0"/>
    <m/>
    <n v="0"/>
    <m/>
    <n v="1"/>
    <m/>
  </r>
  <r>
    <x v="388"/>
    <n v="45778"/>
    <x v="0"/>
    <x v="3"/>
    <x v="1"/>
    <x v="1"/>
    <x v="2"/>
    <n v="1"/>
    <n v="0"/>
    <n v="0"/>
    <n v="0"/>
    <x v="0"/>
    <n v="0"/>
    <n v="0"/>
    <m/>
    <n v="61"/>
    <m/>
    <n v="0"/>
    <m/>
    <n v="1"/>
    <m/>
    <n v="0"/>
    <m/>
    <n v="0"/>
    <m/>
    <n v="0"/>
    <m/>
  </r>
  <r>
    <x v="389"/>
    <n v="45660"/>
    <x v="0"/>
    <x v="3"/>
    <x v="1"/>
    <x v="2"/>
    <x v="1"/>
    <n v="1"/>
    <n v="0"/>
    <n v="0"/>
    <n v="0"/>
    <x v="0"/>
    <n v="0"/>
    <n v="0"/>
    <m/>
    <n v="49"/>
    <m/>
    <n v="0"/>
    <m/>
    <n v="1"/>
    <m/>
    <n v="0"/>
    <m/>
    <n v="0"/>
    <m/>
    <n v="0"/>
    <m/>
  </r>
  <r>
    <x v="390"/>
    <n v="45701"/>
    <x v="0"/>
    <x v="2"/>
    <x v="1"/>
    <x v="1"/>
    <x v="1"/>
    <n v="0"/>
    <n v="0"/>
    <n v="0"/>
    <n v="0"/>
    <x v="0"/>
    <n v="0"/>
    <n v="0"/>
    <m/>
    <n v="48.1"/>
    <m/>
    <n v="0"/>
    <m/>
    <n v="0"/>
    <m/>
    <n v="0"/>
    <m/>
    <n v="0"/>
    <m/>
    <n v="0"/>
    <m/>
  </r>
  <r>
    <x v="391"/>
    <n v="45671"/>
    <x v="0"/>
    <x v="3"/>
    <x v="0"/>
    <x v="1"/>
    <x v="1"/>
    <n v="0"/>
    <n v="0"/>
    <n v="0"/>
    <n v="0"/>
    <x v="0"/>
    <n v="2"/>
    <n v="0"/>
    <m/>
    <n v="46.3"/>
    <m/>
    <n v="0"/>
    <m/>
    <n v="0"/>
    <m/>
    <n v="0"/>
    <m/>
    <n v="0"/>
    <m/>
    <n v="2"/>
    <m/>
  </r>
  <r>
    <x v="392"/>
    <n v="45712"/>
    <x v="0"/>
    <x v="0"/>
    <x v="1"/>
    <x v="3"/>
    <x v="1"/>
    <n v="0"/>
    <n v="0"/>
    <n v="0"/>
    <n v="0"/>
    <x v="0"/>
    <n v="0"/>
    <n v="0"/>
    <m/>
    <n v="64"/>
    <m/>
    <n v="0"/>
    <m/>
    <n v="0"/>
    <m/>
    <n v="0"/>
    <m/>
    <n v="0"/>
    <m/>
    <n v="0"/>
    <m/>
  </r>
  <r>
    <x v="393"/>
    <n v="45793"/>
    <x v="0"/>
    <x v="1"/>
    <x v="0"/>
    <x v="1"/>
    <x v="0"/>
    <n v="1"/>
    <n v="1"/>
    <n v="0"/>
    <n v="0"/>
    <x v="0"/>
    <n v="0"/>
    <n v="0"/>
    <m/>
    <n v="56.2"/>
    <m/>
    <n v="0"/>
    <m/>
    <n v="1"/>
    <m/>
    <n v="1"/>
    <m/>
    <n v="0"/>
    <m/>
    <n v="0"/>
    <m/>
  </r>
  <r>
    <x v="394"/>
    <n v="45776"/>
    <x v="0"/>
    <x v="0"/>
    <x v="1"/>
    <x v="2"/>
    <x v="1"/>
    <n v="1"/>
    <n v="1"/>
    <n v="1"/>
    <n v="0"/>
    <x v="0"/>
    <n v="0"/>
    <n v="0"/>
    <m/>
    <n v="77.5"/>
    <m/>
    <n v="0"/>
    <m/>
    <n v="1"/>
    <m/>
    <n v="1"/>
    <m/>
    <n v="1"/>
    <m/>
    <n v="0"/>
    <m/>
  </r>
  <r>
    <x v="395"/>
    <n v="45777"/>
    <x v="0"/>
    <x v="3"/>
    <x v="0"/>
    <x v="0"/>
    <x v="0"/>
    <n v="1"/>
    <n v="0"/>
    <n v="0"/>
    <n v="0"/>
    <x v="0"/>
    <n v="0"/>
    <n v="0"/>
    <m/>
    <n v="59.9"/>
    <m/>
    <n v="0"/>
    <m/>
    <n v="1"/>
    <m/>
    <n v="0"/>
    <m/>
    <n v="0"/>
    <m/>
    <n v="0"/>
    <m/>
  </r>
  <r>
    <x v="396"/>
    <n v="45666"/>
    <x v="0"/>
    <x v="3"/>
    <x v="0"/>
    <x v="1"/>
    <x v="1"/>
    <n v="1"/>
    <n v="1"/>
    <n v="0"/>
    <n v="0"/>
    <x v="0"/>
    <n v="0"/>
    <n v="0"/>
    <m/>
    <n v="63"/>
    <m/>
    <n v="0"/>
    <m/>
    <n v="1"/>
    <m/>
    <n v="1"/>
    <m/>
    <n v="0"/>
    <m/>
    <n v="0"/>
    <m/>
  </r>
  <r>
    <x v="397"/>
    <n v="45772"/>
    <x v="0"/>
    <x v="3"/>
    <x v="1"/>
    <x v="1"/>
    <x v="1"/>
    <n v="1"/>
    <n v="1"/>
    <n v="0"/>
    <n v="0"/>
    <x v="0"/>
    <n v="0"/>
    <n v="0"/>
    <m/>
    <n v="76.5"/>
    <m/>
    <n v="0"/>
    <m/>
    <n v="1"/>
    <m/>
    <n v="1"/>
    <m/>
    <n v="0"/>
    <m/>
    <n v="0"/>
    <m/>
  </r>
  <r>
    <x v="398"/>
    <n v="45728"/>
    <x v="0"/>
    <x v="0"/>
    <x v="0"/>
    <x v="2"/>
    <x v="1"/>
    <n v="1"/>
    <n v="0"/>
    <n v="0"/>
    <n v="0"/>
    <x v="0"/>
    <n v="0"/>
    <n v="0"/>
    <m/>
    <n v="39.700000000000003"/>
    <m/>
    <n v="0"/>
    <m/>
    <n v="1"/>
    <m/>
    <n v="0"/>
    <m/>
    <n v="0"/>
    <m/>
    <n v="0"/>
    <m/>
  </r>
  <r>
    <x v="399"/>
    <n v="45736"/>
    <x v="0"/>
    <x v="0"/>
    <x v="1"/>
    <x v="1"/>
    <x v="1"/>
    <n v="1"/>
    <n v="1"/>
    <n v="0"/>
    <n v="0"/>
    <x v="0"/>
    <n v="0"/>
    <n v="0"/>
    <m/>
    <n v="80.2"/>
    <m/>
    <n v="0"/>
    <m/>
    <n v="1"/>
    <m/>
    <n v="1"/>
    <m/>
    <n v="0"/>
    <m/>
    <n v="0"/>
    <m/>
  </r>
  <r>
    <x v="400"/>
    <n v="45706"/>
    <x v="0"/>
    <x v="1"/>
    <x v="1"/>
    <x v="2"/>
    <x v="1"/>
    <n v="1"/>
    <n v="0"/>
    <n v="0"/>
    <n v="0"/>
    <x v="0"/>
    <n v="0"/>
    <n v="0"/>
    <m/>
    <n v="72.2"/>
    <m/>
    <n v="0"/>
    <m/>
    <n v="1"/>
    <m/>
    <n v="0"/>
    <m/>
    <n v="0"/>
    <m/>
    <n v="0"/>
    <m/>
  </r>
  <r>
    <x v="401"/>
    <n v="45679"/>
    <x v="0"/>
    <x v="0"/>
    <x v="1"/>
    <x v="4"/>
    <x v="0"/>
    <n v="0"/>
    <n v="0"/>
    <n v="0"/>
    <n v="0"/>
    <x v="0"/>
    <n v="0"/>
    <n v="0"/>
    <m/>
    <n v="56"/>
    <m/>
    <n v="0"/>
    <m/>
    <n v="0"/>
    <m/>
    <n v="0"/>
    <m/>
    <n v="0"/>
    <m/>
    <n v="0"/>
    <m/>
  </r>
  <r>
    <x v="402"/>
    <n v="45696"/>
    <x v="0"/>
    <x v="1"/>
    <x v="1"/>
    <x v="0"/>
    <x v="0"/>
    <n v="1"/>
    <n v="1"/>
    <n v="1"/>
    <n v="0"/>
    <x v="0"/>
    <n v="0"/>
    <n v="0"/>
    <m/>
    <n v="69.099999999999994"/>
    <m/>
    <n v="0"/>
    <m/>
    <n v="1"/>
    <m/>
    <n v="1"/>
    <m/>
    <n v="1"/>
    <m/>
    <n v="0"/>
    <m/>
  </r>
  <r>
    <x v="403"/>
    <n v="45677"/>
    <x v="0"/>
    <x v="0"/>
    <x v="1"/>
    <x v="0"/>
    <x v="2"/>
    <n v="0"/>
    <n v="0"/>
    <n v="0"/>
    <n v="0"/>
    <x v="0"/>
    <n v="1"/>
    <n v="0"/>
    <m/>
    <n v="70.599999999999994"/>
    <m/>
    <n v="0"/>
    <m/>
    <n v="0"/>
    <m/>
    <n v="0"/>
    <m/>
    <n v="0"/>
    <m/>
    <n v="1"/>
    <m/>
  </r>
  <r>
    <x v="404"/>
    <n v="45769"/>
    <x v="0"/>
    <x v="1"/>
    <x v="0"/>
    <x v="3"/>
    <x v="1"/>
    <n v="1"/>
    <n v="0"/>
    <n v="0"/>
    <n v="0"/>
    <x v="0"/>
    <n v="0"/>
    <n v="0"/>
    <m/>
    <n v="57.9"/>
    <m/>
    <n v="0"/>
    <m/>
    <n v="1"/>
    <m/>
    <n v="0"/>
    <m/>
    <n v="0"/>
    <m/>
    <n v="0"/>
    <m/>
  </r>
  <r>
    <x v="405"/>
    <n v="45679"/>
    <x v="0"/>
    <x v="2"/>
    <x v="1"/>
    <x v="1"/>
    <x v="0"/>
    <n v="1"/>
    <n v="1"/>
    <n v="0"/>
    <n v="0"/>
    <x v="0"/>
    <n v="0"/>
    <n v="0"/>
    <m/>
    <n v="41.4"/>
    <m/>
    <n v="0"/>
    <m/>
    <n v="1"/>
    <m/>
    <n v="1"/>
    <m/>
    <n v="0"/>
    <m/>
    <n v="0"/>
    <m/>
  </r>
  <r>
    <x v="406"/>
    <n v="45788"/>
    <x v="0"/>
    <x v="1"/>
    <x v="1"/>
    <x v="1"/>
    <x v="0"/>
    <n v="1"/>
    <n v="0"/>
    <n v="0"/>
    <n v="0"/>
    <x v="0"/>
    <n v="0"/>
    <n v="0"/>
    <m/>
    <n v="60.9"/>
    <m/>
    <n v="0"/>
    <m/>
    <n v="1"/>
    <m/>
    <n v="0"/>
    <m/>
    <n v="0"/>
    <m/>
    <n v="0"/>
    <m/>
  </r>
  <r>
    <x v="407"/>
    <n v="45694"/>
    <x v="0"/>
    <x v="3"/>
    <x v="1"/>
    <x v="1"/>
    <x v="0"/>
    <n v="0"/>
    <n v="0"/>
    <n v="0"/>
    <n v="0"/>
    <x v="0"/>
    <n v="1"/>
    <n v="0"/>
    <m/>
    <n v="63.8"/>
    <m/>
    <n v="0"/>
    <m/>
    <n v="0"/>
    <m/>
    <n v="0"/>
    <m/>
    <n v="0"/>
    <m/>
    <n v="1"/>
    <m/>
  </r>
  <r>
    <x v="408"/>
    <n v="45709"/>
    <x v="0"/>
    <x v="0"/>
    <x v="0"/>
    <x v="1"/>
    <x v="2"/>
    <n v="1"/>
    <n v="0"/>
    <n v="0"/>
    <n v="0"/>
    <x v="0"/>
    <n v="0"/>
    <n v="0"/>
    <m/>
    <n v="79.2"/>
    <m/>
    <n v="0"/>
    <m/>
    <n v="1"/>
    <m/>
    <n v="0"/>
    <m/>
    <n v="0"/>
    <m/>
    <n v="0"/>
    <m/>
  </r>
  <r>
    <x v="409"/>
    <n v="45670"/>
    <x v="0"/>
    <x v="1"/>
    <x v="1"/>
    <x v="0"/>
    <x v="2"/>
    <n v="1"/>
    <n v="1"/>
    <n v="1"/>
    <n v="0"/>
    <x v="0"/>
    <n v="0"/>
    <n v="0"/>
    <m/>
    <n v="53.3"/>
    <m/>
    <n v="0"/>
    <m/>
    <n v="1"/>
    <m/>
    <n v="1"/>
    <m/>
    <n v="1"/>
    <m/>
    <n v="0"/>
    <m/>
  </r>
  <r>
    <x v="410"/>
    <n v="45723"/>
    <x v="0"/>
    <x v="0"/>
    <x v="1"/>
    <x v="3"/>
    <x v="2"/>
    <n v="1"/>
    <n v="1"/>
    <n v="1"/>
    <n v="1"/>
    <x v="18"/>
    <n v="0"/>
    <n v="0"/>
    <n v="6"/>
    <n v="52.3"/>
    <m/>
    <n v="1"/>
    <m/>
    <n v="1"/>
    <m/>
    <n v="1"/>
    <m/>
    <n v="1"/>
    <m/>
    <n v="0"/>
    <m/>
  </r>
  <r>
    <x v="411"/>
    <n v="45714"/>
    <x v="0"/>
    <x v="1"/>
    <x v="0"/>
    <x v="1"/>
    <x v="0"/>
    <n v="1"/>
    <n v="1"/>
    <n v="0"/>
    <n v="0"/>
    <x v="0"/>
    <n v="0"/>
    <n v="0"/>
    <m/>
    <n v="62.4"/>
    <m/>
    <n v="0"/>
    <m/>
    <n v="1"/>
    <m/>
    <n v="1"/>
    <m/>
    <n v="0"/>
    <m/>
    <n v="0"/>
    <m/>
  </r>
  <r>
    <x v="412"/>
    <n v="45782"/>
    <x v="0"/>
    <x v="0"/>
    <x v="1"/>
    <x v="3"/>
    <x v="2"/>
    <n v="1"/>
    <n v="0"/>
    <n v="0"/>
    <n v="0"/>
    <x v="0"/>
    <n v="0"/>
    <n v="0"/>
    <m/>
    <n v="45.5"/>
    <m/>
    <n v="0"/>
    <m/>
    <n v="1"/>
    <m/>
    <n v="0"/>
    <m/>
    <n v="0"/>
    <m/>
    <n v="0"/>
    <m/>
  </r>
  <r>
    <x v="413"/>
    <n v="45665"/>
    <x v="0"/>
    <x v="2"/>
    <x v="0"/>
    <x v="1"/>
    <x v="0"/>
    <n v="0"/>
    <n v="0"/>
    <n v="0"/>
    <n v="0"/>
    <x v="0"/>
    <n v="1"/>
    <n v="0"/>
    <m/>
    <n v="72.599999999999994"/>
    <m/>
    <n v="0"/>
    <m/>
    <n v="0"/>
    <m/>
    <n v="0"/>
    <m/>
    <n v="0"/>
    <m/>
    <n v="1"/>
    <m/>
  </r>
  <r>
    <x v="414"/>
    <n v="45735"/>
    <x v="0"/>
    <x v="3"/>
    <x v="1"/>
    <x v="0"/>
    <x v="2"/>
    <n v="1"/>
    <n v="1"/>
    <n v="1"/>
    <n v="0"/>
    <x v="0"/>
    <n v="0"/>
    <n v="0"/>
    <m/>
    <n v="50.1"/>
    <m/>
    <n v="0"/>
    <m/>
    <n v="1"/>
    <m/>
    <n v="1"/>
    <m/>
    <n v="1"/>
    <m/>
    <n v="0"/>
    <m/>
  </r>
  <r>
    <x v="415"/>
    <n v="45687"/>
    <x v="0"/>
    <x v="2"/>
    <x v="0"/>
    <x v="2"/>
    <x v="1"/>
    <n v="1"/>
    <n v="1"/>
    <n v="1"/>
    <n v="0"/>
    <x v="0"/>
    <n v="2"/>
    <n v="0"/>
    <m/>
    <n v="58.1"/>
    <m/>
    <n v="0"/>
    <m/>
    <n v="1"/>
    <m/>
    <n v="1"/>
    <m/>
    <n v="1"/>
    <m/>
    <n v="2"/>
    <m/>
  </r>
  <r>
    <x v="416"/>
    <n v="45775"/>
    <x v="0"/>
    <x v="2"/>
    <x v="1"/>
    <x v="1"/>
    <x v="0"/>
    <n v="1"/>
    <n v="0"/>
    <n v="0"/>
    <n v="0"/>
    <x v="0"/>
    <n v="0"/>
    <n v="0"/>
    <m/>
    <n v="42.9"/>
    <m/>
    <n v="0"/>
    <m/>
    <n v="1"/>
    <m/>
    <n v="0"/>
    <m/>
    <n v="0"/>
    <m/>
    <n v="0"/>
    <m/>
  </r>
  <r>
    <x v="417"/>
    <n v="45723"/>
    <x v="0"/>
    <x v="0"/>
    <x v="1"/>
    <x v="3"/>
    <x v="0"/>
    <n v="0"/>
    <n v="0"/>
    <n v="0"/>
    <n v="0"/>
    <x v="0"/>
    <n v="0"/>
    <n v="0"/>
    <m/>
    <n v="69.7"/>
    <m/>
    <n v="0"/>
    <m/>
    <n v="0"/>
    <m/>
    <n v="0"/>
    <m/>
    <n v="0"/>
    <m/>
    <n v="0"/>
    <m/>
  </r>
  <r>
    <x v="418"/>
    <n v="45754"/>
    <x v="0"/>
    <x v="0"/>
    <x v="0"/>
    <x v="1"/>
    <x v="1"/>
    <n v="0"/>
    <n v="0"/>
    <n v="0"/>
    <n v="0"/>
    <x v="0"/>
    <n v="0"/>
    <n v="0"/>
    <m/>
    <n v="63.3"/>
    <m/>
    <n v="0"/>
    <m/>
    <n v="0"/>
    <m/>
    <n v="0"/>
    <m/>
    <n v="0"/>
    <m/>
    <n v="0"/>
    <m/>
  </r>
  <r>
    <x v="419"/>
    <n v="45785"/>
    <x v="0"/>
    <x v="0"/>
    <x v="0"/>
    <x v="1"/>
    <x v="2"/>
    <n v="1"/>
    <n v="0"/>
    <n v="0"/>
    <n v="0"/>
    <x v="0"/>
    <n v="0"/>
    <n v="0"/>
    <m/>
    <n v="71.2"/>
    <m/>
    <n v="0"/>
    <m/>
    <n v="1"/>
    <m/>
    <n v="0"/>
    <m/>
    <n v="0"/>
    <m/>
    <n v="0"/>
    <m/>
  </r>
  <r>
    <x v="420"/>
    <n v="45762"/>
    <x v="0"/>
    <x v="3"/>
    <x v="1"/>
    <x v="0"/>
    <x v="1"/>
    <n v="1"/>
    <n v="0"/>
    <n v="0"/>
    <n v="0"/>
    <x v="0"/>
    <n v="0"/>
    <n v="0"/>
    <m/>
    <n v="39.1"/>
    <m/>
    <n v="0"/>
    <m/>
    <n v="1"/>
    <m/>
    <n v="0"/>
    <m/>
    <n v="0"/>
    <m/>
    <n v="0"/>
    <m/>
  </r>
  <r>
    <x v="421"/>
    <n v="45767"/>
    <x v="0"/>
    <x v="2"/>
    <x v="0"/>
    <x v="4"/>
    <x v="1"/>
    <n v="1"/>
    <n v="0"/>
    <n v="0"/>
    <n v="0"/>
    <x v="0"/>
    <n v="0"/>
    <n v="0"/>
    <m/>
    <n v="42.6"/>
    <m/>
    <n v="0"/>
    <m/>
    <n v="1"/>
    <m/>
    <n v="0"/>
    <m/>
    <n v="0"/>
    <m/>
    <n v="0"/>
    <m/>
  </r>
  <r>
    <x v="422"/>
    <n v="45807"/>
    <x v="0"/>
    <x v="3"/>
    <x v="2"/>
    <x v="1"/>
    <x v="1"/>
    <n v="0"/>
    <n v="0"/>
    <n v="0"/>
    <n v="0"/>
    <x v="0"/>
    <n v="0"/>
    <n v="0"/>
    <m/>
    <n v="74.400000000000006"/>
    <m/>
    <n v="0"/>
    <m/>
    <n v="0"/>
    <m/>
    <n v="0"/>
    <m/>
    <n v="0"/>
    <m/>
    <n v="0"/>
    <m/>
  </r>
  <r>
    <x v="423"/>
    <n v="45701"/>
    <x v="0"/>
    <x v="1"/>
    <x v="1"/>
    <x v="3"/>
    <x v="1"/>
    <n v="0"/>
    <n v="0"/>
    <n v="0"/>
    <n v="0"/>
    <x v="0"/>
    <n v="0"/>
    <n v="0"/>
    <m/>
    <n v="55.6"/>
    <m/>
    <n v="0"/>
    <m/>
    <n v="0"/>
    <m/>
    <n v="0"/>
    <m/>
    <n v="0"/>
    <m/>
    <n v="0"/>
    <m/>
  </r>
  <r>
    <x v="424"/>
    <n v="45775"/>
    <x v="0"/>
    <x v="1"/>
    <x v="1"/>
    <x v="4"/>
    <x v="1"/>
    <n v="1"/>
    <n v="0"/>
    <n v="0"/>
    <n v="0"/>
    <x v="0"/>
    <n v="0"/>
    <n v="0"/>
    <m/>
    <n v="35.799999999999997"/>
    <m/>
    <n v="0"/>
    <m/>
    <n v="1"/>
    <m/>
    <n v="0"/>
    <m/>
    <n v="0"/>
    <m/>
    <n v="0"/>
    <m/>
  </r>
  <r>
    <x v="425"/>
    <n v="45700"/>
    <x v="0"/>
    <x v="0"/>
    <x v="1"/>
    <x v="2"/>
    <x v="0"/>
    <n v="1"/>
    <n v="0"/>
    <n v="0"/>
    <n v="0"/>
    <x v="0"/>
    <n v="1"/>
    <n v="0"/>
    <m/>
    <n v="28.2"/>
    <m/>
    <n v="0"/>
    <m/>
    <n v="1"/>
    <m/>
    <n v="0"/>
    <m/>
    <n v="0"/>
    <m/>
    <n v="1"/>
    <m/>
  </r>
  <r>
    <x v="426"/>
    <n v="45700"/>
    <x v="0"/>
    <x v="2"/>
    <x v="1"/>
    <x v="1"/>
    <x v="1"/>
    <n v="0"/>
    <n v="0"/>
    <n v="0"/>
    <n v="0"/>
    <x v="0"/>
    <n v="2"/>
    <n v="0"/>
    <m/>
    <n v="44.4"/>
    <m/>
    <n v="0"/>
    <m/>
    <n v="0"/>
    <m/>
    <n v="0"/>
    <m/>
    <n v="0"/>
    <m/>
    <n v="2"/>
    <m/>
  </r>
  <r>
    <x v="427"/>
    <n v="45743"/>
    <x v="0"/>
    <x v="0"/>
    <x v="1"/>
    <x v="0"/>
    <x v="2"/>
    <n v="1"/>
    <n v="0"/>
    <n v="0"/>
    <n v="0"/>
    <x v="0"/>
    <n v="0"/>
    <n v="0"/>
    <m/>
    <n v="49.9"/>
    <m/>
    <n v="0"/>
    <m/>
    <n v="1"/>
    <m/>
    <n v="0"/>
    <m/>
    <n v="0"/>
    <m/>
    <n v="0"/>
    <m/>
  </r>
  <r>
    <x v="428"/>
    <n v="45759"/>
    <x v="0"/>
    <x v="3"/>
    <x v="0"/>
    <x v="1"/>
    <x v="1"/>
    <n v="0"/>
    <n v="0"/>
    <n v="0"/>
    <n v="0"/>
    <x v="0"/>
    <n v="0"/>
    <n v="0"/>
    <m/>
    <n v="40.4"/>
    <m/>
    <n v="0"/>
    <m/>
    <n v="0"/>
    <m/>
    <n v="0"/>
    <m/>
    <n v="0"/>
    <m/>
    <n v="0"/>
    <m/>
  </r>
  <r>
    <x v="429"/>
    <n v="45687"/>
    <x v="0"/>
    <x v="1"/>
    <x v="1"/>
    <x v="4"/>
    <x v="1"/>
    <n v="0"/>
    <n v="0"/>
    <n v="0"/>
    <n v="0"/>
    <x v="0"/>
    <n v="0"/>
    <n v="0"/>
    <m/>
    <n v="60.4"/>
    <m/>
    <n v="0"/>
    <m/>
    <n v="0"/>
    <m/>
    <n v="0"/>
    <m/>
    <n v="0"/>
    <m/>
    <n v="0"/>
    <m/>
  </r>
  <r>
    <x v="430"/>
    <n v="45805"/>
    <x v="0"/>
    <x v="1"/>
    <x v="1"/>
    <x v="4"/>
    <x v="2"/>
    <n v="0"/>
    <n v="0"/>
    <n v="0"/>
    <n v="0"/>
    <x v="0"/>
    <n v="1"/>
    <n v="0"/>
    <m/>
    <n v="52.4"/>
    <m/>
    <n v="0"/>
    <m/>
    <n v="0"/>
    <m/>
    <n v="0"/>
    <m/>
    <n v="0"/>
    <m/>
    <n v="1"/>
    <m/>
  </r>
  <r>
    <x v="431"/>
    <n v="45778"/>
    <x v="0"/>
    <x v="3"/>
    <x v="1"/>
    <x v="1"/>
    <x v="0"/>
    <n v="1"/>
    <n v="1"/>
    <n v="0"/>
    <n v="0"/>
    <x v="0"/>
    <n v="0"/>
    <n v="0"/>
    <m/>
    <n v="48.8"/>
    <m/>
    <n v="0"/>
    <m/>
    <n v="1"/>
    <m/>
    <n v="1"/>
    <m/>
    <n v="0"/>
    <m/>
    <n v="0"/>
    <m/>
  </r>
  <r>
    <x v="432"/>
    <n v="45691"/>
    <x v="0"/>
    <x v="0"/>
    <x v="2"/>
    <x v="0"/>
    <x v="0"/>
    <n v="1"/>
    <n v="0"/>
    <n v="0"/>
    <n v="0"/>
    <x v="0"/>
    <n v="0"/>
    <n v="0"/>
    <m/>
    <n v="60.9"/>
    <m/>
    <n v="0"/>
    <m/>
    <n v="1"/>
    <m/>
    <n v="0"/>
    <m/>
    <n v="0"/>
    <m/>
    <n v="0"/>
    <m/>
  </r>
  <r>
    <x v="433"/>
    <n v="45667"/>
    <x v="0"/>
    <x v="3"/>
    <x v="0"/>
    <x v="4"/>
    <x v="0"/>
    <n v="0"/>
    <n v="0"/>
    <n v="0"/>
    <n v="0"/>
    <x v="0"/>
    <n v="0"/>
    <n v="0"/>
    <m/>
    <n v="68.2"/>
    <m/>
    <n v="0"/>
    <m/>
    <n v="0"/>
    <m/>
    <n v="0"/>
    <m/>
    <n v="0"/>
    <m/>
    <n v="0"/>
    <m/>
  </r>
  <r>
    <x v="434"/>
    <n v="45779"/>
    <x v="0"/>
    <x v="0"/>
    <x v="0"/>
    <x v="1"/>
    <x v="0"/>
    <n v="1"/>
    <n v="0"/>
    <n v="0"/>
    <n v="0"/>
    <x v="0"/>
    <n v="0"/>
    <n v="0"/>
    <m/>
    <n v="65.599999999999994"/>
    <m/>
    <n v="0"/>
    <m/>
    <n v="1"/>
    <m/>
    <n v="0"/>
    <m/>
    <n v="0"/>
    <m/>
    <n v="0"/>
    <m/>
  </r>
  <r>
    <x v="435"/>
    <n v="45803"/>
    <x v="0"/>
    <x v="0"/>
    <x v="0"/>
    <x v="1"/>
    <x v="0"/>
    <n v="1"/>
    <n v="0"/>
    <n v="0"/>
    <n v="0"/>
    <x v="0"/>
    <n v="0"/>
    <n v="0"/>
    <m/>
    <n v="65.400000000000006"/>
    <m/>
    <n v="0"/>
    <m/>
    <n v="1"/>
    <m/>
    <n v="0"/>
    <m/>
    <n v="0"/>
    <m/>
    <n v="0"/>
    <m/>
  </r>
  <r>
    <x v="436"/>
    <n v="45669"/>
    <x v="0"/>
    <x v="1"/>
    <x v="1"/>
    <x v="1"/>
    <x v="0"/>
    <n v="1"/>
    <n v="0"/>
    <n v="0"/>
    <n v="0"/>
    <x v="0"/>
    <n v="0"/>
    <n v="0"/>
    <m/>
    <n v="78.900000000000006"/>
    <m/>
    <n v="0"/>
    <m/>
    <n v="1"/>
    <m/>
    <n v="0"/>
    <m/>
    <n v="0"/>
    <m/>
    <n v="0"/>
    <m/>
  </r>
  <r>
    <x v="437"/>
    <n v="45804"/>
    <x v="0"/>
    <x v="2"/>
    <x v="1"/>
    <x v="2"/>
    <x v="0"/>
    <n v="1"/>
    <n v="1"/>
    <n v="1"/>
    <n v="0"/>
    <x v="0"/>
    <n v="0"/>
    <n v="0"/>
    <m/>
    <n v="78.3"/>
    <m/>
    <n v="0"/>
    <m/>
    <n v="1"/>
    <m/>
    <n v="1"/>
    <m/>
    <n v="1"/>
    <m/>
    <n v="0"/>
    <m/>
  </r>
  <r>
    <x v="438"/>
    <n v="45799"/>
    <x v="0"/>
    <x v="1"/>
    <x v="0"/>
    <x v="0"/>
    <x v="0"/>
    <n v="0"/>
    <n v="0"/>
    <n v="0"/>
    <n v="0"/>
    <x v="0"/>
    <n v="0"/>
    <n v="0"/>
    <m/>
    <n v="49.2"/>
    <m/>
    <n v="0"/>
    <m/>
    <n v="0"/>
    <m/>
    <n v="0"/>
    <m/>
    <n v="0"/>
    <m/>
    <n v="0"/>
    <m/>
  </r>
  <r>
    <x v="439"/>
    <n v="45748"/>
    <x v="0"/>
    <x v="2"/>
    <x v="1"/>
    <x v="4"/>
    <x v="2"/>
    <n v="1"/>
    <n v="1"/>
    <n v="1"/>
    <n v="1"/>
    <x v="19"/>
    <n v="0"/>
    <n v="0"/>
    <n v="9"/>
    <n v="32.200000000000003"/>
    <m/>
    <n v="1"/>
    <m/>
    <n v="1"/>
    <m/>
    <n v="1"/>
    <m/>
    <n v="1"/>
    <m/>
    <n v="0"/>
    <m/>
  </r>
  <r>
    <x v="440"/>
    <n v="45679"/>
    <x v="0"/>
    <x v="0"/>
    <x v="1"/>
    <x v="2"/>
    <x v="0"/>
    <n v="1"/>
    <n v="1"/>
    <n v="1"/>
    <n v="0"/>
    <x v="0"/>
    <n v="0"/>
    <n v="0"/>
    <m/>
    <n v="46.3"/>
    <m/>
    <n v="0"/>
    <m/>
    <n v="1"/>
    <m/>
    <n v="1"/>
    <m/>
    <n v="1"/>
    <m/>
    <n v="0"/>
    <m/>
  </r>
  <r>
    <x v="441"/>
    <n v="45801"/>
    <x v="0"/>
    <x v="2"/>
    <x v="1"/>
    <x v="2"/>
    <x v="0"/>
    <n v="1"/>
    <n v="0"/>
    <n v="0"/>
    <n v="0"/>
    <x v="0"/>
    <n v="0"/>
    <n v="0"/>
    <m/>
    <n v="55.7"/>
    <m/>
    <n v="0"/>
    <m/>
    <n v="1"/>
    <m/>
    <n v="0"/>
    <m/>
    <n v="0"/>
    <m/>
    <n v="0"/>
    <m/>
  </r>
  <r>
    <x v="442"/>
    <n v="45772"/>
    <x v="0"/>
    <x v="3"/>
    <x v="1"/>
    <x v="4"/>
    <x v="1"/>
    <n v="1"/>
    <n v="0"/>
    <n v="0"/>
    <n v="0"/>
    <x v="0"/>
    <n v="0"/>
    <n v="0"/>
    <m/>
    <n v="44.5"/>
    <m/>
    <n v="0"/>
    <m/>
    <n v="1"/>
    <m/>
    <n v="0"/>
    <m/>
    <n v="0"/>
    <m/>
    <n v="0"/>
    <m/>
  </r>
  <r>
    <x v="443"/>
    <n v="45759"/>
    <x v="0"/>
    <x v="1"/>
    <x v="0"/>
    <x v="3"/>
    <x v="1"/>
    <n v="1"/>
    <n v="1"/>
    <n v="1"/>
    <n v="0"/>
    <x v="0"/>
    <n v="1"/>
    <n v="0"/>
    <m/>
    <n v="47.9"/>
    <m/>
    <n v="0"/>
    <m/>
    <n v="1"/>
    <m/>
    <n v="1"/>
    <m/>
    <n v="1"/>
    <m/>
    <n v="1"/>
    <m/>
  </r>
  <r>
    <x v="444"/>
    <n v="45770"/>
    <x v="0"/>
    <x v="3"/>
    <x v="1"/>
    <x v="1"/>
    <x v="2"/>
    <n v="1"/>
    <n v="0"/>
    <n v="0"/>
    <n v="0"/>
    <x v="0"/>
    <n v="0"/>
    <n v="0"/>
    <m/>
    <n v="43.9"/>
    <m/>
    <n v="0"/>
    <m/>
    <n v="1"/>
    <m/>
    <n v="0"/>
    <m/>
    <n v="0"/>
    <m/>
    <n v="0"/>
    <m/>
  </r>
  <r>
    <x v="445"/>
    <n v="45746"/>
    <x v="0"/>
    <x v="0"/>
    <x v="0"/>
    <x v="3"/>
    <x v="1"/>
    <n v="1"/>
    <n v="1"/>
    <n v="1"/>
    <n v="0"/>
    <x v="0"/>
    <n v="1"/>
    <n v="0"/>
    <m/>
    <n v="67.7"/>
    <m/>
    <n v="0"/>
    <m/>
    <n v="1"/>
    <m/>
    <n v="1"/>
    <m/>
    <n v="1"/>
    <m/>
    <n v="1"/>
    <m/>
  </r>
  <r>
    <x v="446"/>
    <n v="45675"/>
    <x v="0"/>
    <x v="2"/>
    <x v="1"/>
    <x v="3"/>
    <x v="0"/>
    <n v="0"/>
    <n v="0"/>
    <n v="0"/>
    <n v="0"/>
    <x v="0"/>
    <n v="0"/>
    <n v="0"/>
    <m/>
    <n v="43.7"/>
    <m/>
    <n v="0"/>
    <m/>
    <n v="0"/>
    <m/>
    <n v="0"/>
    <m/>
    <n v="0"/>
    <m/>
    <n v="0"/>
    <m/>
  </r>
  <r>
    <x v="447"/>
    <n v="45756"/>
    <x v="0"/>
    <x v="2"/>
    <x v="1"/>
    <x v="1"/>
    <x v="1"/>
    <n v="1"/>
    <n v="0"/>
    <n v="0"/>
    <n v="0"/>
    <x v="0"/>
    <n v="0"/>
    <n v="0"/>
    <m/>
    <n v="68.8"/>
    <m/>
    <n v="0"/>
    <m/>
    <n v="1"/>
    <m/>
    <n v="0"/>
    <m/>
    <n v="0"/>
    <m/>
    <n v="0"/>
    <m/>
  </r>
  <r>
    <x v="448"/>
    <n v="45668"/>
    <x v="0"/>
    <x v="1"/>
    <x v="1"/>
    <x v="1"/>
    <x v="1"/>
    <n v="1"/>
    <n v="1"/>
    <n v="1"/>
    <n v="0"/>
    <x v="0"/>
    <n v="0"/>
    <n v="0"/>
    <m/>
    <n v="59.2"/>
    <m/>
    <n v="0"/>
    <m/>
    <n v="1"/>
    <m/>
    <n v="1"/>
    <m/>
    <n v="1"/>
    <m/>
    <n v="0"/>
    <m/>
  </r>
  <r>
    <x v="449"/>
    <n v="45721"/>
    <x v="0"/>
    <x v="2"/>
    <x v="1"/>
    <x v="2"/>
    <x v="1"/>
    <n v="1"/>
    <n v="0"/>
    <n v="0"/>
    <n v="0"/>
    <x v="0"/>
    <n v="0"/>
    <n v="0"/>
    <m/>
    <n v="48.6"/>
    <m/>
    <n v="0"/>
    <m/>
    <n v="1"/>
    <m/>
    <n v="0"/>
    <m/>
    <n v="0"/>
    <m/>
    <n v="0"/>
    <m/>
  </r>
  <r>
    <x v="450"/>
    <n v="45705"/>
    <x v="0"/>
    <x v="0"/>
    <x v="2"/>
    <x v="4"/>
    <x v="1"/>
    <n v="1"/>
    <n v="1"/>
    <n v="1"/>
    <n v="0"/>
    <x v="0"/>
    <n v="0"/>
    <n v="0"/>
    <m/>
    <n v="56.9"/>
    <m/>
    <n v="0"/>
    <m/>
    <n v="1"/>
    <m/>
    <n v="1"/>
    <m/>
    <n v="1"/>
    <m/>
    <n v="0"/>
    <m/>
  </r>
  <r>
    <x v="451"/>
    <n v="45784"/>
    <x v="0"/>
    <x v="0"/>
    <x v="0"/>
    <x v="2"/>
    <x v="1"/>
    <n v="0"/>
    <n v="0"/>
    <n v="0"/>
    <n v="0"/>
    <x v="0"/>
    <n v="0"/>
    <n v="0"/>
    <m/>
    <n v="55.8"/>
    <m/>
    <n v="0"/>
    <m/>
    <n v="0"/>
    <m/>
    <n v="0"/>
    <m/>
    <n v="0"/>
    <m/>
    <n v="0"/>
    <m/>
  </r>
  <r>
    <x v="452"/>
    <n v="45757"/>
    <x v="0"/>
    <x v="2"/>
    <x v="1"/>
    <x v="2"/>
    <x v="2"/>
    <n v="0"/>
    <n v="0"/>
    <n v="0"/>
    <n v="0"/>
    <x v="0"/>
    <n v="0"/>
    <n v="0"/>
    <m/>
    <n v="63.3"/>
    <m/>
    <n v="0"/>
    <m/>
    <n v="0"/>
    <m/>
    <n v="0"/>
    <m/>
    <n v="0"/>
    <m/>
    <n v="0"/>
    <m/>
  </r>
  <r>
    <x v="453"/>
    <n v="45768"/>
    <x v="0"/>
    <x v="0"/>
    <x v="1"/>
    <x v="4"/>
    <x v="1"/>
    <n v="1"/>
    <n v="0"/>
    <n v="0"/>
    <n v="0"/>
    <x v="0"/>
    <n v="0"/>
    <n v="0"/>
    <m/>
    <n v="52.2"/>
    <m/>
    <n v="0"/>
    <m/>
    <n v="1"/>
    <m/>
    <n v="0"/>
    <m/>
    <n v="0"/>
    <m/>
    <n v="0"/>
    <m/>
  </r>
  <r>
    <x v="454"/>
    <n v="45713"/>
    <x v="0"/>
    <x v="3"/>
    <x v="2"/>
    <x v="5"/>
    <x v="1"/>
    <n v="0"/>
    <n v="0"/>
    <n v="0"/>
    <n v="0"/>
    <x v="0"/>
    <n v="0"/>
    <n v="0"/>
    <m/>
    <n v="51.5"/>
    <m/>
    <n v="0"/>
    <m/>
    <n v="0"/>
    <m/>
    <n v="0"/>
    <m/>
    <n v="0"/>
    <m/>
    <n v="0"/>
    <m/>
  </r>
  <r>
    <x v="455"/>
    <n v="45791"/>
    <x v="0"/>
    <x v="2"/>
    <x v="0"/>
    <x v="1"/>
    <x v="1"/>
    <n v="0"/>
    <n v="0"/>
    <n v="0"/>
    <n v="0"/>
    <x v="0"/>
    <n v="0"/>
    <n v="0"/>
    <m/>
    <n v="50.3"/>
    <m/>
    <n v="0"/>
    <m/>
    <n v="0"/>
    <m/>
    <n v="0"/>
    <m/>
    <n v="0"/>
    <m/>
    <n v="0"/>
    <m/>
  </r>
  <r>
    <x v="456"/>
    <n v="45726"/>
    <x v="0"/>
    <x v="0"/>
    <x v="1"/>
    <x v="0"/>
    <x v="0"/>
    <n v="1"/>
    <n v="0"/>
    <n v="0"/>
    <n v="0"/>
    <x v="0"/>
    <n v="1"/>
    <n v="0"/>
    <m/>
    <n v="35.4"/>
    <m/>
    <n v="0"/>
    <m/>
    <n v="1"/>
    <m/>
    <n v="0"/>
    <m/>
    <n v="0"/>
    <m/>
    <n v="1"/>
    <m/>
  </r>
  <r>
    <x v="457"/>
    <n v="45688"/>
    <x v="0"/>
    <x v="1"/>
    <x v="0"/>
    <x v="1"/>
    <x v="2"/>
    <n v="1"/>
    <n v="0"/>
    <n v="0"/>
    <n v="0"/>
    <x v="0"/>
    <n v="1"/>
    <n v="0"/>
    <m/>
    <n v="54.1"/>
    <m/>
    <n v="0"/>
    <m/>
    <n v="1"/>
    <m/>
    <n v="0"/>
    <m/>
    <n v="0"/>
    <m/>
    <n v="1"/>
    <m/>
  </r>
  <r>
    <x v="458"/>
    <n v="45674"/>
    <x v="0"/>
    <x v="3"/>
    <x v="1"/>
    <x v="1"/>
    <x v="2"/>
    <n v="1"/>
    <n v="0"/>
    <n v="0"/>
    <n v="0"/>
    <x v="0"/>
    <n v="0"/>
    <n v="0"/>
    <m/>
    <n v="56.2"/>
    <m/>
    <n v="0"/>
    <m/>
    <n v="1"/>
    <m/>
    <n v="0"/>
    <m/>
    <n v="0"/>
    <m/>
    <n v="0"/>
    <m/>
  </r>
  <r>
    <x v="459"/>
    <n v="45728"/>
    <x v="0"/>
    <x v="3"/>
    <x v="1"/>
    <x v="2"/>
    <x v="1"/>
    <n v="0"/>
    <n v="0"/>
    <n v="0"/>
    <n v="0"/>
    <x v="0"/>
    <n v="3"/>
    <n v="0"/>
    <m/>
    <n v="43.7"/>
    <m/>
    <n v="0"/>
    <m/>
    <n v="0"/>
    <m/>
    <n v="0"/>
    <m/>
    <n v="0"/>
    <m/>
    <n v="3"/>
    <m/>
  </r>
  <r>
    <x v="460"/>
    <n v="45716"/>
    <x v="0"/>
    <x v="1"/>
    <x v="0"/>
    <x v="1"/>
    <x v="2"/>
    <n v="1"/>
    <n v="1"/>
    <n v="0"/>
    <n v="0"/>
    <x v="0"/>
    <n v="0"/>
    <n v="0"/>
    <m/>
    <n v="51.3"/>
    <m/>
    <n v="0"/>
    <m/>
    <n v="1"/>
    <m/>
    <n v="1"/>
    <m/>
    <n v="0"/>
    <m/>
    <n v="0"/>
    <m/>
  </r>
  <r>
    <x v="461"/>
    <n v="45796"/>
    <x v="0"/>
    <x v="0"/>
    <x v="3"/>
    <x v="1"/>
    <x v="0"/>
    <n v="1"/>
    <n v="0"/>
    <n v="0"/>
    <n v="0"/>
    <x v="0"/>
    <n v="0"/>
    <n v="0"/>
    <m/>
    <n v="50.5"/>
    <m/>
    <n v="0"/>
    <m/>
    <n v="1"/>
    <m/>
    <n v="0"/>
    <m/>
    <n v="0"/>
    <m/>
    <n v="0"/>
    <m/>
  </r>
  <r>
    <x v="462"/>
    <n v="45711"/>
    <x v="0"/>
    <x v="0"/>
    <x v="1"/>
    <x v="3"/>
    <x v="0"/>
    <n v="1"/>
    <n v="0"/>
    <n v="0"/>
    <n v="0"/>
    <x v="0"/>
    <n v="0"/>
    <n v="0"/>
    <m/>
    <n v="57.3"/>
    <m/>
    <n v="0"/>
    <m/>
    <n v="1"/>
    <m/>
    <n v="0"/>
    <m/>
    <n v="0"/>
    <m/>
    <n v="0"/>
    <m/>
  </r>
  <r>
    <x v="463"/>
    <n v="45708"/>
    <x v="0"/>
    <x v="1"/>
    <x v="0"/>
    <x v="1"/>
    <x v="1"/>
    <n v="1"/>
    <n v="1"/>
    <n v="1"/>
    <n v="0"/>
    <x v="0"/>
    <n v="0"/>
    <n v="0"/>
    <m/>
    <n v="58.4"/>
    <m/>
    <n v="0"/>
    <m/>
    <n v="1"/>
    <m/>
    <n v="1"/>
    <m/>
    <n v="1"/>
    <m/>
    <n v="0"/>
    <m/>
  </r>
  <r>
    <x v="464"/>
    <n v="45759"/>
    <x v="0"/>
    <x v="0"/>
    <x v="1"/>
    <x v="5"/>
    <x v="1"/>
    <n v="0"/>
    <n v="0"/>
    <n v="0"/>
    <n v="0"/>
    <x v="0"/>
    <n v="0"/>
    <n v="0"/>
    <m/>
    <n v="56.5"/>
    <m/>
    <n v="0"/>
    <m/>
    <n v="0"/>
    <m/>
    <n v="0"/>
    <m/>
    <n v="0"/>
    <m/>
    <n v="0"/>
    <m/>
  </r>
  <r>
    <x v="465"/>
    <n v="45665"/>
    <x v="0"/>
    <x v="1"/>
    <x v="1"/>
    <x v="0"/>
    <x v="1"/>
    <n v="0"/>
    <n v="0"/>
    <n v="0"/>
    <n v="0"/>
    <x v="0"/>
    <n v="0"/>
    <n v="0"/>
    <m/>
    <n v="69.599999999999994"/>
    <m/>
    <n v="0"/>
    <m/>
    <n v="0"/>
    <m/>
    <n v="0"/>
    <m/>
    <n v="0"/>
    <m/>
    <n v="0"/>
    <m/>
  </r>
  <r>
    <x v="466"/>
    <n v="45701"/>
    <x v="0"/>
    <x v="1"/>
    <x v="1"/>
    <x v="1"/>
    <x v="0"/>
    <n v="0"/>
    <n v="0"/>
    <n v="0"/>
    <n v="0"/>
    <x v="0"/>
    <n v="0"/>
    <n v="0"/>
    <m/>
    <n v="6.2"/>
    <m/>
    <n v="0"/>
    <m/>
    <n v="0"/>
    <m/>
    <n v="0"/>
    <m/>
    <n v="0"/>
    <m/>
    <n v="0"/>
    <m/>
  </r>
  <r>
    <x v="467"/>
    <n v="45798"/>
    <x v="0"/>
    <x v="2"/>
    <x v="0"/>
    <x v="0"/>
    <x v="1"/>
    <n v="1"/>
    <n v="1"/>
    <n v="1"/>
    <n v="0"/>
    <x v="0"/>
    <n v="0"/>
    <n v="0"/>
    <m/>
    <n v="54.3"/>
    <m/>
    <n v="0"/>
    <m/>
    <n v="1"/>
    <m/>
    <n v="1"/>
    <m/>
    <n v="1"/>
    <m/>
    <n v="0"/>
    <m/>
  </r>
  <r>
    <x v="468"/>
    <n v="45807"/>
    <x v="0"/>
    <x v="0"/>
    <x v="1"/>
    <x v="1"/>
    <x v="0"/>
    <n v="0"/>
    <n v="0"/>
    <n v="0"/>
    <n v="0"/>
    <x v="0"/>
    <n v="0"/>
    <n v="0"/>
    <m/>
    <n v="59.8"/>
    <m/>
    <n v="0"/>
    <m/>
    <n v="0"/>
    <m/>
    <n v="0"/>
    <m/>
    <n v="0"/>
    <m/>
    <n v="0"/>
    <m/>
  </r>
  <r>
    <x v="469"/>
    <n v="45797"/>
    <x v="0"/>
    <x v="1"/>
    <x v="1"/>
    <x v="2"/>
    <x v="1"/>
    <n v="0"/>
    <n v="0"/>
    <n v="0"/>
    <n v="0"/>
    <x v="0"/>
    <n v="0"/>
    <n v="0"/>
    <m/>
    <n v="58.9"/>
    <m/>
    <n v="0"/>
    <m/>
    <n v="0"/>
    <m/>
    <n v="0"/>
    <m/>
    <n v="0"/>
    <m/>
    <n v="0"/>
    <m/>
  </r>
  <r>
    <x v="470"/>
    <n v="45666"/>
    <x v="0"/>
    <x v="2"/>
    <x v="0"/>
    <x v="1"/>
    <x v="1"/>
    <n v="0"/>
    <n v="0"/>
    <n v="0"/>
    <n v="0"/>
    <x v="0"/>
    <n v="1"/>
    <n v="0"/>
    <m/>
    <n v="52.9"/>
    <m/>
    <n v="0"/>
    <m/>
    <n v="0"/>
    <m/>
    <n v="0"/>
    <m/>
    <n v="0"/>
    <m/>
    <n v="1"/>
    <m/>
  </r>
  <r>
    <x v="471"/>
    <n v="45723"/>
    <x v="0"/>
    <x v="1"/>
    <x v="1"/>
    <x v="1"/>
    <x v="1"/>
    <n v="0"/>
    <n v="0"/>
    <n v="0"/>
    <n v="0"/>
    <x v="0"/>
    <n v="0"/>
    <n v="0"/>
    <m/>
    <n v="67.8"/>
    <m/>
    <n v="0"/>
    <m/>
    <n v="0"/>
    <m/>
    <n v="0"/>
    <m/>
    <n v="0"/>
    <m/>
    <n v="0"/>
    <m/>
  </r>
  <r>
    <x v="472"/>
    <n v="45770"/>
    <x v="0"/>
    <x v="3"/>
    <x v="1"/>
    <x v="4"/>
    <x v="1"/>
    <n v="0"/>
    <n v="0"/>
    <n v="0"/>
    <n v="0"/>
    <x v="0"/>
    <n v="0"/>
    <n v="0"/>
    <m/>
    <n v="48.7"/>
    <m/>
    <n v="0"/>
    <m/>
    <n v="0"/>
    <m/>
    <n v="0"/>
    <m/>
    <n v="0"/>
    <m/>
    <n v="0"/>
    <m/>
  </r>
  <r>
    <x v="473"/>
    <n v="45724"/>
    <x v="0"/>
    <x v="2"/>
    <x v="1"/>
    <x v="1"/>
    <x v="0"/>
    <n v="0"/>
    <n v="0"/>
    <n v="0"/>
    <n v="0"/>
    <x v="0"/>
    <n v="0"/>
    <n v="0"/>
    <m/>
    <n v="59"/>
    <m/>
    <n v="0"/>
    <m/>
    <n v="0"/>
    <m/>
    <n v="0"/>
    <m/>
    <n v="0"/>
    <m/>
    <n v="0"/>
    <m/>
  </r>
  <r>
    <x v="474"/>
    <n v="45702"/>
    <x v="0"/>
    <x v="3"/>
    <x v="1"/>
    <x v="3"/>
    <x v="1"/>
    <n v="0"/>
    <n v="0"/>
    <n v="0"/>
    <n v="0"/>
    <x v="0"/>
    <n v="0"/>
    <n v="0"/>
    <m/>
    <n v="63.2"/>
    <m/>
    <n v="0"/>
    <m/>
    <n v="0"/>
    <m/>
    <n v="0"/>
    <m/>
    <n v="0"/>
    <m/>
    <n v="0"/>
    <m/>
  </r>
  <r>
    <x v="475"/>
    <n v="45794"/>
    <x v="0"/>
    <x v="1"/>
    <x v="1"/>
    <x v="3"/>
    <x v="0"/>
    <n v="1"/>
    <n v="0"/>
    <n v="0"/>
    <n v="0"/>
    <x v="0"/>
    <n v="0"/>
    <n v="0"/>
    <m/>
    <n v="68.7"/>
    <m/>
    <n v="0"/>
    <m/>
    <n v="1"/>
    <m/>
    <n v="0"/>
    <m/>
    <n v="0"/>
    <m/>
    <n v="0"/>
    <m/>
  </r>
  <r>
    <x v="476"/>
    <n v="45772"/>
    <x v="0"/>
    <x v="3"/>
    <x v="1"/>
    <x v="3"/>
    <x v="1"/>
    <n v="0"/>
    <n v="0"/>
    <n v="0"/>
    <n v="0"/>
    <x v="0"/>
    <n v="0"/>
    <n v="0"/>
    <m/>
    <n v="52.1"/>
    <m/>
    <n v="0"/>
    <m/>
    <n v="0"/>
    <m/>
    <n v="0"/>
    <m/>
    <n v="0"/>
    <m/>
    <n v="0"/>
    <m/>
  </r>
  <r>
    <x v="477"/>
    <n v="45720"/>
    <x v="0"/>
    <x v="3"/>
    <x v="0"/>
    <x v="4"/>
    <x v="0"/>
    <n v="0"/>
    <n v="0"/>
    <n v="0"/>
    <n v="0"/>
    <x v="0"/>
    <n v="0"/>
    <n v="0"/>
    <m/>
    <n v="56.5"/>
    <m/>
    <n v="0"/>
    <m/>
    <n v="0"/>
    <m/>
    <n v="0"/>
    <m/>
    <n v="0"/>
    <m/>
    <n v="0"/>
    <m/>
  </r>
  <r>
    <x v="478"/>
    <n v="45734"/>
    <x v="0"/>
    <x v="3"/>
    <x v="1"/>
    <x v="1"/>
    <x v="1"/>
    <n v="1"/>
    <n v="0"/>
    <n v="0"/>
    <n v="0"/>
    <x v="0"/>
    <n v="0"/>
    <n v="0"/>
    <m/>
    <n v="64.400000000000006"/>
    <m/>
    <n v="0"/>
    <m/>
    <n v="1"/>
    <m/>
    <n v="0"/>
    <m/>
    <n v="0"/>
    <m/>
    <n v="0"/>
    <m/>
  </r>
  <r>
    <x v="479"/>
    <n v="45687"/>
    <x v="0"/>
    <x v="1"/>
    <x v="1"/>
    <x v="2"/>
    <x v="2"/>
    <n v="1"/>
    <n v="0"/>
    <n v="0"/>
    <n v="0"/>
    <x v="0"/>
    <n v="0"/>
    <n v="0"/>
    <m/>
    <n v="65.900000000000006"/>
    <m/>
    <n v="0"/>
    <m/>
    <n v="1"/>
    <m/>
    <n v="0"/>
    <m/>
    <n v="0"/>
    <m/>
    <n v="0"/>
    <m/>
  </r>
  <r>
    <x v="480"/>
    <n v="45797"/>
    <x v="0"/>
    <x v="1"/>
    <x v="2"/>
    <x v="3"/>
    <x v="1"/>
    <n v="1"/>
    <n v="1"/>
    <n v="1"/>
    <n v="0"/>
    <x v="0"/>
    <n v="0"/>
    <n v="0"/>
    <m/>
    <n v="100"/>
    <m/>
    <n v="0"/>
    <m/>
    <n v="1"/>
    <m/>
    <n v="1"/>
    <m/>
    <n v="1"/>
    <m/>
    <n v="0"/>
    <m/>
  </r>
  <r>
    <x v="481"/>
    <n v="45701"/>
    <x v="0"/>
    <x v="0"/>
    <x v="3"/>
    <x v="1"/>
    <x v="0"/>
    <n v="1"/>
    <n v="1"/>
    <n v="1"/>
    <n v="0"/>
    <x v="0"/>
    <n v="0"/>
    <n v="0"/>
    <m/>
    <n v="50.4"/>
    <m/>
    <n v="0"/>
    <m/>
    <n v="1"/>
    <m/>
    <n v="1"/>
    <m/>
    <n v="1"/>
    <m/>
    <n v="0"/>
    <m/>
  </r>
  <r>
    <x v="482"/>
    <n v="45759"/>
    <x v="0"/>
    <x v="1"/>
    <x v="0"/>
    <x v="1"/>
    <x v="0"/>
    <n v="0"/>
    <n v="0"/>
    <n v="0"/>
    <n v="0"/>
    <x v="0"/>
    <n v="0"/>
    <n v="0"/>
    <m/>
    <n v="41.5"/>
    <m/>
    <n v="0"/>
    <m/>
    <n v="0"/>
    <m/>
    <n v="0"/>
    <m/>
    <n v="0"/>
    <m/>
    <n v="0"/>
    <m/>
  </r>
  <r>
    <x v="483"/>
    <n v="45754"/>
    <x v="0"/>
    <x v="0"/>
    <x v="1"/>
    <x v="0"/>
    <x v="1"/>
    <n v="0"/>
    <n v="0"/>
    <n v="0"/>
    <n v="0"/>
    <x v="0"/>
    <n v="0"/>
    <n v="0"/>
    <m/>
    <n v="86.2"/>
    <m/>
    <n v="0"/>
    <m/>
    <n v="0"/>
    <m/>
    <n v="0"/>
    <m/>
    <n v="0"/>
    <m/>
    <n v="0"/>
    <m/>
  </r>
  <r>
    <x v="484"/>
    <n v="45728"/>
    <x v="0"/>
    <x v="0"/>
    <x v="0"/>
    <x v="4"/>
    <x v="1"/>
    <n v="1"/>
    <n v="1"/>
    <n v="1"/>
    <n v="0"/>
    <x v="0"/>
    <n v="2"/>
    <n v="0"/>
    <m/>
    <n v="50.8"/>
    <m/>
    <n v="0"/>
    <m/>
    <n v="1"/>
    <m/>
    <n v="1"/>
    <m/>
    <n v="1"/>
    <m/>
    <n v="2"/>
    <m/>
  </r>
  <r>
    <x v="485"/>
    <n v="45695"/>
    <x v="0"/>
    <x v="1"/>
    <x v="1"/>
    <x v="1"/>
    <x v="1"/>
    <n v="1"/>
    <n v="0"/>
    <n v="0"/>
    <n v="0"/>
    <x v="0"/>
    <n v="0"/>
    <n v="0"/>
    <m/>
    <n v="50.9"/>
    <m/>
    <n v="0"/>
    <m/>
    <n v="1"/>
    <m/>
    <n v="0"/>
    <m/>
    <n v="0"/>
    <m/>
    <n v="0"/>
    <m/>
  </r>
  <r>
    <x v="486"/>
    <n v="45782"/>
    <x v="0"/>
    <x v="0"/>
    <x v="1"/>
    <x v="1"/>
    <x v="2"/>
    <n v="1"/>
    <n v="1"/>
    <n v="0"/>
    <n v="0"/>
    <x v="0"/>
    <n v="0"/>
    <n v="0"/>
    <m/>
    <n v="87.5"/>
    <m/>
    <n v="0"/>
    <m/>
    <n v="1"/>
    <m/>
    <n v="1"/>
    <m/>
    <n v="0"/>
    <m/>
    <n v="0"/>
    <m/>
  </r>
  <r>
    <x v="487"/>
    <n v="45734"/>
    <x v="0"/>
    <x v="3"/>
    <x v="1"/>
    <x v="3"/>
    <x v="1"/>
    <n v="0"/>
    <n v="0"/>
    <n v="0"/>
    <n v="0"/>
    <x v="0"/>
    <n v="0"/>
    <n v="0"/>
    <m/>
    <n v="43.6"/>
    <m/>
    <n v="0"/>
    <m/>
    <n v="0"/>
    <m/>
    <n v="0"/>
    <m/>
    <n v="0"/>
    <m/>
    <n v="0"/>
    <m/>
  </r>
  <r>
    <x v="488"/>
    <n v="45662"/>
    <x v="0"/>
    <x v="3"/>
    <x v="1"/>
    <x v="2"/>
    <x v="0"/>
    <n v="1"/>
    <n v="0"/>
    <n v="0"/>
    <n v="0"/>
    <x v="0"/>
    <n v="0"/>
    <n v="0"/>
    <m/>
    <n v="55.5"/>
    <m/>
    <n v="0"/>
    <m/>
    <n v="1"/>
    <m/>
    <n v="0"/>
    <m/>
    <n v="0"/>
    <m/>
    <n v="0"/>
    <m/>
  </r>
  <r>
    <x v="489"/>
    <n v="45787"/>
    <x v="0"/>
    <x v="3"/>
    <x v="0"/>
    <x v="3"/>
    <x v="0"/>
    <n v="0"/>
    <n v="0"/>
    <n v="0"/>
    <n v="0"/>
    <x v="0"/>
    <n v="0"/>
    <n v="0"/>
    <m/>
    <n v="78.599999999999994"/>
    <m/>
    <n v="0"/>
    <m/>
    <n v="0"/>
    <m/>
    <n v="0"/>
    <m/>
    <n v="0"/>
    <m/>
    <n v="0"/>
    <m/>
  </r>
  <r>
    <x v="490"/>
    <n v="45660"/>
    <x v="0"/>
    <x v="3"/>
    <x v="1"/>
    <x v="4"/>
    <x v="0"/>
    <n v="1"/>
    <n v="1"/>
    <n v="0"/>
    <n v="0"/>
    <x v="0"/>
    <n v="1"/>
    <n v="0"/>
    <m/>
    <n v="44.3"/>
    <m/>
    <n v="0"/>
    <m/>
    <n v="1"/>
    <m/>
    <n v="1"/>
    <m/>
    <n v="0"/>
    <m/>
    <n v="1"/>
    <m/>
  </r>
  <r>
    <x v="491"/>
    <n v="45785"/>
    <x v="0"/>
    <x v="3"/>
    <x v="1"/>
    <x v="2"/>
    <x v="1"/>
    <n v="1"/>
    <n v="1"/>
    <n v="0"/>
    <n v="0"/>
    <x v="0"/>
    <n v="0"/>
    <n v="0"/>
    <m/>
    <n v="45.2"/>
    <m/>
    <n v="0"/>
    <m/>
    <n v="1"/>
    <m/>
    <n v="1"/>
    <m/>
    <n v="0"/>
    <m/>
    <n v="0"/>
    <m/>
  </r>
  <r>
    <x v="492"/>
    <n v="45721"/>
    <x v="0"/>
    <x v="3"/>
    <x v="0"/>
    <x v="0"/>
    <x v="0"/>
    <n v="1"/>
    <n v="0"/>
    <n v="0"/>
    <n v="0"/>
    <x v="0"/>
    <n v="2"/>
    <n v="0"/>
    <m/>
    <n v="46.1"/>
    <m/>
    <n v="0"/>
    <m/>
    <n v="1"/>
    <m/>
    <n v="0"/>
    <m/>
    <n v="0"/>
    <m/>
    <n v="2"/>
    <m/>
  </r>
  <r>
    <x v="493"/>
    <n v="45705"/>
    <x v="0"/>
    <x v="0"/>
    <x v="1"/>
    <x v="1"/>
    <x v="2"/>
    <n v="1"/>
    <n v="0"/>
    <n v="0"/>
    <n v="0"/>
    <x v="0"/>
    <n v="0"/>
    <n v="0"/>
    <m/>
    <n v="49.6"/>
    <m/>
    <n v="0"/>
    <m/>
    <n v="1"/>
    <m/>
    <n v="0"/>
    <m/>
    <n v="0"/>
    <m/>
    <n v="0"/>
    <m/>
  </r>
  <r>
    <x v="494"/>
    <n v="45666"/>
    <x v="0"/>
    <x v="3"/>
    <x v="1"/>
    <x v="3"/>
    <x v="0"/>
    <n v="0"/>
    <n v="0"/>
    <n v="0"/>
    <n v="0"/>
    <x v="0"/>
    <n v="0"/>
    <n v="0"/>
    <m/>
    <n v="70.5"/>
    <m/>
    <n v="0"/>
    <m/>
    <n v="0"/>
    <m/>
    <n v="0"/>
    <m/>
    <n v="0"/>
    <m/>
    <n v="0"/>
    <m/>
  </r>
  <r>
    <x v="495"/>
    <n v="45782"/>
    <x v="0"/>
    <x v="3"/>
    <x v="1"/>
    <x v="0"/>
    <x v="0"/>
    <n v="0"/>
    <n v="0"/>
    <n v="0"/>
    <n v="0"/>
    <x v="0"/>
    <n v="1"/>
    <n v="0"/>
    <m/>
    <n v="60.8"/>
    <m/>
    <n v="0"/>
    <m/>
    <n v="0"/>
    <m/>
    <n v="0"/>
    <m/>
    <n v="0"/>
    <m/>
    <n v="1"/>
    <m/>
  </r>
  <r>
    <x v="496"/>
    <n v="45763"/>
    <x v="0"/>
    <x v="2"/>
    <x v="1"/>
    <x v="0"/>
    <x v="0"/>
    <n v="0"/>
    <n v="0"/>
    <n v="0"/>
    <n v="0"/>
    <x v="0"/>
    <n v="1"/>
    <n v="0"/>
    <m/>
    <n v="50.5"/>
    <m/>
    <n v="0"/>
    <m/>
    <n v="0"/>
    <m/>
    <n v="0"/>
    <m/>
    <n v="0"/>
    <m/>
    <n v="1"/>
    <m/>
  </r>
  <r>
    <x v="497"/>
    <n v="45718"/>
    <x v="0"/>
    <x v="3"/>
    <x v="0"/>
    <x v="1"/>
    <x v="1"/>
    <n v="1"/>
    <n v="0"/>
    <n v="0"/>
    <n v="0"/>
    <x v="0"/>
    <n v="0"/>
    <n v="0"/>
    <m/>
    <n v="54.9"/>
    <m/>
    <n v="0"/>
    <m/>
    <n v="1"/>
    <m/>
    <n v="0"/>
    <m/>
    <n v="0"/>
    <m/>
    <n v="0"/>
    <m/>
  </r>
  <r>
    <x v="498"/>
    <n v="45761"/>
    <x v="0"/>
    <x v="3"/>
    <x v="1"/>
    <x v="4"/>
    <x v="2"/>
    <n v="0"/>
    <n v="0"/>
    <n v="0"/>
    <n v="0"/>
    <x v="0"/>
    <n v="0"/>
    <n v="0"/>
    <m/>
    <n v="29.9"/>
    <m/>
    <n v="0"/>
    <m/>
    <n v="0"/>
    <m/>
    <n v="0"/>
    <m/>
    <n v="0"/>
    <m/>
    <n v="0"/>
    <m/>
  </r>
  <r>
    <x v="499"/>
    <n v="45703"/>
    <x v="0"/>
    <x v="2"/>
    <x v="0"/>
    <x v="2"/>
    <x v="0"/>
    <n v="0"/>
    <n v="0"/>
    <n v="0"/>
    <n v="0"/>
    <x v="0"/>
    <n v="0"/>
    <n v="0"/>
    <m/>
    <n v="48.3"/>
    <m/>
    <n v="0"/>
    <m/>
    <n v="0"/>
    <m/>
    <n v="0"/>
    <m/>
    <n v="0"/>
    <m/>
    <n v="0"/>
    <m/>
  </r>
  <r>
    <x v="500"/>
    <n v="45701"/>
    <x v="0"/>
    <x v="1"/>
    <x v="1"/>
    <x v="4"/>
    <x v="1"/>
    <n v="1"/>
    <n v="1"/>
    <n v="1"/>
    <n v="1"/>
    <x v="20"/>
    <n v="0"/>
    <n v="0"/>
    <n v="7"/>
    <n v="41.3"/>
    <m/>
    <n v="1"/>
    <m/>
    <n v="1"/>
    <m/>
    <n v="1"/>
    <m/>
    <n v="1"/>
    <m/>
    <n v="0"/>
    <m/>
  </r>
  <r>
    <x v="501"/>
    <n v="45722"/>
    <x v="0"/>
    <x v="0"/>
    <x v="1"/>
    <x v="0"/>
    <x v="1"/>
    <n v="0"/>
    <n v="0"/>
    <n v="0"/>
    <n v="0"/>
    <x v="0"/>
    <n v="0"/>
    <n v="0"/>
    <m/>
    <n v="61.4"/>
    <m/>
    <n v="0"/>
    <m/>
    <n v="0"/>
    <m/>
    <n v="0"/>
    <m/>
    <n v="0"/>
    <m/>
    <n v="0"/>
    <m/>
  </r>
  <r>
    <x v="502"/>
    <n v="45706"/>
    <x v="0"/>
    <x v="3"/>
    <x v="0"/>
    <x v="4"/>
    <x v="1"/>
    <n v="0"/>
    <n v="0"/>
    <n v="0"/>
    <n v="0"/>
    <x v="0"/>
    <n v="0"/>
    <n v="0"/>
    <m/>
    <n v="57.8"/>
    <m/>
    <n v="0"/>
    <m/>
    <n v="0"/>
    <m/>
    <n v="0"/>
    <m/>
    <n v="0"/>
    <m/>
    <n v="0"/>
    <m/>
  </r>
  <r>
    <x v="503"/>
    <n v="45754"/>
    <x v="0"/>
    <x v="0"/>
    <x v="0"/>
    <x v="1"/>
    <x v="1"/>
    <n v="0"/>
    <n v="0"/>
    <n v="0"/>
    <n v="0"/>
    <x v="0"/>
    <n v="0"/>
    <n v="0"/>
    <m/>
    <n v="78.2"/>
    <m/>
    <n v="0"/>
    <m/>
    <n v="0"/>
    <m/>
    <n v="0"/>
    <m/>
    <n v="0"/>
    <m/>
    <n v="0"/>
    <m/>
  </r>
  <r>
    <x v="504"/>
    <n v="45753"/>
    <x v="0"/>
    <x v="0"/>
    <x v="1"/>
    <x v="3"/>
    <x v="1"/>
    <n v="0"/>
    <n v="0"/>
    <n v="0"/>
    <n v="0"/>
    <x v="0"/>
    <n v="0"/>
    <n v="0"/>
    <m/>
    <n v="63.8"/>
    <m/>
    <n v="0"/>
    <m/>
    <n v="0"/>
    <m/>
    <n v="0"/>
    <m/>
    <n v="0"/>
    <m/>
    <n v="0"/>
    <m/>
  </r>
  <r>
    <x v="505"/>
    <n v="45687"/>
    <x v="0"/>
    <x v="0"/>
    <x v="0"/>
    <x v="4"/>
    <x v="1"/>
    <n v="1"/>
    <n v="0"/>
    <n v="0"/>
    <n v="0"/>
    <x v="0"/>
    <n v="0"/>
    <n v="0"/>
    <m/>
    <n v="56.8"/>
    <m/>
    <n v="0"/>
    <m/>
    <n v="1"/>
    <m/>
    <n v="0"/>
    <m/>
    <n v="0"/>
    <m/>
    <n v="0"/>
    <m/>
  </r>
  <r>
    <x v="506"/>
    <n v="45790"/>
    <x v="0"/>
    <x v="3"/>
    <x v="0"/>
    <x v="1"/>
    <x v="0"/>
    <n v="1"/>
    <n v="1"/>
    <n v="0"/>
    <n v="0"/>
    <x v="0"/>
    <n v="0"/>
    <n v="0"/>
    <m/>
    <n v="59.6"/>
    <m/>
    <n v="0"/>
    <m/>
    <n v="1"/>
    <m/>
    <n v="1"/>
    <m/>
    <n v="0"/>
    <m/>
    <n v="0"/>
    <m/>
  </r>
  <r>
    <x v="507"/>
    <n v="45677"/>
    <x v="0"/>
    <x v="1"/>
    <x v="1"/>
    <x v="2"/>
    <x v="2"/>
    <n v="1"/>
    <n v="1"/>
    <n v="0"/>
    <n v="0"/>
    <x v="0"/>
    <n v="0"/>
    <n v="0"/>
    <m/>
    <n v="50"/>
    <m/>
    <n v="0"/>
    <m/>
    <n v="1"/>
    <m/>
    <n v="1"/>
    <m/>
    <n v="0"/>
    <m/>
    <n v="0"/>
    <m/>
  </r>
  <r>
    <x v="508"/>
    <n v="45687"/>
    <x v="0"/>
    <x v="0"/>
    <x v="2"/>
    <x v="1"/>
    <x v="1"/>
    <n v="1"/>
    <n v="0"/>
    <n v="0"/>
    <n v="0"/>
    <x v="0"/>
    <n v="0"/>
    <n v="0"/>
    <m/>
    <n v="35.700000000000003"/>
    <m/>
    <n v="0"/>
    <m/>
    <n v="1"/>
    <m/>
    <n v="0"/>
    <m/>
    <n v="0"/>
    <m/>
    <n v="0"/>
    <m/>
  </r>
  <r>
    <x v="509"/>
    <n v="45670"/>
    <x v="0"/>
    <x v="3"/>
    <x v="1"/>
    <x v="1"/>
    <x v="1"/>
    <n v="0"/>
    <n v="0"/>
    <n v="0"/>
    <n v="0"/>
    <x v="0"/>
    <n v="2"/>
    <n v="0"/>
    <m/>
    <n v="47.2"/>
    <m/>
    <n v="0"/>
    <m/>
    <n v="0"/>
    <m/>
    <n v="0"/>
    <m/>
    <n v="0"/>
    <m/>
    <n v="2"/>
    <m/>
  </r>
  <r>
    <x v="510"/>
    <n v="45699"/>
    <x v="0"/>
    <x v="0"/>
    <x v="1"/>
    <x v="4"/>
    <x v="1"/>
    <n v="1"/>
    <n v="1"/>
    <n v="0"/>
    <n v="0"/>
    <x v="0"/>
    <n v="0"/>
    <n v="0"/>
    <m/>
    <n v="56.9"/>
    <m/>
    <n v="0"/>
    <m/>
    <n v="1"/>
    <m/>
    <n v="1"/>
    <m/>
    <n v="0"/>
    <m/>
    <n v="0"/>
    <m/>
  </r>
  <r>
    <x v="511"/>
    <n v="45762"/>
    <x v="0"/>
    <x v="3"/>
    <x v="1"/>
    <x v="1"/>
    <x v="1"/>
    <n v="0"/>
    <n v="0"/>
    <n v="0"/>
    <n v="0"/>
    <x v="0"/>
    <n v="1"/>
    <n v="0"/>
    <m/>
    <n v="57.2"/>
    <m/>
    <n v="0"/>
    <m/>
    <n v="0"/>
    <m/>
    <n v="0"/>
    <m/>
    <n v="0"/>
    <m/>
    <n v="1"/>
    <m/>
  </r>
  <r>
    <x v="512"/>
    <n v="45701"/>
    <x v="0"/>
    <x v="3"/>
    <x v="1"/>
    <x v="5"/>
    <x v="1"/>
    <n v="1"/>
    <n v="1"/>
    <n v="0"/>
    <n v="0"/>
    <x v="0"/>
    <n v="0"/>
    <n v="0"/>
    <m/>
    <n v="31.4"/>
    <m/>
    <n v="0"/>
    <m/>
    <n v="1"/>
    <m/>
    <n v="1"/>
    <m/>
    <n v="0"/>
    <m/>
    <n v="0"/>
    <m/>
  </r>
  <r>
    <x v="513"/>
    <n v="45786"/>
    <x v="0"/>
    <x v="3"/>
    <x v="0"/>
    <x v="1"/>
    <x v="1"/>
    <n v="0"/>
    <n v="0"/>
    <n v="0"/>
    <n v="0"/>
    <x v="0"/>
    <n v="0"/>
    <n v="0"/>
    <m/>
    <n v="71.2"/>
    <m/>
    <n v="0"/>
    <m/>
    <n v="0"/>
    <m/>
    <n v="0"/>
    <m/>
    <n v="0"/>
    <m/>
    <n v="0"/>
    <m/>
  </r>
  <r>
    <x v="514"/>
    <n v="45726"/>
    <x v="0"/>
    <x v="0"/>
    <x v="1"/>
    <x v="2"/>
    <x v="1"/>
    <n v="1"/>
    <n v="1"/>
    <n v="1"/>
    <n v="0"/>
    <x v="0"/>
    <n v="1"/>
    <n v="0"/>
    <m/>
    <n v="38.299999999999997"/>
    <m/>
    <n v="0"/>
    <m/>
    <n v="1"/>
    <m/>
    <n v="1"/>
    <m/>
    <n v="1"/>
    <m/>
    <n v="1"/>
    <m/>
  </r>
  <r>
    <x v="515"/>
    <n v="45748"/>
    <x v="0"/>
    <x v="0"/>
    <x v="1"/>
    <x v="1"/>
    <x v="1"/>
    <n v="1"/>
    <n v="1"/>
    <n v="0"/>
    <n v="0"/>
    <x v="0"/>
    <n v="0"/>
    <n v="0"/>
    <m/>
    <n v="63.1"/>
    <m/>
    <n v="0"/>
    <m/>
    <n v="1"/>
    <m/>
    <n v="1"/>
    <m/>
    <n v="0"/>
    <m/>
    <n v="0"/>
    <m/>
  </r>
  <r>
    <x v="516"/>
    <n v="45792"/>
    <x v="0"/>
    <x v="2"/>
    <x v="1"/>
    <x v="3"/>
    <x v="0"/>
    <n v="1"/>
    <n v="0"/>
    <n v="0"/>
    <n v="0"/>
    <x v="0"/>
    <n v="0"/>
    <n v="0"/>
    <m/>
    <n v="59.7"/>
    <m/>
    <n v="0"/>
    <m/>
    <n v="1"/>
    <m/>
    <n v="0"/>
    <m/>
    <n v="0"/>
    <m/>
    <n v="0"/>
    <m/>
  </r>
  <r>
    <x v="517"/>
    <n v="45781"/>
    <x v="0"/>
    <x v="3"/>
    <x v="0"/>
    <x v="4"/>
    <x v="2"/>
    <n v="1"/>
    <n v="1"/>
    <n v="1"/>
    <n v="0"/>
    <x v="0"/>
    <n v="0"/>
    <n v="0"/>
    <m/>
    <n v="59.5"/>
    <m/>
    <n v="0"/>
    <m/>
    <n v="1"/>
    <m/>
    <n v="1"/>
    <m/>
    <n v="1"/>
    <m/>
    <n v="0"/>
    <m/>
  </r>
  <r>
    <x v="518"/>
    <n v="45797"/>
    <x v="0"/>
    <x v="2"/>
    <x v="1"/>
    <x v="2"/>
    <x v="1"/>
    <n v="0"/>
    <n v="0"/>
    <n v="0"/>
    <n v="0"/>
    <x v="0"/>
    <n v="0"/>
    <n v="0"/>
    <m/>
    <n v="78.8"/>
    <m/>
    <n v="0"/>
    <m/>
    <n v="0"/>
    <m/>
    <n v="0"/>
    <m/>
    <n v="0"/>
    <m/>
    <n v="0"/>
    <m/>
  </r>
  <r>
    <x v="519"/>
    <n v="45793"/>
    <x v="0"/>
    <x v="1"/>
    <x v="0"/>
    <x v="3"/>
    <x v="1"/>
    <n v="0"/>
    <n v="0"/>
    <n v="0"/>
    <n v="0"/>
    <x v="0"/>
    <n v="0"/>
    <n v="0"/>
    <m/>
    <n v="54"/>
    <m/>
    <n v="0"/>
    <m/>
    <n v="0"/>
    <m/>
    <n v="0"/>
    <m/>
    <n v="0"/>
    <m/>
    <n v="0"/>
    <m/>
  </r>
  <r>
    <x v="520"/>
    <n v="45733"/>
    <x v="0"/>
    <x v="1"/>
    <x v="1"/>
    <x v="1"/>
    <x v="1"/>
    <n v="1"/>
    <n v="0"/>
    <n v="0"/>
    <n v="0"/>
    <x v="0"/>
    <n v="0"/>
    <n v="0"/>
    <m/>
    <n v="66.3"/>
    <m/>
    <n v="0"/>
    <m/>
    <n v="1"/>
    <m/>
    <n v="0"/>
    <m/>
    <n v="0"/>
    <m/>
    <n v="0"/>
    <m/>
  </r>
  <r>
    <x v="521"/>
    <n v="45684"/>
    <x v="0"/>
    <x v="2"/>
    <x v="2"/>
    <x v="2"/>
    <x v="1"/>
    <n v="1"/>
    <n v="1"/>
    <n v="0"/>
    <n v="0"/>
    <x v="0"/>
    <n v="0"/>
    <n v="0"/>
    <m/>
    <n v="54.7"/>
    <m/>
    <n v="0"/>
    <m/>
    <n v="1"/>
    <m/>
    <n v="1"/>
    <m/>
    <n v="0"/>
    <m/>
    <n v="0"/>
    <m/>
  </r>
  <r>
    <x v="522"/>
    <n v="45760"/>
    <x v="0"/>
    <x v="3"/>
    <x v="1"/>
    <x v="1"/>
    <x v="0"/>
    <n v="1"/>
    <n v="0"/>
    <n v="0"/>
    <n v="0"/>
    <x v="0"/>
    <n v="0"/>
    <n v="0"/>
    <m/>
    <n v="76.7"/>
    <m/>
    <n v="0"/>
    <m/>
    <n v="1"/>
    <m/>
    <n v="0"/>
    <m/>
    <n v="0"/>
    <m/>
    <n v="0"/>
    <m/>
  </r>
  <r>
    <x v="523"/>
    <n v="45780"/>
    <x v="0"/>
    <x v="3"/>
    <x v="0"/>
    <x v="0"/>
    <x v="0"/>
    <n v="1"/>
    <n v="0"/>
    <n v="0"/>
    <n v="0"/>
    <x v="0"/>
    <n v="2"/>
    <n v="0"/>
    <m/>
    <n v="47.4"/>
    <m/>
    <n v="0"/>
    <m/>
    <n v="1"/>
    <m/>
    <n v="0"/>
    <m/>
    <n v="0"/>
    <m/>
    <n v="2"/>
    <m/>
  </r>
  <r>
    <x v="524"/>
    <n v="45746"/>
    <x v="0"/>
    <x v="0"/>
    <x v="1"/>
    <x v="1"/>
    <x v="1"/>
    <n v="1"/>
    <n v="1"/>
    <n v="1"/>
    <n v="0"/>
    <x v="0"/>
    <n v="0"/>
    <n v="0"/>
    <m/>
    <n v="81.7"/>
    <m/>
    <n v="0"/>
    <m/>
    <n v="1"/>
    <m/>
    <n v="1"/>
    <m/>
    <n v="1"/>
    <m/>
    <n v="0"/>
    <m/>
  </r>
  <r>
    <x v="525"/>
    <n v="45658"/>
    <x v="0"/>
    <x v="1"/>
    <x v="1"/>
    <x v="2"/>
    <x v="0"/>
    <n v="1"/>
    <n v="1"/>
    <n v="1"/>
    <n v="0"/>
    <x v="0"/>
    <n v="0"/>
    <n v="0"/>
    <m/>
    <n v="67.5"/>
    <m/>
    <n v="0"/>
    <m/>
    <n v="1"/>
    <m/>
    <n v="1"/>
    <m/>
    <n v="1"/>
    <m/>
    <n v="0"/>
    <m/>
  </r>
  <r>
    <x v="526"/>
    <n v="45694"/>
    <x v="0"/>
    <x v="1"/>
    <x v="1"/>
    <x v="2"/>
    <x v="0"/>
    <n v="1"/>
    <n v="0"/>
    <n v="0"/>
    <n v="0"/>
    <x v="0"/>
    <n v="0"/>
    <n v="0"/>
    <m/>
    <n v="36.799999999999997"/>
    <m/>
    <n v="0"/>
    <m/>
    <n v="1"/>
    <m/>
    <n v="0"/>
    <m/>
    <n v="0"/>
    <m/>
    <n v="0"/>
    <m/>
  </r>
  <r>
    <x v="527"/>
    <n v="45713"/>
    <x v="0"/>
    <x v="0"/>
    <x v="0"/>
    <x v="1"/>
    <x v="1"/>
    <n v="0"/>
    <n v="0"/>
    <n v="0"/>
    <n v="0"/>
    <x v="0"/>
    <n v="0"/>
    <n v="0"/>
    <m/>
    <n v="66.5"/>
    <m/>
    <n v="0"/>
    <m/>
    <n v="0"/>
    <m/>
    <n v="0"/>
    <m/>
    <n v="0"/>
    <m/>
    <n v="0"/>
    <m/>
  </r>
  <r>
    <x v="528"/>
    <n v="45791"/>
    <x v="0"/>
    <x v="2"/>
    <x v="2"/>
    <x v="4"/>
    <x v="1"/>
    <n v="1"/>
    <n v="0"/>
    <n v="0"/>
    <n v="0"/>
    <x v="0"/>
    <n v="0"/>
    <n v="0"/>
    <m/>
    <n v="35.4"/>
    <m/>
    <n v="0"/>
    <m/>
    <n v="1"/>
    <m/>
    <n v="0"/>
    <m/>
    <n v="0"/>
    <m/>
    <n v="0"/>
    <m/>
  </r>
  <r>
    <x v="529"/>
    <n v="45797"/>
    <x v="0"/>
    <x v="3"/>
    <x v="1"/>
    <x v="1"/>
    <x v="0"/>
    <n v="0"/>
    <n v="0"/>
    <n v="0"/>
    <n v="0"/>
    <x v="0"/>
    <n v="0"/>
    <n v="0"/>
    <m/>
    <n v="64.3"/>
    <m/>
    <n v="0"/>
    <m/>
    <n v="0"/>
    <m/>
    <n v="0"/>
    <m/>
    <n v="0"/>
    <m/>
    <n v="0"/>
    <m/>
  </r>
  <r>
    <x v="530"/>
    <n v="45699"/>
    <x v="0"/>
    <x v="3"/>
    <x v="1"/>
    <x v="1"/>
    <x v="1"/>
    <n v="0"/>
    <n v="0"/>
    <n v="0"/>
    <n v="0"/>
    <x v="0"/>
    <n v="0"/>
    <n v="0"/>
    <m/>
    <n v="49.1"/>
    <m/>
    <n v="0"/>
    <m/>
    <n v="0"/>
    <m/>
    <n v="0"/>
    <m/>
    <n v="0"/>
    <m/>
    <n v="0"/>
    <m/>
  </r>
  <r>
    <x v="531"/>
    <n v="45701"/>
    <x v="0"/>
    <x v="1"/>
    <x v="1"/>
    <x v="1"/>
    <x v="1"/>
    <n v="1"/>
    <n v="0"/>
    <n v="0"/>
    <n v="0"/>
    <x v="0"/>
    <n v="0"/>
    <n v="0"/>
    <m/>
    <n v="84.3"/>
    <m/>
    <n v="0"/>
    <m/>
    <n v="1"/>
    <m/>
    <n v="0"/>
    <m/>
    <n v="0"/>
    <m/>
    <n v="0"/>
    <m/>
  </r>
  <r>
    <x v="532"/>
    <n v="45754"/>
    <x v="0"/>
    <x v="3"/>
    <x v="1"/>
    <x v="2"/>
    <x v="2"/>
    <n v="1"/>
    <n v="0"/>
    <n v="0"/>
    <n v="0"/>
    <x v="0"/>
    <n v="0"/>
    <n v="0"/>
    <m/>
    <n v="65.599999999999994"/>
    <m/>
    <n v="0"/>
    <m/>
    <n v="1"/>
    <m/>
    <n v="0"/>
    <m/>
    <n v="0"/>
    <m/>
    <n v="0"/>
    <m/>
  </r>
  <r>
    <x v="533"/>
    <n v="45724"/>
    <x v="0"/>
    <x v="2"/>
    <x v="1"/>
    <x v="0"/>
    <x v="1"/>
    <n v="1"/>
    <n v="0"/>
    <n v="0"/>
    <n v="0"/>
    <x v="0"/>
    <n v="0"/>
    <n v="0"/>
    <m/>
    <n v="47.1"/>
    <m/>
    <n v="0"/>
    <m/>
    <n v="1"/>
    <m/>
    <n v="0"/>
    <m/>
    <n v="0"/>
    <m/>
    <n v="0"/>
    <m/>
  </r>
  <r>
    <x v="534"/>
    <n v="45704"/>
    <x v="0"/>
    <x v="0"/>
    <x v="0"/>
    <x v="2"/>
    <x v="1"/>
    <n v="1"/>
    <n v="1"/>
    <n v="1"/>
    <n v="0"/>
    <x v="0"/>
    <n v="0"/>
    <n v="0"/>
    <m/>
    <n v="70"/>
    <m/>
    <n v="0"/>
    <m/>
    <n v="1"/>
    <m/>
    <n v="1"/>
    <m/>
    <n v="1"/>
    <m/>
    <n v="0"/>
    <m/>
  </r>
  <r>
    <x v="535"/>
    <n v="45775"/>
    <x v="0"/>
    <x v="3"/>
    <x v="1"/>
    <x v="2"/>
    <x v="2"/>
    <n v="1"/>
    <n v="0"/>
    <n v="0"/>
    <n v="0"/>
    <x v="0"/>
    <n v="0"/>
    <n v="0"/>
    <m/>
    <n v="54.6"/>
    <m/>
    <n v="0"/>
    <m/>
    <n v="1"/>
    <m/>
    <n v="0"/>
    <m/>
    <n v="0"/>
    <m/>
    <n v="0"/>
    <m/>
  </r>
  <r>
    <x v="536"/>
    <n v="45726"/>
    <x v="0"/>
    <x v="1"/>
    <x v="2"/>
    <x v="4"/>
    <x v="0"/>
    <n v="1"/>
    <n v="1"/>
    <n v="0"/>
    <n v="0"/>
    <x v="0"/>
    <n v="1"/>
    <n v="0"/>
    <m/>
    <n v="65.2"/>
    <m/>
    <n v="0"/>
    <m/>
    <n v="1"/>
    <m/>
    <n v="1"/>
    <m/>
    <n v="0"/>
    <m/>
    <n v="1"/>
    <m/>
  </r>
  <r>
    <x v="537"/>
    <n v="45682"/>
    <x v="0"/>
    <x v="2"/>
    <x v="1"/>
    <x v="4"/>
    <x v="1"/>
    <n v="1"/>
    <n v="0"/>
    <n v="0"/>
    <n v="0"/>
    <x v="0"/>
    <n v="0"/>
    <n v="0"/>
    <m/>
    <n v="65"/>
    <m/>
    <n v="0"/>
    <m/>
    <n v="1"/>
    <m/>
    <n v="0"/>
    <m/>
    <n v="0"/>
    <m/>
    <n v="0"/>
    <m/>
  </r>
  <r>
    <x v="538"/>
    <n v="45668"/>
    <x v="0"/>
    <x v="1"/>
    <x v="1"/>
    <x v="2"/>
    <x v="2"/>
    <n v="1"/>
    <n v="1"/>
    <n v="1"/>
    <n v="0"/>
    <x v="0"/>
    <n v="1"/>
    <n v="0"/>
    <m/>
    <n v="42.1"/>
    <m/>
    <n v="0"/>
    <m/>
    <n v="1"/>
    <m/>
    <n v="1"/>
    <m/>
    <n v="1"/>
    <m/>
    <n v="1"/>
    <m/>
  </r>
  <r>
    <x v="539"/>
    <n v="45747"/>
    <x v="0"/>
    <x v="1"/>
    <x v="2"/>
    <x v="2"/>
    <x v="1"/>
    <n v="1"/>
    <n v="0"/>
    <n v="0"/>
    <n v="0"/>
    <x v="0"/>
    <n v="0"/>
    <n v="0"/>
    <m/>
    <n v="43.4"/>
    <m/>
    <n v="0"/>
    <m/>
    <n v="1"/>
    <m/>
    <n v="0"/>
    <m/>
    <n v="0"/>
    <m/>
    <n v="0"/>
    <m/>
  </r>
  <r>
    <x v="540"/>
    <n v="45799"/>
    <x v="0"/>
    <x v="0"/>
    <x v="1"/>
    <x v="2"/>
    <x v="0"/>
    <n v="1"/>
    <n v="1"/>
    <n v="0"/>
    <n v="0"/>
    <x v="0"/>
    <n v="0"/>
    <n v="0"/>
    <m/>
    <n v="39.9"/>
    <m/>
    <n v="0"/>
    <m/>
    <n v="1"/>
    <m/>
    <n v="1"/>
    <m/>
    <n v="0"/>
    <m/>
    <n v="0"/>
    <m/>
  </r>
  <r>
    <x v="541"/>
    <n v="45793"/>
    <x v="0"/>
    <x v="0"/>
    <x v="1"/>
    <x v="3"/>
    <x v="0"/>
    <n v="0"/>
    <n v="0"/>
    <n v="0"/>
    <n v="0"/>
    <x v="0"/>
    <n v="0"/>
    <n v="0"/>
    <m/>
    <n v="74.099999999999994"/>
    <m/>
    <n v="0"/>
    <m/>
    <n v="0"/>
    <m/>
    <n v="0"/>
    <m/>
    <n v="0"/>
    <m/>
    <n v="0"/>
    <m/>
  </r>
  <r>
    <x v="542"/>
    <n v="45772"/>
    <x v="0"/>
    <x v="2"/>
    <x v="0"/>
    <x v="2"/>
    <x v="1"/>
    <n v="1"/>
    <n v="0"/>
    <n v="0"/>
    <n v="0"/>
    <x v="0"/>
    <n v="0"/>
    <n v="0"/>
    <m/>
    <n v="61.4"/>
    <m/>
    <n v="0"/>
    <m/>
    <n v="1"/>
    <m/>
    <n v="0"/>
    <m/>
    <n v="0"/>
    <m/>
    <n v="0"/>
    <m/>
  </r>
  <r>
    <x v="543"/>
    <n v="45764"/>
    <x v="0"/>
    <x v="2"/>
    <x v="1"/>
    <x v="4"/>
    <x v="2"/>
    <n v="1"/>
    <n v="1"/>
    <n v="1"/>
    <n v="0"/>
    <x v="0"/>
    <n v="0"/>
    <n v="0"/>
    <m/>
    <n v="76.8"/>
    <m/>
    <n v="0"/>
    <m/>
    <n v="1"/>
    <m/>
    <n v="1"/>
    <m/>
    <n v="1"/>
    <m/>
    <n v="0"/>
    <m/>
  </r>
  <r>
    <x v="544"/>
    <n v="45658"/>
    <x v="0"/>
    <x v="3"/>
    <x v="0"/>
    <x v="4"/>
    <x v="0"/>
    <n v="0"/>
    <n v="0"/>
    <n v="0"/>
    <n v="0"/>
    <x v="0"/>
    <n v="0"/>
    <n v="0"/>
    <m/>
    <m/>
    <m/>
    <n v="0"/>
    <m/>
    <n v="0"/>
    <m/>
    <n v="0"/>
    <m/>
    <n v="0"/>
    <m/>
    <n v="0"/>
    <m/>
  </r>
  <r>
    <x v="545"/>
    <n v="45734"/>
    <x v="0"/>
    <x v="2"/>
    <x v="1"/>
    <x v="2"/>
    <x v="0"/>
    <n v="1"/>
    <n v="1"/>
    <n v="1"/>
    <n v="0"/>
    <x v="0"/>
    <n v="0"/>
    <n v="0"/>
    <m/>
    <n v="45.3"/>
    <m/>
    <n v="0"/>
    <m/>
    <n v="1"/>
    <m/>
    <n v="1"/>
    <m/>
    <n v="1"/>
    <m/>
    <n v="0"/>
    <m/>
  </r>
  <r>
    <x v="546"/>
    <n v="45797"/>
    <x v="0"/>
    <x v="0"/>
    <x v="2"/>
    <x v="2"/>
    <x v="1"/>
    <n v="1"/>
    <n v="0"/>
    <n v="0"/>
    <n v="0"/>
    <x v="0"/>
    <n v="0"/>
    <n v="0"/>
    <m/>
    <n v="41.4"/>
    <m/>
    <n v="0"/>
    <m/>
    <n v="1"/>
    <m/>
    <n v="0"/>
    <m/>
    <n v="0"/>
    <m/>
    <n v="0"/>
    <m/>
  </r>
  <r>
    <x v="547"/>
    <n v="45732"/>
    <x v="0"/>
    <x v="0"/>
    <x v="1"/>
    <x v="1"/>
    <x v="0"/>
    <n v="1"/>
    <n v="0"/>
    <n v="0"/>
    <n v="0"/>
    <x v="0"/>
    <n v="0"/>
    <n v="0"/>
    <m/>
    <n v="37.1"/>
    <m/>
    <n v="0"/>
    <m/>
    <n v="1"/>
    <m/>
    <n v="0"/>
    <m/>
    <n v="0"/>
    <m/>
    <n v="0"/>
    <m/>
  </r>
  <r>
    <x v="548"/>
    <n v="45807"/>
    <x v="0"/>
    <x v="2"/>
    <x v="0"/>
    <x v="4"/>
    <x v="1"/>
    <n v="1"/>
    <n v="0"/>
    <n v="0"/>
    <n v="0"/>
    <x v="0"/>
    <n v="0"/>
    <n v="0"/>
    <m/>
    <n v="40.700000000000003"/>
    <m/>
    <n v="0"/>
    <m/>
    <n v="1"/>
    <m/>
    <n v="0"/>
    <m/>
    <n v="0"/>
    <m/>
    <n v="0"/>
    <m/>
  </r>
  <r>
    <x v="549"/>
    <n v="45708"/>
    <x v="0"/>
    <x v="0"/>
    <x v="1"/>
    <x v="4"/>
    <x v="2"/>
    <n v="0"/>
    <n v="0"/>
    <n v="0"/>
    <n v="0"/>
    <x v="0"/>
    <n v="2"/>
    <n v="0"/>
    <m/>
    <n v="55.9"/>
    <m/>
    <n v="0"/>
    <m/>
    <n v="0"/>
    <m/>
    <n v="0"/>
    <m/>
    <n v="0"/>
    <m/>
    <n v="2"/>
    <m/>
  </r>
  <r>
    <x v="550"/>
    <n v="45699"/>
    <x v="0"/>
    <x v="2"/>
    <x v="3"/>
    <x v="4"/>
    <x v="1"/>
    <n v="1"/>
    <n v="1"/>
    <n v="0"/>
    <n v="0"/>
    <x v="0"/>
    <n v="0"/>
    <n v="0"/>
    <m/>
    <n v="55.8"/>
    <m/>
    <n v="0"/>
    <m/>
    <n v="1"/>
    <m/>
    <n v="1"/>
    <m/>
    <n v="0"/>
    <m/>
    <n v="0"/>
    <m/>
  </r>
  <r>
    <x v="551"/>
    <n v="45659"/>
    <x v="0"/>
    <x v="3"/>
    <x v="2"/>
    <x v="3"/>
    <x v="0"/>
    <n v="1"/>
    <n v="0"/>
    <n v="0"/>
    <n v="0"/>
    <x v="0"/>
    <n v="0"/>
    <n v="0"/>
    <m/>
    <n v="64.3"/>
    <m/>
    <n v="0"/>
    <m/>
    <n v="1"/>
    <m/>
    <n v="0"/>
    <m/>
    <n v="0"/>
    <m/>
    <n v="0"/>
    <m/>
  </r>
  <r>
    <x v="552"/>
    <n v="45780"/>
    <x v="0"/>
    <x v="0"/>
    <x v="1"/>
    <x v="1"/>
    <x v="1"/>
    <n v="0"/>
    <n v="0"/>
    <n v="0"/>
    <n v="0"/>
    <x v="0"/>
    <n v="0"/>
    <n v="0"/>
    <m/>
    <n v="65.400000000000006"/>
    <m/>
    <n v="0"/>
    <m/>
    <n v="0"/>
    <m/>
    <n v="0"/>
    <m/>
    <n v="0"/>
    <m/>
    <n v="0"/>
    <m/>
  </r>
  <r>
    <x v="553"/>
    <n v="45712"/>
    <x v="0"/>
    <x v="1"/>
    <x v="1"/>
    <x v="1"/>
    <x v="1"/>
    <n v="1"/>
    <n v="0"/>
    <n v="0"/>
    <n v="0"/>
    <x v="0"/>
    <n v="0"/>
    <n v="0"/>
    <m/>
    <n v="89.8"/>
    <m/>
    <n v="0"/>
    <m/>
    <n v="1"/>
    <m/>
    <n v="0"/>
    <m/>
    <n v="0"/>
    <m/>
    <n v="0"/>
    <m/>
  </r>
  <r>
    <x v="554"/>
    <n v="45699"/>
    <x v="0"/>
    <x v="3"/>
    <x v="3"/>
    <x v="1"/>
    <x v="1"/>
    <n v="1"/>
    <n v="1"/>
    <n v="1"/>
    <n v="0"/>
    <x v="0"/>
    <n v="0"/>
    <n v="0"/>
    <m/>
    <n v="58.3"/>
    <m/>
    <n v="0"/>
    <m/>
    <n v="1"/>
    <m/>
    <n v="1"/>
    <m/>
    <n v="1"/>
    <m/>
    <n v="0"/>
    <m/>
  </r>
  <r>
    <x v="555"/>
    <n v="45783"/>
    <x v="0"/>
    <x v="3"/>
    <x v="1"/>
    <x v="4"/>
    <x v="0"/>
    <n v="1"/>
    <n v="0"/>
    <n v="0"/>
    <n v="0"/>
    <x v="0"/>
    <n v="0"/>
    <n v="0"/>
    <m/>
    <n v="64.400000000000006"/>
    <m/>
    <n v="0"/>
    <m/>
    <n v="1"/>
    <m/>
    <n v="0"/>
    <m/>
    <n v="0"/>
    <m/>
    <n v="0"/>
    <m/>
  </r>
  <r>
    <x v="556"/>
    <n v="45800"/>
    <x v="0"/>
    <x v="0"/>
    <x v="1"/>
    <x v="2"/>
    <x v="2"/>
    <n v="0"/>
    <n v="0"/>
    <n v="0"/>
    <n v="0"/>
    <x v="0"/>
    <n v="0"/>
    <n v="0"/>
    <m/>
    <n v="46.2"/>
    <m/>
    <n v="0"/>
    <m/>
    <n v="0"/>
    <m/>
    <n v="0"/>
    <m/>
    <n v="0"/>
    <m/>
    <n v="0"/>
    <m/>
  </r>
  <r>
    <x v="557"/>
    <n v="45666"/>
    <x v="0"/>
    <x v="0"/>
    <x v="0"/>
    <x v="2"/>
    <x v="1"/>
    <n v="0"/>
    <n v="0"/>
    <n v="0"/>
    <n v="0"/>
    <x v="0"/>
    <n v="0"/>
    <n v="0"/>
    <m/>
    <n v="78"/>
    <m/>
    <n v="0"/>
    <m/>
    <n v="0"/>
    <m/>
    <n v="0"/>
    <m/>
    <n v="0"/>
    <m/>
    <n v="0"/>
    <m/>
  </r>
  <r>
    <x v="558"/>
    <n v="45748"/>
    <x v="0"/>
    <x v="0"/>
    <x v="0"/>
    <x v="1"/>
    <x v="2"/>
    <n v="1"/>
    <n v="0"/>
    <n v="0"/>
    <n v="0"/>
    <x v="0"/>
    <n v="0"/>
    <n v="0"/>
    <m/>
    <n v="62.3"/>
    <m/>
    <n v="0"/>
    <m/>
    <n v="1"/>
    <m/>
    <n v="0"/>
    <m/>
    <n v="0"/>
    <m/>
    <n v="0"/>
    <m/>
  </r>
  <r>
    <x v="559"/>
    <n v="45724"/>
    <x v="0"/>
    <x v="0"/>
    <x v="1"/>
    <x v="1"/>
    <x v="1"/>
    <n v="1"/>
    <n v="0"/>
    <n v="0"/>
    <n v="0"/>
    <x v="0"/>
    <n v="0"/>
    <n v="0"/>
    <m/>
    <n v="78.8"/>
    <m/>
    <n v="0"/>
    <m/>
    <n v="1"/>
    <m/>
    <n v="0"/>
    <m/>
    <n v="0"/>
    <m/>
    <n v="0"/>
    <m/>
  </r>
  <r>
    <x v="560"/>
    <n v="45708"/>
    <x v="0"/>
    <x v="0"/>
    <x v="1"/>
    <x v="4"/>
    <x v="0"/>
    <n v="1"/>
    <n v="0"/>
    <n v="0"/>
    <n v="0"/>
    <x v="0"/>
    <n v="0"/>
    <n v="0"/>
    <m/>
    <n v="25"/>
    <m/>
    <n v="0"/>
    <m/>
    <n v="1"/>
    <m/>
    <n v="0"/>
    <m/>
    <n v="0"/>
    <m/>
    <n v="0"/>
    <m/>
  </r>
  <r>
    <x v="561"/>
    <n v="45746"/>
    <x v="0"/>
    <x v="2"/>
    <x v="1"/>
    <x v="4"/>
    <x v="0"/>
    <n v="0"/>
    <n v="0"/>
    <n v="0"/>
    <n v="0"/>
    <x v="0"/>
    <n v="0"/>
    <n v="0"/>
    <m/>
    <n v="53.4"/>
    <m/>
    <n v="0"/>
    <m/>
    <n v="0"/>
    <m/>
    <n v="0"/>
    <m/>
    <n v="0"/>
    <m/>
    <n v="0"/>
    <m/>
  </r>
  <r>
    <x v="562"/>
    <n v="45757"/>
    <x v="0"/>
    <x v="2"/>
    <x v="0"/>
    <x v="1"/>
    <x v="0"/>
    <n v="0"/>
    <n v="0"/>
    <n v="0"/>
    <n v="0"/>
    <x v="0"/>
    <n v="0"/>
    <n v="0"/>
    <m/>
    <n v="40.700000000000003"/>
    <m/>
    <n v="0"/>
    <m/>
    <n v="0"/>
    <m/>
    <n v="0"/>
    <m/>
    <n v="0"/>
    <m/>
    <n v="0"/>
    <m/>
  </r>
  <r>
    <x v="563"/>
    <n v="45740"/>
    <x v="0"/>
    <x v="2"/>
    <x v="1"/>
    <x v="1"/>
    <x v="2"/>
    <n v="1"/>
    <n v="1"/>
    <n v="0"/>
    <n v="0"/>
    <x v="0"/>
    <n v="0"/>
    <n v="0"/>
    <m/>
    <n v="36.700000000000003"/>
    <m/>
    <n v="0"/>
    <m/>
    <n v="1"/>
    <m/>
    <n v="1"/>
    <m/>
    <n v="0"/>
    <m/>
    <n v="0"/>
    <m/>
  </r>
  <r>
    <x v="564"/>
    <n v="45798"/>
    <x v="0"/>
    <x v="1"/>
    <x v="1"/>
    <x v="1"/>
    <x v="0"/>
    <n v="1"/>
    <n v="0"/>
    <n v="0"/>
    <n v="0"/>
    <x v="0"/>
    <n v="1"/>
    <n v="0"/>
    <m/>
    <n v="67.5"/>
    <m/>
    <n v="0"/>
    <m/>
    <n v="1"/>
    <m/>
    <n v="0"/>
    <m/>
    <n v="0"/>
    <m/>
    <n v="1"/>
    <m/>
  </r>
  <r>
    <x v="565"/>
    <n v="45745"/>
    <x v="0"/>
    <x v="2"/>
    <x v="1"/>
    <x v="4"/>
    <x v="2"/>
    <n v="1"/>
    <n v="1"/>
    <n v="1"/>
    <n v="0"/>
    <x v="0"/>
    <n v="0"/>
    <n v="0"/>
    <m/>
    <n v="69.900000000000006"/>
    <m/>
    <n v="0"/>
    <m/>
    <n v="1"/>
    <m/>
    <n v="1"/>
    <m/>
    <n v="1"/>
    <m/>
    <n v="0"/>
    <m/>
  </r>
  <r>
    <x v="566"/>
    <n v="45711"/>
    <x v="0"/>
    <x v="0"/>
    <x v="2"/>
    <x v="3"/>
    <x v="0"/>
    <n v="1"/>
    <n v="0"/>
    <n v="0"/>
    <n v="0"/>
    <x v="0"/>
    <n v="0"/>
    <n v="0"/>
    <m/>
    <n v="65.099999999999994"/>
    <m/>
    <n v="0"/>
    <m/>
    <n v="1"/>
    <m/>
    <n v="0"/>
    <m/>
    <n v="0"/>
    <m/>
    <n v="0"/>
    <m/>
  </r>
  <r>
    <x v="567"/>
    <n v="45704"/>
    <x v="0"/>
    <x v="1"/>
    <x v="1"/>
    <x v="2"/>
    <x v="2"/>
    <n v="1"/>
    <n v="0"/>
    <n v="0"/>
    <n v="0"/>
    <x v="0"/>
    <n v="0"/>
    <n v="0"/>
    <m/>
    <n v="48.7"/>
    <m/>
    <n v="0"/>
    <m/>
    <n v="1"/>
    <m/>
    <n v="0"/>
    <m/>
    <n v="0"/>
    <m/>
    <n v="0"/>
    <m/>
  </r>
  <r>
    <x v="568"/>
    <n v="45709"/>
    <x v="0"/>
    <x v="1"/>
    <x v="0"/>
    <x v="1"/>
    <x v="0"/>
    <n v="1"/>
    <n v="1"/>
    <n v="0"/>
    <n v="0"/>
    <x v="0"/>
    <n v="0"/>
    <n v="0"/>
    <m/>
    <n v="47.2"/>
    <m/>
    <n v="0"/>
    <m/>
    <n v="1"/>
    <m/>
    <n v="1"/>
    <m/>
    <n v="0"/>
    <m/>
    <n v="0"/>
    <m/>
  </r>
  <r>
    <x v="569"/>
    <n v="45664"/>
    <x v="0"/>
    <x v="0"/>
    <x v="1"/>
    <x v="3"/>
    <x v="1"/>
    <n v="1"/>
    <n v="0"/>
    <n v="0"/>
    <n v="0"/>
    <x v="0"/>
    <n v="2"/>
    <n v="0"/>
    <m/>
    <n v="20.3"/>
    <m/>
    <n v="0"/>
    <m/>
    <n v="1"/>
    <m/>
    <n v="0"/>
    <m/>
    <n v="0"/>
    <m/>
    <n v="2"/>
    <m/>
  </r>
  <r>
    <x v="570"/>
    <n v="45722"/>
    <x v="0"/>
    <x v="1"/>
    <x v="1"/>
    <x v="2"/>
    <x v="1"/>
    <n v="0"/>
    <n v="0"/>
    <n v="0"/>
    <n v="0"/>
    <x v="0"/>
    <n v="1"/>
    <n v="0"/>
    <m/>
    <n v="57.8"/>
    <m/>
    <n v="0"/>
    <m/>
    <n v="0"/>
    <m/>
    <n v="0"/>
    <m/>
    <n v="0"/>
    <m/>
    <n v="1"/>
    <m/>
  </r>
  <r>
    <x v="571"/>
    <n v="45746"/>
    <x v="0"/>
    <x v="2"/>
    <x v="1"/>
    <x v="0"/>
    <x v="0"/>
    <n v="1"/>
    <n v="0"/>
    <n v="0"/>
    <n v="0"/>
    <x v="0"/>
    <n v="0"/>
    <n v="0"/>
    <m/>
    <n v="78.7"/>
    <m/>
    <n v="0"/>
    <m/>
    <n v="1"/>
    <m/>
    <n v="0"/>
    <m/>
    <n v="0"/>
    <m/>
    <n v="0"/>
    <m/>
  </r>
  <r>
    <x v="572"/>
    <n v="45808"/>
    <x v="0"/>
    <x v="3"/>
    <x v="0"/>
    <x v="1"/>
    <x v="1"/>
    <n v="1"/>
    <n v="0"/>
    <n v="0"/>
    <n v="0"/>
    <x v="0"/>
    <n v="0"/>
    <n v="0"/>
    <m/>
    <n v="63.6"/>
    <m/>
    <n v="0"/>
    <m/>
    <n v="1"/>
    <m/>
    <n v="0"/>
    <m/>
    <n v="0"/>
    <m/>
    <n v="0"/>
    <m/>
  </r>
  <r>
    <x v="573"/>
    <n v="45708"/>
    <x v="0"/>
    <x v="3"/>
    <x v="1"/>
    <x v="0"/>
    <x v="1"/>
    <n v="0"/>
    <n v="0"/>
    <n v="0"/>
    <n v="0"/>
    <x v="0"/>
    <n v="2"/>
    <n v="0"/>
    <m/>
    <n v="45.1"/>
    <m/>
    <n v="0"/>
    <m/>
    <n v="0"/>
    <m/>
    <n v="0"/>
    <m/>
    <n v="0"/>
    <m/>
    <n v="2"/>
    <m/>
  </r>
  <r>
    <x v="574"/>
    <n v="45670"/>
    <x v="0"/>
    <x v="1"/>
    <x v="1"/>
    <x v="4"/>
    <x v="1"/>
    <n v="0"/>
    <n v="0"/>
    <n v="0"/>
    <n v="0"/>
    <x v="0"/>
    <n v="0"/>
    <n v="0"/>
    <m/>
    <n v="77.5"/>
    <m/>
    <n v="0"/>
    <m/>
    <n v="0"/>
    <m/>
    <n v="0"/>
    <m/>
    <n v="0"/>
    <m/>
    <n v="0"/>
    <m/>
  </r>
  <r>
    <x v="575"/>
    <n v="45790"/>
    <x v="0"/>
    <x v="2"/>
    <x v="0"/>
    <x v="2"/>
    <x v="0"/>
    <n v="1"/>
    <n v="1"/>
    <n v="0"/>
    <n v="0"/>
    <x v="0"/>
    <n v="0"/>
    <n v="0"/>
    <m/>
    <n v="58"/>
    <m/>
    <n v="0"/>
    <m/>
    <n v="1"/>
    <m/>
    <n v="1"/>
    <m/>
    <n v="0"/>
    <m/>
    <n v="0"/>
    <m/>
  </r>
  <r>
    <x v="576"/>
    <n v="45768"/>
    <x v="0"/>
    <x v="3"/>
    <x v="2"/>
    <x v="1"/>
    <x v="1"/>
    <n v="1"/>
    <n v="0"/>
    <n v="0"/>
    <n v="0"/>
    <x v="0"/>
    <n v="0"/>
    <n v="0"/>
    <m/>
    <n v="68.099999999999994"/>
    <m/>
    <n v="0"/>
    <m/>
    <n v="1"/>
    <m/>
    <n v="0"/>
    <m/>
    <n v="0"/>
    <m/>
    <n v="0"/>
    <m/>
  </r>
  <r>
    <x v="577"/>
    <n v="45717"/>
    <x v="0"/>
    <x v="2"/>
    <x v="2"/>
    <x v="1"/>
    <x v="2"/>
    <n v="1"/>
    <n v="0"/>
    <n v="0"/>
    <n v="0"/>
    <x v="0"/>
    <n v="0"/>
    <n v="0"/>
    <m/>
    <n v="35.4"/>
    <m/>
    <n v="0"/>
    <m/>
    <n v="1"/>
    <m/>
    <n v="0"/>
    <m/>
    <n v="0"/>
    <m/>
    <n v="0"/>
    <m/>
  </r>
  <r>
    <x v="578"/>
    <n v="45726"/>
    <x v="0"/>
    <x v="1"/>
    <x v="2"/>
    <x v="1"/>
    <x v="1"/>
    <n v="0"/>
    <n v="0"/>
    <n v="0"/>
    <n v="0"/>
    <x v="0"/>
    <n v="0"/>
    <n v="0"/>
    <m/>
    <n v="47"/>
    <m/>
    <n v="0"/>
    <m/>
    <n v="0"/>
    <m/>
    <n v="0"/>
    <m/>
    <n v="0"/>
    <m/>
    <n v="0"/>
    <m/>
  </r>
  <r>
    <x v="579"/>
    <n v="45724"/>
    <x v="0"/>
    <x v="2"/>
    <x v="0"/>
    <x v="2"/>
    <x v="1"/>
    <n v="0"/>
    <n v="0"/>
    <n v="0"/>
    <n v="0"/>
    <x v="0"/>
    <n v="0"/>
    <n v="0"/>
    <m/>
    <n v="75"/>
    <m/>
    <n v="0"/>
    <m/>
    <n v="0"/>
    <m/>
    <n v="0"/>
    <m/>
    <n v="0"/>
    <m/>
    <n v="0"/>
    <m/>
  </r>
  <r>
    <x v="580"/>
    <n v="45803"/>
    <x v="0"/>
    <x v="3"/>
    <x v="0"/>
    <x v="2"/>
    <x v="1"/>
    <n v="1"/>
    <n v="1"/>
    <n v="1"/>
    <n v="0"/>
    <x v="0"/>
    <n v="3"/>
    <n v="0"/>
    <m/>
    <n v="50.2"/>
    <m/>
    <n v="0"/>
    <m/>
    <n v="1"/>
    <m/>
    <n v="1"/>
    <m/>
    <n v="1"/>
    <m/>
    <n v="3"/>
    <m/>
  </r>
  <r>
    <x v="581"/>
    <n v="45797"/>
    <x v="0"/>
    <x v="2"/>
    <x v="0"/>
    <x v="2"/>
    <x v="1"/>
    <n v="1"/>
    <n v="0"/>
    <n v="0"/>
    <n v="0"/>
    <x v="0"/>
    <n v="0"/>
    <n v="0"/>
    <m/>
    <n v="40.1"/>
    <m/>
    <n v="0"/>
    <m/>
    <n v="1"/>
    <m/>
    <n v="0"/>
    <m/>
    <n v="0"/>
    <m/>
    <n v="0"/>
    <m/>
  </r>
  <r>
    <x v="582"/>
    <n v="45738"/>
    <x v="0"/>
    <x v="1"/>
    <x v="0"/>
    <x v="2"/>
    <x v="1"/>
    <n v="0"/>
    <n v="0"/>
    <n v="0"/>
    <n v="0"/>
    <x v="0"/>
    <n v="0"/>
    <n v="0"/>
    <m/>
    <n v="61.1"/>
    <m/>
    <n v="0"/>
    <m/>
    <n v="0"/>
    <m/>
    <n v="0"/>
    <m/>
    <n v="0"/>
    <m/>
    <n v="0"/>
    <m/>
  </r>
  <r>
    <x v="583"/>
    <n v="45703"/>
    <x v="0"/>
    <x v="3"/>
    <x v="0"/>
    <x v="2"/>
    <x v="1"/>
    <n v="0"/>
    <n v="0"/>
    <n v="0"/>
    <n v="0"/>
    <x v="0"/>
    <n v="0"/>
    <n v="0"/>
    <m/>
    <n v="42.4"/>
    <m/>
    <n v="0"/>
    <m/>
    <n v="0"/>
    <m/>
    <n v="0"/>
    <m/>
    <n v="0"/>
    <m/>
    <n v="0"/>
    <m/>
  </r>
  <r>
    <x v="584"/>
    <n v="45665"/>
    <x v="0"/>
    <x v="0"/>
    <x v="1"/>
    <x v="4"/>
    <x v="1"/>
    <n v="0"/>
    <n v="0"/>
    <n v="0"/>
    <n v="0"/>
    <x v="0"/>
    <n v="1"/>
    <n v="0"/>
    <m/>
    <n v="46.6"/>
    <m/>
    <n v="0"/>
    <m/>
    <n v="0"/>
    <m/>
    <n v="0"/>
    <m/>
    <n v="0"/>
    <m/>
    <n v="1"/>
    <m/>
  </r>
  <r>
    <x v="585"/>
    <n v="45686"/>
    <x v="0"/>
    <x v="3"/>
    <x v="1"/>
    <x v="1"/>
    <x v="2"/>
    <n v="1"/>
    <n v="1"/>
    <n v="0"/>
    <n v="0"/>
    <x v="0"/>
    <n v="0"/>
    <n v="0"/>
    <m/>
    <n v="72.099999999999994"/>
    <m/>
    <n v="0"/>
    <m/>
    <n v="1"/>
    <m/>
    <n v="1"/>
    <m/>
    <n v="0"/>
    <m/>
    <n v="0"/>
    <m/>
  </r>
  <r>
    <x v="586"/>
    <n v="45784"/>
    <x v="0"/>
    <x v="2"/>
    <x v="2"/>
    <x v="1"/>
    <x v="1"/>
    <n v="0"/>
    <n v="0"/>
    <n v="0"/>
    <n v="0"/>
    <x v="0"/>
    <n v="0"/>
    <n v="0"/>
    <m/>
    <n v="21.5"/>
    <m/>
    <n v="0"/>
    <m/>
    <n v="0"/>
    <m/>
    <n v="0"/>
    <m/>
    <n v="0"/>
    <m/>
    <n v="0"/>
    <m/>
  </r>
  <r>
    <x v="587"/>
    <n v="45717"/>
    <x v="0"/>
    <x v="0"/>
    <x v="1"/>
    <x v="4"/>
    <x v="0"/>
    <n v="1"/>
    <n v="0"/>
    <n v="0"/>
    <n v="0"/>
    <x v="0"/>
    <n v="1"/>
    <n v="0"/>
    <m/>
    <n v="65.400000000000006"/>
    <m/>
    <n v="0"/>
    <m/>
    <n v="1"/>
    <m/>
    <n v="0"/>
    <m/>
    <n v="0"/>
    <m/>
    <n v="1"/>
    <m/>
  </r>
  <r>
    <x v="588"/>
    <n v="45767"/>
    <x v="0"/>
    <x v="2"/>
    <x v="1"/>
    <x v="1"/>
    <x v="1"/>
    <n v="1"/>
    <n v="1"/>
    <n v="0"/>
    <n v="0"/>
    <x v="0"/>
    <n v="0"/>
    <n v="0"/>
    <m/>
    <n v="53.3"/>
    <m/>
    <n v="0"/>
    <m/>
    <n v="1"/>
    <m/>
    <n v="1"/>
    <m/>
    <n v="0"/>
    <m/>
    <n v="0"/>
    <m/>
  </r>
  <r>
    <x v="589"/>
    <n v="45673"/>
    <x v="0"/>
    <x v="2"/>
    <x v="1"/>
    <x v="1"/>
    <x v="2"/>
    <n v="0"/>
    <n v="0"/>
    <n v="0"/>
    <n v="0"/>
    <x v="0"/>
    <n v="2"/>
    <n v="0"/>
    <m/>
    <n v="52.3"/>
    <m/>
    <n v="0"/>
    <m/>
    <n v="0"/>
    <m/>
    <n v="0"/>
    <m/>
    <n v="0"/>
    <m/>
    <n v="2"/>
    <m/>
  </r>
  <r>
    <x v="590"/>
    <n v="45751"/>
    <x v="0"/>
    <x v="2"/>
    <x v="1"/>
    <x v="2"/>
    <x v="1"/>
    <n v="1"/>
    <n v="0"/>
    <n v="0"/>
    <n v="0"/>
    <x v="0"/>
    <n v="0"/>
    <n v="0"/>
    <m/>
    <n v="62.5"/>
    <m/>
    <n v="0"/>
    <m/>
    <n v="1"/>
    <m/>
    <n v="0"/>
    <m/>
    <n v="0"/>
    <m/>
    <n v="0"/>
    <m/>
  </r>
  <r>
    <x v="591"/>
    <n v="45686"/>
    <x v="0"/>
    <x v="0"/>
    <x v="2"/>
    <x v="4"/>
    <x v="1"/>
    <n v="1"/>
    <n v="0"/>
    <n v="0"/>
    <n v="0"/>
    <x v="0"/>
    <n v="0"/>
    <n v="0"/>
    <m/>
    <n v="69.8"/>
    <m/>
    <n v="0"/>
    <m/>
    <n v="1"/>
    <m/>
    <n v="0"/>
    <m/>
    <n v="0"/>
    <m/>
    <n v="0"/>
    <m/>
  </r>
  <r>
    <x v="592"/>
    <n v="45766"/>
    <x v="0"/>
    <x v="2"/>
    <x v="1"/>
    <x v="0"/>
    <x v="1"/>
    <n v="1"/>
    <n v="0"/>
    <n v="0"/>
    <n v="0"/>
    <x v="0"/>
    <n v="0"/>
    <n v="0"/>
    <m/>
    <n v="68.2"/>
    <m/>
    <n v="0"/>
    <m/>
    <n v="1"/>
    <m/>
    <n v="0"/>
    <m/>
    <n v="0"/>
    <m/>
    <n v="0"/>
    <m/>
  </r>
  <r>
    <x v="593"/>
    <n v="45726"/>
    <x v="0"/>
    <x v="3"/>
    <x v="1"/>
    <x v="4"/>
    <x v="0"/>
    <n v="1"/>
    <n v="1"/>
    <n v="1"/>
    <n v="1"/>
    <x v="21"/>
    <n v="0"/>
    <n v="0"/>
    <n v="6"/>
    <n v="35.200000000000003"/>
    <m/>
    <n v="1"/>
    <m/>
    <n v="1"/>
    <m/>
    <n v="1"/>
    <m/>
    <n v="1"/>
    <m/>
    <n v="0"/>
    <m/>
  </r>
  <r>
    <x v="594"/>
    <n v="45787"/>
    <x v="0"/>
    <x v="3"/>
    <x v="1"/>
    <x v="4"/>
    <x v="0"/>
    <n v="0"/>
    <n v="0"/>
    <n v="0"/>
    <n v="0"/>
    <x v="0"/>
    <n v="0"/>
    <n v="0"/>
    <m/>
    <n v="59.3"/>
    <m/>
    <n v="0"/>
    <m/>
    <n v="0"/>
    <m/>
    <n v="0"/>
    <m/>
    <n v="0"/>
    <m/>
    <n v="0"/>
    <m/>
  </r>
  <r>
    <x v="595"/>
    <n v="45690"/>
    <x v="0"/>
    <x v="0"/>
    <x v="1"/>
    <x v="4"/>
    <x v="1"/>
    <n v="0"/>
    <n v="0"/>
    <n v="0"/>
    <n v="0"/>
    <x v="0"/>
    <n v="0"/>
    <n v="0"/>
    <m/>
    <n v="68.099999999999994"/>
    <m/>
    <n v="0"/>
    <m/>
    <n v="0"/>
    <m/>
    <n v="0"/>
    <m/>
    <n v="0"/>
    <m/>
    <n v="0"/>
    <m/>
  </r>
  <r>
    <x v="596"/>
    <n v="45783"/>
    <x v="0"/>
    <x v="0"/>
    <x v="0"/>
    <x v="1"/>
    <x v="1"/>
    <n v="1"/>
    <n v="1"/>
    <n v="0"/>
    <n v="0"/>
    <x v="0"/>
    <n v="0"/>
    <n v="0"/>
    <m/>
    <n v="74.8"/>
    <m/>
    <n v="0"/>
    <m/>
    <n v="1"/>
    <m/>
    <n v="1"/>
    <m/>
    <n v="0"/>
    <m/>
    <n v="0"/>
    <m/>
  </r>
  <r>
    <x v="597"/>
    <n v="45676"/>
    <x v="0"/>
    <x v="1"/>
    <x v="0"/>
    <x v="1"/>
    <x v="1"/>
    <n v="1"/>
    <n v="1"/>
    <n v="1"/>
    <n v="0"/>
    <x v="0"/>
    <n v="0"/>
    <n v="0"/>
    <m/>
    <n v="61.7"/>
    <m/>
    <n v="0"/>
    <m/>
    <n v="1"/>
    <m/>
    <n v="1"/>
    <m/>
    <n v="1"/>
    <m/>
    <n v="0"/>
    <m/>
  </r>
  <r>
    <x v="598"/>
    <n v="45659"/>
    <x v="0"/>
    <x v="0"/>
    <x v="1"/>
    <x v="1"/>
    <x v="1"/>
    <n v="1"/>
    <n v="0"/>
    <n v="0"/>
    <n v="0"/>
    <x v="0"/>
    <n v="0"/>
    <n v="0"/>
    <m/>
    <n v="24.3"/>
    <m/>
    <n v="0"/>
    <m/>
    <n v="1"/>
    <m/>
    <n v="0"/>
    <m/>
    <n v="0"/>
    <m/>
    <n v="0"/>
    <m/>
  </r>
  <r>
    <x v="599"/>
    <n v="45780"/>
    <x v="0"/>
    <x v="3"/>
    <x v="0"/>
    <x v="2"/>
    <x v="1"/>
    <n v="0"/>
    <n v="0"/>
    <n v="0"/>
    <n v="0"/>
    <x v="0"/>
    <n v="1"/>
    <n v="0"/>
    <m/>
    <n v="61.9"/>
    <m/>
    <n v="0"/>
    <m/>
    <n v="0"/>
    <m/>
    <n v="0"/>
    <m/>
    <n v="0"/>
    <m/>
    <n v="1"/>
    <m/>
  </r>
  <r>
    <x v="600"/>
    <n v="45804"/>
    <x v="0"/>
    <x v="2"/>
    <x v="0"/>
    <x v="3"/>
    <x v="2"/>
    <n v="0"/>
    <n v="0"/>
    <n v="0"/>
    <n v="0"/>
    <x v="0"/>
    <n v="2"/>
    <n v="0"/>
    <m/>
    <n v="41.7"/>
    <m/>
    <n v="0"/>
    <m/>
    <n v="0"/>
    <m/>
    <n v="0"/>
    <m/>
    <n v="0"/>
    <m/>
    <n v="2"/>
    <m/>
  </r>
  <r>
    <x v="601"/>
    <n v="45697"/>
    <x v="0"/>
    <x v="3"/>
    <x v="0"/>
    <x v="4"/>
    <x v="1"/>
    <n v="1"/>
    <n v="0"/>
    <n v="0"/>
    <n v="0"/>
    <x v="0"/>
    <n v="0"/>
    <n v="0"/>
    <m/>
    <n v="87.6"/>
    <m/>
    <n v="0"/>
    <m/>
    <n v="1"/>
    <m/>
    <n v="0"/>
    <m/>
    <n v="0"/>
    <m/>
    <n v="0"/>
    <m/>
  </r>
  <r>
    <x v="602"/>
    <n v="45795"/>
    <x v="0"/>
    <x v="2"/>
    <x v="1"/>
    <x v="2"/>
    <x v="1"/>
    <n v="1"/>
    <n v="0"/>
    <n v="0"/>
    <n v="0"/>
    <x v="0"/>
    <n v="0"/>
    <n v="0"/>
    <m/>
    <n v="30.8"/>
    <m/>
    <n v="0"/>
    <m/>
    <n v="1"/>
    <m/>
    <n v="0"/>
    <m/>
    <n v="0"/>
    <m/>
    <n v="0"/>
    <m/>
  </r>
  <r>
    <x v="603"/>
    <n v="45794"/>
    <x v="0"/>
    <x v="0"/>
    <x v="1"/>
    <x v="0"/>
    <x v="1"/>
    <n v="0"/>
    <n v="0"/>
    <n v="0"/>
    <n v="0"/>
    <x v="0"/>
    <n v="0"/>
    <n v="0"/>
    <m/>
    <n v="54"/>
    <m/>
    <n v="0"/>
    <m/>
    <n v="0"/>
    <m/>
    <n v="0"/>
    <m/>
    <n v="0"/>
    <m/>
    <n v="0"/>
    <m/>
  </r>
  <r>
    <x v="604"/>
    <n v="45682"/>
    <x v="0"/>
    <x v="2"/>
    <x v="0"/>
    <x v="3"/>
    <x v="0"/>
    <n v="1"/>
    <n v="0"/>
    <n v="0"/>
    <n v="0"/>
    <x v="0"/>
    <n v="1"/>
    <n v="0"/>
    <m/>
    <n v="54.5"/>
    <m/>
    <n v="0"/>
    <m/>
    <n v="1"/>
    <m/>
    <n v="0"/>
    <m/>
    <n v="0"/>
    <m/>
    <n v="1"/>
    <m/>
  </r>
  <r>
    <x v="605"/>
    <n v="45781"/>
    <x v="0"/>
    <x v="1"/>
    <x v="1"/>
    <x v="2"/>
    <x v="2"/>
    <n v="1"/>
    <n v="1"/>
    <n v="0"/>
    <n v="0"/>
    <x v="0"/>
    <n v="0"/>
    <n v="0"/>
    <m/>
    <n v="61.3"/>
    <m/>
    <n v="0"/>
    <m/>
    <n v="1"/>
    <m/>
    <n v="1"/>
    <m/>
    <n v="0"/>
    <m/>
    <n v="0"/>
    <m/>
  </r>
  <r>
    <x v="606"/>
    <n v="45761"/>
    <x v="0"/>
    <x v="1"/>
    <x v="1"/>
    <x v="1"/>
    <x v="1"/>
    <n v="1"/>
    <n v="0"/>
    <n v="0"/>
    <n v="0"/>
    <x v="0"/>
    <n v="0"/>
    <n v="0"/>
    <m/>
    <n v="62.7"/>
    <m/>
    <n v="0"/>
    <m/>
    <n v="1"/>
    <m/>
    <n v="0"/>
    <m/>
    <n v="0"/>
    <m/>
    <n v="0"/>
    <m/>
  </r>
  <r>
    <x v="607"/>
    <n v="45765"/>
    <x v="0"/>
    <x v="3"/>
    <x v="1"/>
    <x v="2"/>
    <x v="1"/>
    <n v="1"/>
    <n v="1"/>
    <n v="0"/>
    <n v="0"/>
    <x v="0"/>
    <n v="0"/>
    <n v="0"/>
    <m/>
    <n v="43.1"/>
    <m/>
    <n v="0"/>
    <m/>
    <n v="1"/>
    <m/>
    <n v="1"/>
    <m/>
    <n v="0"/>
    <m/>
    <n v="0"/>
    <m/>
  </r>
  <r>
    <x v="608"/>
    <n v="45712"/>
    <x v="0"/>
    <x v="3"/>
    <x v="0"/>
    <x v="0"/>
    <x v="0"/>
    <n v="0"/>
    <n v="0"/>
    <n v="0"/>
    <n v="0"/>
    <x v="0"/>
    <n v="0"/>
    <n v="0"/>
    <m/>
    <n v="59.9"/>
    <m/>
    <n v="0"/>
    <m/>
    <n v="0"/>
    <m/>
    <n v="0"/>
    <m/>
    <n v="0"/>
    <m/>
    <n v="0"/>
    <m/>
  </r>
  <r>
    <x v="609"/>
    <n v="45766"/>
    <x v="0"/>
    <x v="0"/>
    <x v="2"/>
    <x v="2"/>
    <x v="1"/>
    <n v="1"/>
    <n v="1"/>
    <n v="1"/>
    <n v="0"/>
    <x v="0"/>
    <n v="0"/>
    <n v="0"/>
    <m/>
    <n v="55.7"/>
    <m/>
    <n v="0"/>
    <m/>
    <n v="1"/>
    <m/>
    <n v="1"/>
    <m/>
    <n v="1"/>
    <m/>
    <n v="0"/>
    <m/>
  </r>
  <r>
    <x v="610"/>
    <n v="45723"/>
    <x v="0"/>
    <x v="3"/>
    <x v="0"/>
    <x v="1"/>
    <x v="0"/>
    <n v="1"/>
    <n v="0"/>
    <n v="0"/>
    <n v="0"/>
    <x v="0"/>
    <n v="0"/>
    <n v="0"/>
    <m/>
    <n v="37.1"/>
    <m/>
    <n v="0"/>
    <m/>
    <n v="1"/>
    <m/>
    <n v="0"/>
    <m/>
    <n v="0"/>
    <m/>
    <n v="0"/>
    <m/>
  </r>
  <r>
    <x v="611"/>
    <n v="45725"/>
    <x v="0"/>
    <x v="2"/>
    <x v="1"/>
    <x v="1"/>
    <x v="0"/>
    <n v="0"/>
    <n v="0"/>
    <n v="0"/>
    <n v="0"/>
    <x v="0"/>
    <n v="1"/>
    <n v="0"/>
    <m/>
    <n v="46.7"/>
    <m/>
    <n v="0"/>
    <m/>
    <n v="0"/>
    <m/>
    <n v="0"/>
    <m/>
    <n v="0"/>
    <m/>
    <n v="1"/>
    <m/>
  </r>
  <r>
    <x v="612"/>
    <n v="45778"/>
    <x v="0"/>
    <x v="3"/>
    <x v="0"/>
    <x v="1"/>
    <x v="0"/>
    <n v="1"/>
    <n v="0"/>
    <n v="0"/>
    <n v="0"/>
    <x v="0"/>
    <n v="0"/>
    <n v="0"/>
    <m/>
    <n v="54.1"/>
    <m/>
    <n v="0"/>
    <m/>
    <n v="1"/>
    <m/>
    <n v="0"/>
    <m/>
    <n v="0"/>
    <m/>
    <n v="0"/>
    <m/>
  </r>
  <r>
    <x v="613"/>
    <n v="45697"/>
    <x v="0"/>
    <x v="1"/>
    <x v="0"/>
    <x v="1"/>
    <x v="2"/>
    <n v="1"/>
    <n v="1"/>
    <n v="1"/>
    <n v="0"/>
    <x v="0"/>
    <n v="0"/>
    <n v="0"/>
    <m/>
    <n v="56.1"/>
    <m/>
    <n v="0"/>
    <m/>
    <n v="1"/>
    <m/>
    <n v="1"/>
    <m/>
    <n v="1"/>
    <m/>
    <n v="0"/>
    <m/>
  </r>
  <r>
    <x v="614"/>
    <n v="45799"/>
    <x v="0"/>
    <x v="1"/>
    <x v="1"/>
    <x v="3"/>
    <x v="2"/>
    <n v="0"/>
    <n v="0"/>
    <n v="0"/>
    <n v="0"/>
    <x v="0"/>
    <n v="0"/>
    <n v="0"/>
    <m/>
    <n v="23.6"/>
    <m/>
    <n v="0"/>
    <m/>
    <n v="0"/>
    <m/>
    <n v="0"/>
    <m/>
    <n v="0"/>
    <m/>
    <n v="0"/>
    <m/>
  </r>
  <r>
    <x v="615"/>
    <n v="45699"/>
    <x v="0"/>
    <x v="0"/>
    <x v="1"/>
    <x v="1"/>
    <x v="2"/>
    <n v="0"/>
    <n v="0"/>
    <n v="0"/>
    <n v="0"/>
    <x v="0"/>
    <n v="0"/>
    <n v="0"/>
    <m/>
    <n v="54.7"/>
    <m/>
    <n v="0"/>
    <m/>
    <n v="0"/>
    <m/>
    <n v="0"/>
    <m/>
    <n v="0"/>
    <m/>
    <n v="0"/>
    <m/>
  </r>
  <r>
    <x v="616"/>
    <n v="45759"/>
    <x v="0"/>
    <x v="0"/>
    <x v="1"/>
    <x v="3"/>
    <x v="0"/>
    <n v="0"/>
    <n v="0"/>
    <n v="0"/>
    <n v="0"/>
    <x v="0"/>
    <n v="2"/>
    <n v="0"/>
    <m/>
    <n v="50.4"/>
    <m/>
    <n v="0"/>
    <m/>
    <n v="0"/>
    <m/>
    <n v="0"/>
    <m/>
    <n v="0"/>
    <m/>
    <n v="2"/>
    <m/>
  </r>
  <r>
    <x v="617"/>
    <n v="45717"/>
    <x v="0"/>
    <x v="1"/>
    <x v="1"/>
    <x v="4"/>
    <x v="1"/>
    <n v="1"/>
    <n v="0"/>
    <n v="0"/>
    <n v="0"/>
    <x v="0"/>
    <n v="0"/>
    <n v="0"/>
    <m/>
    <n v="54.5"/>
    <m/>
    <n v="0"/>
    <m/>
    <n v="1"/>
    <m/>
    <n v="0"/>
    <m/>
    <n v="0"/>
    <m/>
    <n v="0"/>
    <m/>
  </r>
  <r>
    <x v="618"/>
    <n v="45733"/>
    <x v="0"/>
    <x v="1"/>
    <x v="0"/>
    <x v="0"/>
    <x v="0"/>
    <n v="0"/>
    <n v="0"/>
    <n v="0"/>
    <n v="0"/>
    <x v="0"/>
    <n v="0"/>
    <n v="0"/>
    <m/>
    <n v="58"/>
    <m/>
    <n v="0"/>
    <m/>
    <n v="0"/>
    <m/>
    <n v="0"/>
    <m/>
    <n v="0"/>
    <m/>
    <n v="0"/>
    <m/>
  </r>
  <r>
    <x v="619"/>
    <n v="45668"/>
    <x v="0"/>
    <x v="0"/>
    <x v="1"/>
    <x v="2"/>
    <x v="1"/>
    <n v="0"/>
    <n v="0"/>
    <n v="0"/>
    <n v="0"/>
    <x v="0"/>
    <n v="0"/>
    <n v="0"/>
    <m/>
    <n v="42.9"/>
    <m/>
    <n v="0"/>
    <m/>
    <n v="0"/>
    <m/>
    <n v="0"/>
    <m/>
    <n v="0"/>
    <m/>
    <n v="0"/>
    <m/>
  </r>
  <r>
    <x v="620"/>
    <n v="45705"/>
    <x v="0"/>
    <x v="3"/>
    <x v="1"/>
    <x v="4"/>
    <x v="2"/>
    <n v="1"/>
    <n v="0"/>
    <n v="0"/>
    <n v="0"/>
    <x v="0"/>
    <n v="0"/>
    <n v="0"/>
    <m/>
    <n v="51.1"/>
    <m/>
    <n v="0"/>
    <m/>
    <n v="1"/>
    <m/>
    <n v="0"/>
    <m/>
    <n v="0"/>
    <m/>
    <n v="0"/>
    <m/>
  </r>
  <r>
    <x v="621"/>
    <n v="45741"/>
    <x v="0"/>
    <x v="2"/>
    <x v="1"/>
    <x v="2"/>
    <x v="0"/>
    <n v="1"/>
    <n v="1"/>
    <n v="0"/>
    <n v="0"/>
    <x v="0"/>
    <n v="0"/>
    <n v="0"/>
    <m/>
    <n v="51.8"/>
    <m/>
    <n v="0"/>
    <m/>
    <n v="1"/>
    <m/>
    <n v="1"/>
    <m/>
    <n v="0"/>
    <m/>
    <n v="0"/>
    <m/>
  </r>
  <r>
    <x v="622"/>
    <n v="45778"/>
    <x v="0"/>
    <x v="3"/>
    <x v="1"/>
    <x v="2"/>
    <x v="1"/>
    <n v="0"/>
    <n v="0"/>
    <n v="0"/>
    <n v="0"/>
    <x v="0"/>
    <n v="0"/>
    <n v="0"/>
    <m/>
    <n v="67.7"/>
    <m/>
    <n v="0"/>
    <m/>
    <n v="0"/>
    <m/>
    <n v="0"/>
    <m/>
    <n v="0"/>
    <m/>
    <n v="0"/>
    <m/>
  </r>
  <r>
    <x v="623"/>
    <n v="45749"/>
    <x v="0"/>
    <x v="2"/>
    <x v="1"/>
    <x v="1"/>
    <x v="0"/>
    <n v="0"/>
    <n v="0"/>
    <n v="0"/>
    <n v="0"/>
    <x v="0"/>
    <n v="0"/>
    <n v="0"/>
    <m/>
    <n v="75.8"/>
    <m/>
    <n v="0"/>
    <m/>
    <n v="0"/>
    <m/>
    <n v="0"/>
    <m/>
    <n v="0"/>
    <m/>
    <n v="0"/>
    <m/>
  </r>
  <r>
    <x v="624"/>
    <n v="45752"/>
    <x v="0"/>
    <x v="2"/>
    <x v="1"/>
    <x v="0"/>
    <x v="1"/>
    <n v="1"/>
    <n v="1"/>
    <n v="0"/>
    <n v="0"/>
    <x v="0"/>
    <n v="0"/>
    <n v="0"/>
    <m/>
    <n v="72.8"/>
    <m/>
    <n v="0"/>
    <m/>
    <n v="1"/>
    <m/>
    <n v="1"/>
    <m/>
    <n v="0"/>
    <m/>
    <n v="0"/>
    <m/>
  </r>
  <r>
    <x v="625"/>
    <n v="45712"/>
    <x v="0"/>
    <x v="0"/>
    <x v="0"/>
    <x v="4"/>
    <x v="1"/>
    <n v="1"/>
    <n v="1"/>
    <n v="0"/>
    <n v="0"/>
    <x v="0"/>
    <n v="0"/>
    <n v="0"/>
    <m/>
    <n v="54.4"/>
    <m/>
    <n v="0"/>
    <m/>
    <n v="1"/>
    <m/>
    <n v="1"/>
    <m/>
    <n v="0"/>
    <m/>
    <n v="0"/>
    <m/>
  </r>
  <r>
    <x v="626"/>
    <n v="45681"/>
    <x v="0"/>
    <x v="1"/>
    <x v="1"/>
    <x v="2"/>
    <x v="0"/>
    <n v="1"/>
    <n v="0"/>
    <n v="0"/>
    <n v="0"/>
    <x v="0"/>
    <n v="0"/>
    <n v="0"/>
    <m/>
    <n v="51.8"/>
    <m/>
    <n v="0"/>
    <m/>
    <n v="1"/>
    <m/>
    <n v="0"/>
    <m/>
    <n v="0"/>
    <m/>
    <n v="0"/>
    <m/>
  </r>
  <r>
    <x v="627"/>
    <n v="45757"/>
    <x v="0"/>
    <x v="3"/>
    <x v="1"/>
    <x v="2"/>
    <x v="1"/>
    <n v="0"/>
    <n v="0"/>
    <n v="0"/>
    <n v="0"/>
    <x v="0"/>
    <n v="0"/>
    <n v="0"/>
    <m/>
    <n v="40.299999999999997"/>
    <m/>
    <n v="0"/>
    <m/>
    <n v="0"/>
    <m/>
    <n v="0"/>
    <m/>
    <n v="0"/>
    <m/>
    <n v="0"/>
    <m/>
  </r>
  <r>
    <x v="628"/>
    <n v="45707"/>
    <x v="0"/>
    <x v="3"/>
    <x v="1"/>
    <x v="3"/>
    <x v="1"/>
    <n v="1"/>
    <n v="1"/>
    <n v="1"/>
    <n v="0"/>
    <x v="0"/>
    <n v="0"/>
    <n v="0"/>
    <m/>
    <n v="61.7"/>
    <m/>
    <n v="0"/>
    <m/>
    <n v="1"/>
    <m/>
    <n v="1"/>
    <m/>
    <n v="1"/>
    <m/>
    <n v="0"/>
    <m/>
  </r>
  <r>
    <x v="629"/>
    <n v="45738"/>
    <x v="0"/>
    <x v="0"/>
    <x v="1"/>
    <x v="4"/>
    <x v="1"/>
    <n v="0"/>
    <n v="0"/>
    <n v="0"/>
    <n v="0"/>
    <x v="0"/>
    <n v="0"/>
    <n v="0"/>
    <m/>
    <n v="45"/>
    <m/>
    <n v="0"/>
    <m/>
    <n v="0"/>
    <m/>
    <n v="0"/>
    <m/>
    <n v="0"/>
    <m/>
    <n v="0"/>
    <m/>
  </r>
  <r>
    <x v="630"/>
    <n v="45755"/>
    <x v="0"/>
    <x v="2"/>
    <x v="0"/>
    <x v="1"/>
    <x v="2"/>
    <n v="1"/>
    <n v="1"/>
    <n v="1"/>
    <n v="0"/>
    <x v="0"/>
    <n v="0"/>
    <n v="0"/>
    <m/>
    <n v="60"/>
    <m/>
    <n v="0"/>
    <m/>
    <n v="1"/>
    <m/>
    <n v="1"/>
    <m/>
    <n v="1"/>
    <m/>
    <n v="0"/>
    <m/>
  </r>
  <r>
    <x v="631"/>
    <n v="45732"/>
    <x v="0"/>
    <x v="0"/>
    <x v="1"/>
    <x v="4"/>
    <x v="1"/>
    <n v="1"/>
    <n v="0"/>
    <n v="0"/>
    <n v="0"/>
    <x v="0"/>
    <n v="0"/>
    <n v="0"/>
    <m/>
    <m/>
    <m/>
    <n v="0"/>
    <m/>
    <n v="1"/>
    <m/>
    <n v="0"/>
    <m/>
    <n v="0"/>
    <m/>
    <n v="0"/>
    <m/>
  </r>
  <r>
    <x v="632"/>
    <n v="45723"/>
    <x v="0"/>
    <x v="2"/>
    <x v="1"/>
    <x v="2"/>
    <x v="1"/>
    <n v="1"/>
    <n v="0"/>
    <n v="0"/>
    <n v="0"/>
    <x v="0"/>
    <n v="0"/>
    <n v="0"/>
    <m/>
    <n v="55.5"/>
    <m/>
    <n v="0"/>
    <m/>
    <n v="1"/>
    <m/>
    <n v="0"/>
    <m/>
    <n v="0"/>
    <m/>
    <n v="0"/>
    <m/>
  </r>
  <r>
    <x v="633"/>
    <n v="45732"/>
    <x v="0"/>
    <x v="3"/>
    <x v="1"/>
    <x v="3"/>
    <x v="0"/>
    <n v="0"/>
    <n v="0"/>
    <n v="0"/>
    <n v="0"/>
    <x v="0"/>
    <n v="0"/>
    <n v="0"/>
    <m/>
    <n v="51.8"/>
    <m/>
    <n v="0"/>
    <m/>
    <n v="0"/>
    <m/>
    <n v="0"/>
    <m/>
    <n v="0"/>
    <m/>
    <n v="0"/>
    <m/>
  </r>
  <r>
    <x v="634"/>
    <n v="45803"/>
    <x v="0"/>
    <x v="2"/>
    <x v="1"/>
    <x v="5"/>
    <x v="2"/>
    <n v="1"/>
    <n v="0"/>
    <n v="0"/>
    <n v="0"/>
    <x v="0"/>
    <n v="3"/>
    <n v="0"/>
    <m/>
    <n v="56"/>
    <m/>
    <n v="0"/>
    <m/>
    <n v="1"/>
    <m/>
    <n v="0"/>
    <m/>
    <n v="0"/>
    <m/>
    <n v="3"/>
    <m/>
  </r>
  <r>
    <x v="635"/>
    <n v="45671"/>
    <x v="0"/>
    <x v="1"/>
    <x v="1"/>
    <x v="1"/>
    <x v="1"/>
    <n v="0"/>
    <n v="0"/>
    <n v="0"/>
    <n v="0"/>
    <x v="0"/>
    <n v="0"/>
    <n v="0"/>
    <m/>
    <n v="52.5"/>
    <m/>
    <n v="0"/>
    <m/>
    <n v="0"/>
    <m/>
    <n v="0"/>
    <m/>
    <n v="0"/>
    <m/>
    <n v="0"/>
    <m/>
  </r>
  <r>
    <x v="636"/>
    <n v="45746"/>
    <x v="0"/>
    <x v="1"/>
    <x v="1"/>
    <x v="2"/>
    <x v="2"/>
    <n v="1"/>
    <n v="0"/>
    <n v="0"/>
    <n v="0"/>
    <x v="0"/>
    <n v="0"/>
    <n v="0"/>
    <m/>
    <n v="42.5"/>
    <m/>
    <n v="0"/>
    <m/>
    <n v="1"/>
    <m/>
    <n v="0"/>
    <m/>
    <n v="0"/>
    <m/>
    <n v="0"/>
    <m/>
  </r>
  <r>
    <x v="637"/>
    <n v="45789"/>
    <x v="0"/>
    <x v="2"/>
    <x v="0"/>
    <x v="0"/>
    <x v="1"/>
    <n v="1"/>
    <n v="1"/>
    <n v="1"/>
    <n v="0"/>
    <x v="0"/>
    <n v="0"/>
    <n v="0"/>
    <m/>
    <n v="65.3"/>
    <m/>
    <n v="0"/>
    <m/>
    <n v="1"/>
    <m/>
    <n v="1"/>
    <m/>
    <n v="1"/>
    <m/>
    <n v="0"/>
    <m/>
  </r>
  <r>
    <x v="638"/>
    <n v="45787"/>
    <x v="0"/>
    <x v="1"/>
    <x v="1"/>
    <x v="2"/>
    <x v="1"/>
    <n v="0"/>
    <n v="0"/>
    <n v="0"/>
    <n v="0"/>
    <x v="0"/>
    <n v="0"/>
    <n v="0"/>
    <m/>
    <n v="37.6"/>
    <m/>
    <n v="0"/>
    <m/>
    <n v="0"/>
    <m/>
    <n v="0"/>
    <m/>
    <n v="0"/>
    <m/>
    <n v="0"/>
    <m/>
  </r>
  <r>
    <x v="639"/>
    <n v="45756"/>
    <x v="0"/>
    <x v="2"/>
    <x v="1"/>
    <x v="4"/>
    <x v="0"/>
    <n v="0"/>
    <n v="0"/>
    <n v="0"/>
    <n v="0"/>
    <x v="0"/>
    <n v="0"/>
    <n v="0"/>
    <m/>
    <n v="57.8"/>
    <m/>
    <n v="0"/>
    <m/>
    <n v="0"/>
    <m/>
    <n v="0"/>
    <m/>
    <n v="0"/>
    <m/>
    <n v="0"/>
    <m/>
  </r>
  <r>
    <x v="640"/>
    <n v="45803"/>
    <x v="0"/>
    <x v="0"/>
    <x v="1"/>
    <x v="4"/>
    <x v="1"/>
    <n v="1"/>
    <n v="0"/>
    <n v="0"/>
    <n v="0"/>
    <x v="0"/>
    <n v="0"/>
    <n v="0"/>
    <m/>
    <n v="52.7"/>
    <m/>
    <n v="0"/>
    <m/>
    <n v="1"/>
    <m/>
    <n v="0"/>
    <m/>
    <n v="0"/>
    <m/>
    <n v="0"/>
    <m/>
  </r>
  <r>
    <x v="641"/>
    <n v="45700"/>
    <x v="0"/>
    <x v="0"/>
    <x v="1"/>
    <x v="1"/>
    <x v="1"/>
    <n v="1"/>
    <n v="0"/>
    <n v="0"/>
    <n v="0"/>
    <x v="0"/>
    <n v="0"/>
    <n v="0"/>
    <m/>
    <n v="51.7"/>
    <m/>
    <n v="0"/>
    <m/>
    <n v="1"/>
    <m/>
    <n v="0"/>
    <m/>
    <n v="0"/>
    <m/>
    <n v="0"/>
    <m/>
  </r>
  <r>
    <x v="642"/>
    <n v="45748"/>
    <x v="0"/>
    <x v="0"/>
    <x v="0"/>
    <x v="0"/>
    <x v="0"/>
    <n v="0"/>
    <n v="0"/>
    <n v="0"/>
    <n v="0"/>
    <x v="0"/>
    <n v="0"/>
    <n v="0"/>
    <m/>
    <n v="57"/>
    <m/>
    <n v="0"/>
    <m/>
    <n v="0"/>
    <m/>
    <n v="0"/>
    <m/>
    <n v="0"/>
    <m/>
    <n v="0"/>
    <m/>
  </r>
  <r>
    <x v="643"/>
    <n v="45675"/>
    <x v="0"/>
    <x v="3"/>
    <x v="0"/>
    <x v="1"/>
    <x v="0"/>
    <n v="0"/>
    <n v="0"/>
    <n v="0"/>
    <n v="0"/>
    <x v="0"/>
    <n v="0"/>
    <n v="0"/>
    <m/>
    <n v="39.5"/>
    <m/>
    <n v="0"/>
    <m/>
    <n v="0"/>
    <m/>
    <n v="0"/>
    <m/>
    <n v="0"/>
    <m/>
    <n v="0"/>
    <m/>
  </r>
  <r>
    <x v="644"/>
    <n v="45753"/>
    <x v="0"/>
    <x v="2"/>
    <x v="2"/>
    <x v="1"/>
    <x v="1"/>
    <n v="1"/>
    <n v="0"/>
    <n v="0"/>
    <n v="0"/>
    <x v="0"/>
    <n v="0"/>
    <n v="0"/>
    <m/>
    <n v="76.5"/>
    <m/>
    <n v="0"/>
    <m/>
    <n v="1"/>
    <m/>
    <n v="0"/>
    <m/>
    <n v="0"/>
    <m/>
    <n v="0"/>
    <m/>
  </r>
  <r>
    <x v="645"/>
    <n v="45764"/>
    <x v="0"/>
    <x v="2"/>
    <x v="1"/>
    <x v="1"/>
    <x v="1"/>
    <n v="1"/>
    <n v="0"/>
    <n v="0"/>
    <n v="0"/>
    <x v="0"/>
    <n v="0"/>
    <n v="0"/>
    <m/>
    <n v="32.4"/>
    <m/>
    <n v="0"/>
    <m/>
    <n v="1"/>
    <m/>
    <n v="0"/>
    <m/>
    <n v="0"/>
    <m/>
    <n v="0"/>
    <m/>
  </r>
  <r>
    <x v="646"/>
    <n v="45695"/>
    <x v="0"/>
    <x v="0"/>
    <x v="0"/>
    <x v="2"/>
    <x v="1"/>
    <n v="0"/>
    <n v="0"/>
    <n v="0"/>
    <n v="0"/>
    <x v="0"/>
    <n v="0"/>
    <n v="0"/>
    <m/>
    <n v="58.6"/>
    <m/>
    <n v="0"/>
    <m/>
    <n v="0"/>
    <m/>
    <n v="0"/>
    <m/>
    <n v="0"/>
    <m/>
    <n v="0"/>
    <m/>
  </r>
  <r>
    <x v="647"/>
    <n v="45720"/>
    <x v="0"/>
    <x v="2"/>
    <x v="1"/>
    <x v="1"/>
    <x v="0"/>
    <n v="1"/>
    <n v="0"/>
    <n v="0"/>
    <n v="0"/>
    <x v="0"/>
    <n v="0"/>
    <n v="0"/>
    <m/>
    <n v="78.599999999999994"/>
    <m/>
    <n v="0"/>
    <m/>
    <n v="1"/>
    <m/>
    <n v="0"/>
    <m/>
    <n v="0"/>
    <m/>
    <n v="0"/>
    <m/>
  </r>
  <r>
    <x v="648"/>
    <n v="45705"/>
    <x v="0"/>
    <x v="0"/>
    <x v="0"/>
    <x v="1"/>
    <x v="2"/>
    <n v="0"/>
    <n v="0"/>
    <n v="0"/>
    <n v="0"/>
    <x v="0"/>
    <n v="0"/>
    <n v="0"/>
    <m/>
    <n v="54.5"/>
    <m/>
    <n v="0"/>
    <m/>
    <n v="0"/>
    <m/>
    <n v="0"/>
    <m/>
    <n v="0"/>
    <m/>
    <n v="0"/>
    <m/>
  </r>
  <r>
    <x v="649"/>
    <n v="45783"/>
    <x v="0"/>
    <x v="3"/>
    <x v="1"/>
    <x v="3"/>
    <x v="1"/>
    <n v="1"/>
    <n v="0"/>
    <n v="0"/>
    <n v="0"/>
    <x v="0"/>
    <n v="0"/>
    <n v="0"/>
    <m/>
    <n v="57.6"/>
    <m/>
    <n v="0"/>
    <m/>
    <n v="1"/>
    <m/>
    <n v="0"/>
    <m/>
    <n v="0"/>
    <m/>
    <n v="0"/>
    <m/>
  </r>
  <r>
    <x v="650"/>
    <n v="45741"/>
    <x v="0"/>
    <x v="3"/>
    <x v="1"/>
    <x v="3"/>
    <x v="2"/>
    <n v="0"/>
    <n v="0"/>
    <n v="0"/>
    <n v="0"/>
    <x v="0"/>
    <n v="0"/>
    <n v="0"/>
    <m/>
    <n v="52.8"/>
    <m/>
    <n v="0"/>
    <m/>
    <n v="0"/>
    <m/>
    <n v="0"/>
    <m/>
    <n v="0"/>
    <m/>
    <n v="0"/>
    <m/>
  </r>
  <r>
    <x v="651"/>
    <n v="45720"/>
    <x v="0"/>
    <x v="1"/>
    <x v="1"/>
    <x v="0"/>
    <x v="2"/>
    <n v="1"/>
    <n v="0"/>
    <n v="0"/>
    <n v="0"/>
    <x v="0"/>
    <n v="0"/>
    <n v="0"/>
    <m/>
    <n v="52.9"/>
    <m/>
    <n v="0"/>
    <m/>
    <n v="1"/>
    <m/>
    <n v="0"/>
    <m/>
    <n v="0"/>
    <m/>
    <n v="0"/>
    <m/>
  </r>
  <r>
    <x v="652"/>
    <n v="45786"/>
    <x v="0"/>
    <x v="1"/>
    <x v="1"/>
    <x v="1"/>
    <x v="1"/>
    <n v="1"/>
    <n v="0"/>
    <n v="0"/>
    <n v="0"/>
    <x v="0"/>
    <n v="1"/>
    <n v="0"/>
    <m/>
    <n v="55.9"/>
    <m/>
    <n v="0"/>
    <m/>
    <n v="1"/>
    <m/>
    <n v="0"/>
    <m/>
    <n v="0"/>
    <m/>
    <n v="1"/>
    <m/>
  </r>
  <r>
    <x v="653"/>
    <n v="45794"/>
    <x v="0"/>
    <x v="1"/>
    <x v="1"/>
    <x v="3"/>
    <x v="2"/>
    <n v="1"/>
    <n v="0"/>
    <n v="0"/>
    <n v="0"/>
    <x v="0"/>
    <n v="0"/>
    <n v="0"/>
    <m/>
    <n v="74.2"/>
    <m/>
    <n v="0"/>
    <m/>
    <n v="1"/>
    <m/>
    <n v="0"/>
    <m/>
    <n v="0"/>
    <m/>
    <n v="0"/>
    <m/>
  </r>
  <r>
    <x v="654"/>
    <n v="45669"/>
    <x v="0"/>
    <x v="1"/>
    <x v="1"/>
    <x v="1"/>
    <x v="1"/>
    <n v="0"/>
    <n v="0"/>
    <n v="0"/>
    <n v="0"/>
    <x v="0"/>
    <n v="0"/>
    <n v="0"/>
    <m/>
    <n v="46.3"/>
    <m/>
    <n v="0"/>
    <m/>
    <n v="0"/>
    <m/>
    <n v="0"/>
    <m/>
    <n v="0"/>
    <m/>
    <n v="0"/>
    <m/>
  </r>
  <r>
    <x v="655"/>
    <n v="45728"/>
    <x v="0"/>
    <x v="1"/>
    <x v="1"/>
    <x v="1"/>
    <x v="2"/>
    <n v="1"/>
    <n v="0"/>
    <n v="0"/>
    <n v="0"/>
    <x v="0"/>
    <n v="0"/>
    <n v="0"/>
    <m/>
    <n v="62"/>
    <m/>
    <n v="0"/>
    <m/>
    <n v="1"/>
    <m/>
    <n v="0"/>
    <m/>
    <n v="0"/>
    <m/>
    <n v="0"/>
    <m/>
  </r>
  <r>
    <x v="656"/>
    <n v="45749"/>
    <x v="0"/>
    <x v="3"/>
    <x v="1"/>
    <x v="1"/>
    <x v="0"/>
    <n v="0"/>
    <n v="0"/>
    <n v="0"/>
    <n v="0"/>
    <x v="0"/>
    <n v="0"/>
    <n v="0"/>
    <m/>
    <n v="55.6"/>
    <m/>
    <n v="0"/>
    <m/>
    <n v="0"/>
    <m/>
    <n v="0"/>
    <m/>
    <n v="0"/>
    <m/>
    <n v="0"/>
    <m/>
  </r>
  <r>
    <x v="657"/>
    <n v="45670"/>
    <x v="0"/>
    <x v="3"/>
    <x v="1"/>
    <x v="1"/>
    <x v="0"/>
    <n v="1"/>
    <n v="0"/>
    <n v="0"/>
    <n v="0"/>
    <x v="0"/>
    <n v="0"/>
    <n v="0"/>
    <m/>
    <n v="62.8"/>
    <m/>
    <n v="0"/>
    <m/>
    <n v="1"/>
    <m/>
    <n v="0"/>
    <m/>
    <n v="0"/>
    <m/>
    <n v="0"/>
    <m/>
  </r>
  <r>
    <x v="658"/>
    <n v="45723"/>
    <x v="0"/>
    <x v="2"/>
    <x v="1"/>
    <x v="3"/>
    <x v="1"/>
    <n v="0"/>
    <n v="0"/>
    <n v="0"/>
    <n v="0"/>
    <x v="0"/>
    <n v="0"/>
    <n v="0"/>
    <m/>
    <n v="73.099999999999994"/>
    <m/>
    <n v="0"/>
    <m/>
    <n v="0"/>
    <m/>
    <n v="0"/>
    <m/>
    <n v="0"/>
    <m/>
    <n v="0"/>
    <m/>
  </r>
  <r>
    <x v="659"/>
    <n v="45767"/>
    <x v="0"/>
    <x v="3"/>
    <x v="0"/>
    <x v="4"/>
    <x v="1"/>
    <n v="1"/>
    <n v="1"/>
    <n v="1"/>
    <n v="1"/>
    <x v="22"/>
    <n v="0"/>
    <n v="0"/>
    <n v="2"/>
    <n v="57.2"/>
    <m/>
    <n v="1"/>
    <m/>
    <n v="1"/>
    <m/>
    <n v="1"/>
    <m/>
    <n v="1"/>
    <m/>
    <n v="0"/>
    <m/>
  </r>
  <r>
    <x v="660"/>
    <n v="45664"/>
    <x v="0"/>
    <x v="3"/>
    <x v="1"/>
    <x v="2"/>
    <x v="1"/>
    <n v="1"/>
    <n v="0"/>
    <n v="0"/>
    <n v="0"/>
    <x v="0"/>
    <n v="0"/>
    <n v="0"/>
    <m/>
    <n v="67.900000000000006"/>
    <m/>
    <n v="0"/>
    <m/>
    <n v="1"/>
    <m/>
    <n v="0"/>
    <m/>
    <n v="0"/>
    <m/>
    <n v="0"/>
    <m/>
  </r>
  <r>
    <x v="661"/>
    <n v="45770"/>
    <x v="0"/>
    <x v="3"/>
    <x v="1"/>
    <x v="3"/>
    <x v="1"/>
    <n v="0"/>
    <n v="0"/>
    <n v="0"/>
    <n v="0"/>
    <x v="0"/>
    <n v="0"/>
    <n v="0"/>
    <m/>
    <n v="50.1"/>
    <m/>
    <n v="0"/>
    <m/>
    <n v="0"/>
    <m/>
    <n v="0"/>
    <m/>
    <n v="0"/>
    <m/>
    <n v="0"/>
    <m/>
  </r>
  <r>
    <x v="662"/>
    <n v="45803"/>
    <x v="0"/>
    <x v="0"/>
    <x v="1"/>
    <x v="2"/>
    <x v="0"/>
    <n v="0"/>
    <n v="0"/>
    <n v="0"/>
    <n v="0"/>
    <x v="0"/>
    <n v="0"/>
    <n v="0"/>
    <m/>
    <n v="67.8"/>
    <m/>
    <n v="0"/>
    <m/>
    <n v="0"/>
    <m/>
    <n v="0"/>
    <m/>
    <n v="0"/>
    <m/>
    <n v="0"/>
    <m/>
  </r>
  <r>
    <x v="663"/>
    <n v="45733"/>
    <x v="0"/>
    <x v="0"/>
    <x v="0"/>
    <x v="4"/>
    <x v="0"/>
    <n v="1"/>
    <n v="1"/>
    <n v="1"/>
    <n v="0"/>
    <x v="0"/>
    <n v="0"/>
    <n v="0"/>
    <m/>
    <n v="60.8"/>
    <m/>
    <n v="0"/>
    <m/>
    <n v="1"/>
    <m/>
    <n v="1"/>
    <m/>
    <n v="1"/>
    <m/>
    <n v="0"/>
    <m/>
  </r>
  <r>
    <x v="664"/>
    <n v="45794"/>
    <x v="0"/>
    <x v="0"/>
    <x v="0"/>
    <x v="2"/>
    <x v="0"/>
    <n v="1"/>
    <n v="0"/>
    <n v="0"/>
    <n v="0"/>
    <x v="0"/>
    <n v="3"/>
    <n v="0"/>
    <m/>
    <n v="33.700000000000003"/>
    <m/>
    <n v="0"/>
    <m/>
    <n v="1"/>
    <m/>
    <n v="0"/>
    <m/>
    <n v="0"/>
    <m/>
    <n v="3"/>
    <m/>
  </r>
  <r>
    <x v="665"/>
    <n v="45709"/>
    <x v="0"/>
    <x v="0"/>
    <x v="1"/>
    <x v="2"/>
    <x v="0"/>
    <n v="0"/>
    <n v="0"/>
    <n v="0"/>
    <n v="0"/>
    <x v="0"/>
    <n v="0"/>
    <n v="0"/>
    <m/>
    <n v="45.2"/>
    <m/>
    <n v="0"/>
    <m/>
    <n v="0"/>
    <m/>
    <n v="0"/>
    <m/>
    <n v="0"/>
    <m/>
    <n v="0"/>
    <m/>
  </r>
  <r>
    <x v="666"/>
    <n v="45713"/>
    <x v="0"/>
    <x v="2"/>
    <x v="0"/>
    <x v="2"/>
    <x v="2"/>
    <n v="0"/>
    <n v="0"/>
    <n v="0"/>
    <n v="0"/>
    <x v="0"/>
    <n v="0"/>
    <n v="0"/>
    <m/>
    <n v="48.2"/>
    <m/>
    <n v="0"/>
    <m/>
    <n v="0"/>
    <m/>
    <n v="0"/>
    <m/>
    <n v="0"/>
    <m/>
    <n v="0"/>
    <m/>
  </r>
  <r>
    <x v="667"/>
    <n v="45687"/>
    <x v="0"/>
    <x v="3"/>
    <x v="1"/>
    <x v="4"/>
    <x v="1"/>
    <n v="1"/>
    <n v="1"/>
    <n v="0"/>
    <n v="0"/>
    <x v="0"/>
    <n v="1"/>
    <n v="0"/>
    <m/>
    <n v="44.8"/>
    <m/>
    <n v="0"/>
    <m/>
    <n v="1"/>
    <m/>
    <n v="1"/>
    <m/>
    <n v="0"/>
    <m/>
    <n v="1"/>
    <m/>
  </r>
  <r>
    <x v="668"/>
    <n v="45705"/>
    <x v="0"/>
    <x v="0"/>
    <x v="2"/>
    <x v="4"/>
    <x v="0"/>
    <n v="0"/>
    <n v="0"/>
    <n v="0"/>
    <n v="0"/>
    <x v="0"/>
    <n v="0"/>
    <n v="0"/>
    <m/>
    <n v="52.1"/>
    <m/>
    <n v="0"/>
    <m/>
    <n v="0"/>
    <m/>
    <n v="0"/>
    <m/>
    <n v="0"/>
    <m/>
    <n v="0"/>
    <m/>
  </r>
  <r>
    <x v="669"/>
    <n v="45794"/>
    <x v="0"/>
    <x v="0"/>
    <x v="0"/>
    <x v="2"/>
    <x v="0"/>
    <n v="1"/>
    <n v="0"/>
    <n v="0"/>
    <n v="0"/>
    <x v="0"/>
    <n v="0"/>
    <n v="0"/>
    <m/>
    <n v="30.7"/>
    <m/>
    <n v="0"/>
    <m/>
    <n v="1"/>
    <m/>
    <n v="0"/>
    <m/>
    <n v="0"/>
    <m/>
    <n v="0"/>
    <m/>
  </r>
  <r>
    <x v="670"/>
    <n v="45777"/>
    <x v="0"/>
    <x v="2"/>
    <x v="0"/>
    <x v="2"/>
    <x v="1"/>
    <n v="1"/>
    <n v="0"/>
    <n v="0"/>
    <n v="0"/>
    <x v="0"/>
    <n v="0"/>
    <n v="0"/>
    <m/>
    <n v="58.4"/>
    <m/>
    <n v="0"/>
    <m/>
    <n v="1"/>
    <m/>
    <n v="0"/>
    <m/>
    <n v="0"/>
    <m/>
    <n v="0"/>
    <m/>
  </r>
  <r>
    <x v="671"/>
    <n v="45738"/>
    <x v="0"/>
    <x v="1"/>
    <x v="1"/>
    <x v="3"/>
    <x v="1"/>
    <n v="1"/>
    <n v="1"/>
    <n v="0"/>
    <n v="0"/>
    <x v="0"/>
    <n v="0"/>
    <n v="0"/>
    <m/>
    <n v="52.6"/>
    <m/>
    <n v="0"/>
    <m/>
    <n v="1"/>
    <m/>
    <n v="1"/>
    <m/>
    <n v="0"/>
    <m/>
    <n v="0"/>
    <m/>
  </r>
  <r>
    <x v="672"/>
    <n v="45667"/>
    <x v="0"/>
    <x v="1"/>
    <x v="3"/>
    <x v="2"/>
    <x v="1"/>
    <n v="1"/>
    <n v="0"/>
    <n v="0"/>
    <n v="0"/>
    <x v="0"/>
    <n v="1"/>
    <n v="0"/>
    <m/>
    <n v="19.100000000000001"/>
    <m/>
    <n v="0"/>
    <m/>
    <n v="1"/>
    <m/>
    <n v="0"/>
    <m/>
    <n v="0"/>
    <m/>
    <n v="1"/>
    <m/>
  </r>
  <r>
    <x v="673"/>
    <n v="45737"/>
    <x v="0"/>
    <x v="3"/>
    <x v="3"/>
    <x v="2"/>
    <x v="1"/>
    <n v="1"/>
    <n v="0"/>
    <n v="0"/>
    <n v="0"/>
    <x v="0"/>
    <n v="0"/>
    <n v="0"/>
    <m/>
    <n v="36.799999999999997"/>
    <m/>
    <n v="0"/>
    <m/>
    <n v="1"/>
    <m/>
    <n v="0"/>
    <m/>
    <n v="0"/>
    <m/>
    <n v="0"/>
    <m/>
  </r>
  <r>
    <x v="674"/>
    <n v="45789"/>
    <x v="0"/>
    <x v="0"/>
    <x v="0"/>
    <x v="2"/>
    <x v="0"/>
    <n v="0"/>
    <n v="0"/>
    <n v="0"/>
    <n v="0"/>
    <x v="0"/>
    <n v="0"/>
    <n v="0"/>
    <m/>
    <n v="68.5"/>
    <m/>
    <n v="0"/>
    <m/>
    <n v="0"/>
    <m/>
    <n v="0"/>
    <m/>
    <n v="0"/>
    <m/>
    <n v="0"/>
    <m/>
  </r>
  <r>
    <x v="675"/>
    <n v="45801"/>
    <x v="0"/>
    <x v="1"/>
    <x v="1"/>
    <x v="2"/>
    <x v="1"/>
    <n v="1"/>
    <n v="1"/>
    <n v="1"/>
    <n v="0"/>
    <x v="0"/>
    <n v="0"/>
    <n v="0"/>
    <m/>
    <n v="40.1"/>
    <m/>
    <n v="0"/>
    <m/>
    <n v="1"/>
    <m/>
    <n v="1"/>
    <m/>
    <n v="1"/>
    <m/>
    <n v="0"/>
    <m/>
  </r>
  <r>
    <x v="676"/>
    <n v="45780"/>
    <x v="0"/>
    <x v="1"/>
    <x v="2"/>
    <x v="1"/>
    <x v="1"/>
    <n v="1"/>
    <n v="0"/>
    <n v="0"/>
    <n v="0"/>
    <x v="0"/>
    <n v="0"/>
    <n v="0"/>
    <m/>
    <n v="47.5"/>
    <m/>
    <n v="0"/>
    <m/>
    <n v="1"/>
    <m/>
    <n v="0"/>
    <m/>
    <n v="0"/>
    <m/>
    <n v="0"/>
    <m/>
  </r>
  <r>
    <x v="677"/>
    <n v="45671"/>
    <x v="0"/>
    <x v="3"/>
    <x v="1"/>
    <x v="1"/>
    <x v="0"/>
    <n v="1"/>
    <n v="0"/>
    <n v="0"/>
    <n v="0"/>
    <x v="0"/>
    <n v="0"/>
    <n v="0"/>
    <m/>
    <n v="77.099999999999994"/>
    <m/>
    <n v="0"/>
    <m/>
    <n v="1"/>
    <m/>
    <n v="0"/>
    <m/>
    <n v="0"/>
    <m/>
    <n v="0"/>
    <m/>
  </r>
  <r>
    <x v="678"/>
    <n v="45743"/>
    <x v="0"/>
    <x v="1"/>
    <x v="1"/>
    <x v="4"/>
    <x v="0"/>
    <n v="1"/>
    <n v="0"/>
    <n v="0"/>
    <n v="0"/>
    <x v="0"/>
    <n v="0"/>
    <n v="0"/>
    <m/>
    <n v="75.900000000000006"/>
    <m/>
    <n v="0"/>
    <m/>
    <n v="1"/>
    <m/>
    <n v="0"/>
    <m/>
    <n v="0"/>
    <m/>
    <n v="0"/>
    <m/>
  </r>
  <r>
    <x v="679"/>
    <n v="45716"/>
    <x v="0"/>
    <x v="0"/>
    <x v="0"/>
    <x v="3"/>
    <x v="2"/>
    <n v="0"/>
    <n v="0"/>
    <n v="0"/>
    <n v="0"/>
    <x v="0"/>
    <n v="1"/>
    <n v="0"/>
    <m/>
    <n v="52"/>
    <m/>
    <n v="0"/>
    <m/>
    <n v="0"/>
    <m/>
    <n v="0"/>
    <m/>
    <n v="0"/>
    <m/>
    <n v="1"/>
    <m/>
  </r>
  <r>
    <x v="680"/>
    <n v="45789"/>
    <x v="0"/>
    <x v="1"/>
    <x v="0"/>
    <x v="3"/>
    <x v="2"/>
    <n v="1"/>
    <n v="1"/>
    <n v="1"/>
    <n v="0"/>
    <x v="0"/>
    <n v="0"/>
    <n v="0"/>
    <m/>
    <n v="64.900000000000006"/>
    <m/>
    <n v="0"/>
    <m/>
    <n v="1"/>
    <m/>
    <n v="1"/>
    <m/>
    <n v="1"/>
    <m/>
    <n v="0"/>
    <m/>
  </r>
  <r>
    <x v="681"/>
    <n v="45730"/>
    <x v="0"/>
    <x v="0"/>
    <x v="1"/>
    <x v="1"/>
    <x v="1"/>
    <n v="1"/>
    <n v="0"/>
    <n v="0"/>
    <n v="0"/>
    <x v="0"/>
    <n v="0"/>
    <n v="0"/>
    <m/>
    <n v="48.2"/>
    <m/>
    <n v="0"/>
    <m/>
    <n v="1"/>
    <m/>
    <n v="0"/>
    <m/>
    <n v="0"/>
    <m/>
    <n v="0"/>
    <m/>
  </r>
  <r>
    <x v="682"/>
    <n v="45797"/>
    <x v="0"/>
    <x v="2"/>
    <x v="1"/>
    <x v="1"/>
    <x v="0"/>
    <n v="0"/>
    <n v="0"/>
    <n v="0"/>
    <n v="0"/>
    <x v="0"/>
    <n v="0"/>
    <n v="0"/>
    <m/>
    <n v="42.1"/>
    <m/>
    <n v="0"/>
    <m/>
    <n v="0"/>
    <m/>
    <n v="0"/>
    <m/>
    <n v="0"/>
    <m/>
    <n v="0"/>
    <m/>
  </r>
  <r>
    <x v="683"/>
    <n v="45712"/>
    <x v="0"/>
    <x v="3"/>
    <x v="0"/>
    <x v="3"/>
    <x v="1"/>
    <n v="0"/>
    <n v="0"/>
    <n v="0"/>
    <n v="0"/>
    <x v="0"/>
    <n v="0"/>
    <n v="0"/>
    <m/>
    <n v="27.6"/>
    <m/>
    <n v="0"/>
    <m/>
    <n v="0"/>
    <m/>
    <n v="0"/>
    <m/>
    <n v="0"/>
    <m/>
    <n v="0"/>
    <m/>
  </r>
  <r>
    <x v="684"/>
    <n v="45701"/>
    <x v="0"/>
    <x v="1"/>
    <x v="1"/>
    <x v="1"/>
    <x v="2"/>
    <n v="1"/>
    <n v="0"/>
    <n v="0"/>
    <n v="0"/>
    <x v="0"/>
    <n v="1"/>
    <n v="0"/>
    <m/>
    <n v="68.5"/>
    <m/>
    <n v="0"/>
    <m/>
    <n v="1"/>
    <m/>
    <n v="0"/>
    <m/>
    <n v="0"/>
    <m/>
    <n v="1"/>
    <m/>
  </r>
  <r>
    <x v="685"/>
    <n v="45694"/>
    <x v="0"/>
    <x v="3"/>
    <x v="0"/>
    <x v="1"/>
    <x v="1"/>
    <n v="1"/>
    <n v="1"/>
    <n v="1"/>
    <n v="0"/>
    <x v="0"/>
    <n v="0"/>
    <n v="0"/>
    <m/>
    <n v="59.2"/>
    <m/>
    <n v="0"/>
    <m/>
    <n v="1"/>
    <m/>
    <n v="1"/>
    <m/>
    <n v="1"/>
    <m/>
    <n v="0"/>
    <m/>
  </r>
  <r>
    <x v="686"/>
    <n v="45718"/>
    <x v="0"/>
    <x v="0"/>
    <x v="1"/>
    <x v="4"/>
    <x v="0"/>
    <n v="1"/>
    <n v="0"/>
    <n v="0"/>
    <n v="0"/>
    <x v="0"/>
    <n v="0"/>
    <n v="0"/>
    <m/>
    <n v="63.3"/>
    <m/>
    <n v="0"/>
    <m/>
    <n v="1"/>
    <m/>
    <n v="0"/>
    <m/>
    <n v="0"/>
    <m/>
    <n v="0"/>
    <m/>
  </r>
  <r>
    <x v="687"/>
    <n v="45775"/>
    <x v="0"/>
    <x v="2"/>
    <x v="0"/>
    <x v="2"/>
    <x v="1"/>
    <n v="0"/>
    <n v="0"/>
    <n v="0"/>
    <n v="0"/>
    <x v="0"/>
    <n v="0"/>
    <n v="0"/>
    <m/>
    <n v="55"/>
    <m/>
    <n v="0"/>
    <m/>
    <n v="0"/>
    <m/>
    <n v="0"/>
    <m/>
    <n v="0"/>
    <m/>
    <n v="0"/>
    <m/>
  </r>
  <r>
    <x v="688"/>
    <n v="45804"/>
    <x v="0"/>
    <x v="0"/>
    <x v="0"/>
    <x v="5"/>
    <x v="2"/>
    <n v="1"/>
    <n v="0"/>
    <n v="0"/>
    <n v="0"/>
    <x v="0"/>
    <n v="0"/>
    <n v="0"/>
    <m/>
    <n v="64.8"/>
    <m/>
    <n v="0"/>
    <m/>
    <n v="1"/>
    <m/>
    <n v="0"/>
    <m/>
    <n v="0"/>
    <m/>
    <n v="0"/>
    <m/>
  </r>
  <r>
    <x v="689"/>
    <n v="45754"/>
    <x v="0"/>
    <x v="3"/>
    <x v="0"/>
    <x v="1"/>
    <x v="0"/>
    <n v="0"/>
    <n v="0"/>
    <n v="0"/>
    <n v="0"/>
    <x v="0"/>
    <n v="2"/>
    <n v="0"/>
    <m/>
    <n v="41.8"/>
    <m/>
    <n v="0"/>
    <m/>
    <n v="0"/>
    <m/>
    <n v="0"/>
    <m/>
    <n v="0"/>
    <m/>
    <n v="2"/>
    <m/>
  </r>
  <r>
    <x v="690"/>
    <n v="45761"/>
    <x v="1"/>
    <x v="2"/>
    <x v="0"/>
    <x v="4"/>
    <x v="0"/>
    <n v="1"/>
    <n v="0"/>
    <n v="0"/>
    <n v="0"/>
    <x v="0"/>
    <n v="0"/>
    <n v="0"/>
    <m/>
    <n v="73.2"/>
    <m/>
    <n v="0"/>
    <m/>
    <n v="1"/>
    <n v="1"/>
    <n v="0"/>
    <n v="0"/>
    <n v="0"/>
    <n v="0"/>
    <n v="0"/>
    <n v="0"/>
  </r>
  <r>
    <x v="691"/>
    <n v="45786"/>
    <x v="1"/>
    <x v="2"/>
    <x v="0"/>
    <x v="1"/>
    <x v="0"/>
    <n v="1"/>
    <n v="1"/>
    <n v="1"/>
    <n v="0"/>
    <x v="0"/>
    <n v="3"/>
    <n v="0"/>
    <m/>
    <n v="55.7"/>
    <m/>
    <n v="0"/>
    <n v="0"/>
    <n v="0"/>
    <n v="1"/>
    <n v="0"/>
    <n v="1"/>
    <n v="0"/>
    <n v="1"/>
    <n v="0"/>
    <n v="3"/>
  </r>
  <r>
    <x v="692"/>
    <n v="45737"/>
    <x v="1"/>
    <x v="0"/>
    <x v="1"/>
    <x v="1"/>
    <x v="1"/>
    <n v="1"/>
    <n v="1"/>
    <n v="1"/>
    <n v="0"/>
    <x v="0"/>
    <n v="0"/>
    <n v="0"/>
    <m/>
    <n v="82.8"/>
    <m/>
    <n v="0"/>
    <n v="0"/>
    <n v="1"/>
    <n v="1"/>
    <n v="1"/>
    <n v="1"/>
    <n v="0"/>
    <n v="1"/>
    <n v="0"/>
    <n v="0"/>
  </r>
  <r>
    <x v="693"/>
    <n v="45743"/>
    <x v="1"/>
    <x v="0"/>
    <x v="0"/>
    <x v="4"/>
    <x v="1"/>
    <n v="1"/>
    <n v="0"/>
    <n v="0"/>
    <n v="0"/>
    <x v="0"/>
    <n v="0"/>
    <n v="0"/>
    <m/>
    <m/>
    <m/>
    <m/>
    <n v="0"/>
    <m/>
    <n v="1"/>
    <m/>
    <n v="0"/>
    <m/>
    <n v="0"/>
    <m/>
    <n v="0"/>
  </r>
  <r>
    <x v="694"/>
    <n v="45678"/>
    <x v="1"/>
    <x v="3"/>
    <x v="1"/>
    <x v="2"/>
    <x v="1"/>
    <n v="0"/>
    <n v="0"/>
    <n v="0"/>
    <n v="0"/>
    <x v="0"/>
    <n v="0"/>
    <n v="0"/>
    <m/>
    <n v="34.4"/>
    <m/>
    <m/>
    <n v="0"/>
    <m/>
    <n v="0"/>
    <m/>
    <n v="0"/>
    <m/>
    <n v="0"/>
    <m/>
    <n v="0"/>
  </r>
  <r>
    <x v="695"/>
    <n v="45735"/>
    <x v="1"/>
    <x v="2"/>
    <x v="0"/>
    <x v="0"/>
    <x v="1"/>
    <n v="1"/>
    <n v="0"/>
    <n v="0"/>
    <n v="0"/>
    <x v="0"/>
    <n v="0"/>
    <n v="0"/>
    <m/>
    <n v="45.2"/>
    <m/>
    <m/>
    <n v="0"/>
    <m/>
    <n v="1"/>
    <m/>
    <n v="0"/>
    <m/>
    <n v="0"/>
    <m/>
    <n v="0"/>
  </r>
  <r>
    <x v="696"/>
    <n v="45804"/>
    <x v="1"/>
    <x v="0"/>
    <x v="1"/>
    <x v="1"/>
    <x v="0"/>
    <n v="1"/>
    <n v="0"/>
    <n v="0"/>
    <n v="0"/>
    <x v="0"/>
    <n v="0"/>
    <n v="0"/>
    <m/>
    <n v="71.599999999999994"/>
    <m/>
    <m/>
    <n v="0"/>
    <m/>
    <n v="1"/>
    <m/>
    <n v="0"/>
    <m/>
    <n v="0"/>
    <m/>
    <n v="0"/>
  </r>
  <r>
    <x v="697"/>
    <n v="45658"/>
    <x v="1"/>
    <x v="0"/>
    <x v="1"/>
    <x v="4"/>
    <x v="1"/>
    <n v="1"/>
    <n v="1"/>
    <n v="1"/>
    <n v="0"/>
    <x v="0"/>
    <n v="0"/>
    <n v="0"/>
    <m/>
    <n v="69.099999999999994"/>
    <m/>
    <m/>
    <n v="0"/>
    <m/>
    <n v="1"/>
    <m/>
    <n v="1"/>
    <m/>
    <n v="1"/>
    <m/>
    <n v="0"/>
  </r>
  <r>
    <x v="698"/>
    <n v="45745"/>
    <x v="1"/>
    <x v="1"/>
    <x v="0"/>
    <x v="2"/>
    <x v="2"/>
    <n v="1"/>
    <n v="0"/>
    <n v="0"/>
    <n v="0"/>
    <x v="0"/>
    <n v="1"/>
    <n v="0"/>
    <m/>
    <n v="37.700000000000003"/>
    <m/>
    <m/>
    <n v="0"/>
    <m/>
    <n v="1"/>
    <m/>
    <n v="0"/>
    <m/>
    <n v="0"/>
    <m/>
    <n v="1"/>
  </r>
  <r>
    <x v="699"/>
    <n v="45733"/>
    <x v="1"/>
    <x v="1"/>
    <x v="0"/>
    <x v="1"/>
    <x v="0"/>
    <n v="1"/>
    <n v="0"/>
    <n v="0"/>
    <n v="0"/>
    <x v="0"/>
    <n v="1"/>
    <n v="0"/>
    <m/>
    <n v="60.8"/>
    <m/>
    <m/>
    <n v="0"/>
    <m/>
    <n v="1"/>
    <m/>
    <n v="0"/>
    <m/>
    <n v="0"/>
    <m/>
    <n v="1"/>
  </r>
  <r>
    <x v="700"/>
    <n v="45782"/>
    <x v="1"/>
    <x v="0"/>
    <x v="1"/>
    <x v="1"/>
    <x v="1"/>
    <n v="1"/>
    <n v="1"/>
    <n v="1"/>
    <n v="1"/>
    <x v="23"/>
    <n v="0"/>
    <n v="0"/>
    <n v="10"/>
    <n v="80.7"/>
    <m/>
    <m/>
    <n v="0"/>
    <m/>
    <n v="1"/>
    <m/>
    <n v="1"/>
    <m/>
    <n v="1"/>
    <m/>
    <n v="0"/>
  </r>
  <r>
    <x v="701"/>
    <n v="45781"/>
    <x v="1"/>
    <x v="3"/>
    <x v="1"/>
    <x v="4"/>
    <x v="1"/>
    <n v="1"/>
    <n v="0"/>
    <n v="0"/>
    <n v="0"/>
    <x v="0"/>
    <n v="0"/>
    <n v="0"/>
    <m/>
    <n v="69.2"/>
    <m/>
    <m/>
    <n v="1"/>
    <m/>
    <n v="1"/>
    <m/>
    <n v="0"/>
    <m/>
    <n v="0"/>
    <m/>
    <n v="0"/>
  </r>
  <r>
    <x v="702"/>
    <n v="45741"/>
    <x v="1"/>
    <x v="0"/>
    <x v="1"/>
    <x v="4"/>
    <x v="2"/>
    <n v="0"/>
    <n v="0"/>
    <n v="0"/>
    <n v="0"/>
    <x v="0"/>
    <n v="3"/>
    <n v="0"/>
    <m/>
    <n v="55"/>
    <m/>
    <m/>
    <n v="0"/>
    <m/>
    <n v="0"/>
    <m/>
    <n v="0"/>
    <m/>
    <n v="0"/>
    <m/>
    <n v="3"/>
  </r>
  <r>
    <x v="703"/>
    <n v="45764"/>
    <x v="1"/>
    <x v="1"/>
    <x v="1"/>
    <x v="0"/>
    <x v="1"/>
    <n v="0"/>
    <n v="0"/>
    <n v="0"/>
    <n v="0"/>
    <x v="0"/>
    <n v="1"/>
    <n v="0"/>
    <m/>
    <n v="73.599999999999994"/>
    <m/>
    <m/>
    <n v="0"/>
    <m/>
    <n v="0"/>
    <m/>
    <n v="0"/>
    <m/>
    <n v="0"/>
    <m/>
    <n v="1"/>
  </r>
  <r>
    <x v="704"/>
    <n v="45800"/>
    <x v="1"/>
    <x v="3"/>
    <x v="1"/>
    <x v="3"/>
    <x v="0"/>
    <n v="1"/>
    <n v="1"/>
    <n v="1"/>
    <n v="0"/>
    <x v="0"/>
    <n v="1"/>
    <n v="0"/>
    <m/>
    <n v="47.3"/>
    <m/>
    <m/>
    <n v="0"/>
    <m/>
    <n v="1"/>
    <m/>
    <n v="1"/>
    <m/>
    <n v="1"/>
    <m/>
    <n v="1"/>
  </r>
  <r>
    <x v="705"/>
    <n v="45670"/>
    <x v="1"/>
    <x v="0"/>
    <x v="1"/>
    <x v="1"/>
    <x v="0"/>
    <n v="0"/>
    <n v="0"/>
    <n v="0"/>
    <n v="0"/>
    <x v="0"/>
    <n v="0"/>
    <n v="0"/>
    <m/>
    <n v="43.6"/>
    <m/>
    <m/>
    <n v="0"/>
    <m/>
    <n v="0"/>
    <m/>
    <n v="0"/>
    <m/>
    <n v="0"/>
    <m/>
    <n v="0"/>
  </r>
  <r>
    <x v="706"/>
    <n v="45686"/>
    <x v="1"/>
    <x v="0"/>
    <x v="0"/>
    <x v="1"/>
    <x v="0"/>
    <n v="1"/>
    <n v="0"/>
    <n v="0"/>
    <n v="0"/>
    <x v="0"/>
    <n v="0"/>
    <n v="0"/>
    <m/>
    <m/>
    <m/>
    <m/>
    <n v="0"/>
    <m/>
    <n v="1"/>
    <m/>
    <n v="0"/>
    <m/>
    <n v="0"/>
    <m/>
    <n v="0"/>
  </r>
  <r>
    <x v="707"/>
    <n v="45788"/>
    <x v="1"/>
    <x v="3"/>
    <x v="1"/>
    <x v="0"/>
    <x v="1"/>
    <n v="0"/>
    <n v="0"/>
    <n v="0"/>
    <n v="0"/>
    <x v="0"/>
    <n v="0"/>
    <n v="0"/>
    <m/>
    <n v="55.2"/>
    <m/>
    <m/>
    <n v="0"/>
    <m/>
    <n v="0"/>
    <m/>
    <n v="0"/>
    <m/>
    <n v="0"/>
    <m/>
    <n v="0"/>
  </r>
  <r>
    <x v="708"/>
    <n v="45769"/>
    <x v="1"/>
    <x v="3"/>
    <x v="1"/>
    <x v="1"/>
    <x v="0"/>
    <n v="1"/>
    <n v="0"/>
    <n v="0"/>
    <n v="0"/>
    <x v="0"/>
    <n v="0"/>
    <n v="0"/>
    <m/>
    <n v="49.4"/>
    <m/>
    <m/>
    <n v="0"/>
    <m/>
    <n v="1"/>
    <m/>
    <n v="0"/>
    <m/>
    <n v="0"/>
    <m/>
    <n v="0"/>
  </r>
  <r>
    <x v="709"/>
    <n v="45719"/>
    <x v="1"/>
    <x v="3"/>
    <x v="1"/>
    <x v="4"/>
    <x v="1"/>
    <n v="1"/>
    <n v="1"/>
    <n v="1"/>
    <n v="0"/>
    <x v="0"/>
    <n v="1"/>
    <n v="0"/>
    <m/>
    <n v="60.1"/>
    <m/>
    <m/>
    <n v="0"/>
    <m/>
    <n v="1"/>
    <m/>
    <n v="1"/>
    <m/>
    <n v="1"/>
    <m/>
    <n v="1"/>
  </r>
  <r>
    <x v="710"/>
    <n v="45734"/>
    <x v="1"/>
    <x v="0"/>
    <x v="1"/>
    <x v="3"/>
    <x v="1"/>
    <n v="1"/>
    <n v="0"/>
    <n v="0"/>
    <n v="0"/>
    <x v="0"/>
    <n v="0"/>
    <n v="0"/>
    <m/>
    <n v="55.9"/>
    <m/>
    <m/>
    <n v="0"/>
    <m/>
    <n v="1"/>
    <m/>
    <n v="0"/>
    <m/>
    <n v="0"/>
    <m/>
    <n v="0"/>
  </r>
  <r>
    <x v="711"/>
    <n v="45752"/>
    <x v="1"/>
    <x v="0"/>
    <x v="1"/>
    <x v="1"/>
    <x v="0"/>
    <n v="1"/>
    <n v="0"/>
    <n v="0"/>
    <n v="0"/>
    <x v="0"/>
    <n v="0"/>
    <n v="0"/>
    <m/>
    <n v="51.5"/>
    <m/>
    <m/>
    <n v="0"/>
    <m/>
    <n v="1"/>
    <m/>
    <n v="0"/>
    <m/>
    <n v="0"/>
    <m/>
    <n v="0"/>
  </r>
  <r>
    <x v="712"/>
    <n v="45763"/>
    <x v="1"/>
    <x v="2"/>
    <x v="1"/>
    <x v="1"/>
    <x v="1"/>
    <n v="1"/>
    <n v="1"/>
    <n v="1"/>
    <n v="1"/>
    <x v="24"/>
    <n v="0"/>
    <n v="0"/>
    <n v="11"/>
    <n v="57.9"/>
    <m/>
    <m/>
    <n v="0"/>
    <m/>
    <n v="1"/>
    <m/>
    <n v="1"/>
    <m/>
    <n v="1"/>
    <m/>
    <n v="0"/>
  </r>
  <r>
    <x v="713"/>
    <n v="45767"/>
    <x v="1"/>
    <x v="3"/>
    <x v="1"/>
    <x v="3"/>
    <x v="1"/>
    <n v="1"/>
    <n v="1"/>
    <n v="1"/>
    <n v="1"/>
    <x v="25"/>
    <n v="2"/>
    <n v="0"/>
    <n v="8"/>
    <n v="59.2"/>
    <m/>
    <m/>
    <n v="1"/>
    <m/>
    <n v="1"/>
    <m/>
    <n v="1"/>
    <m/>
    <n v="1"/>
    <m/>
    <n v="2"/>
  </r>
  <r>
    <x v="714"/>
    <n v="45703"/>
    <x v="1"/>
    <x v="3"/>
    <x v="1"/>
    <x v="1"/>
    <x v="1"/>
    <n v="0"/>
    <n v="0"/>
    <n v="0"/>
    <n v="0"/>
    <x v="0"/>
    <n v="0"/>
    <n v="0"/>
    <m/>
    <n v="64.2"/>
    <m/>
    <m/>
    <n v="1"/>
    <m/>
    <n v="0"/>
    <m/>
    <n v="0"/>
    <m/>
    <n v="0"/>
    <m/>
    <n v="0"/>
  </r>
  <r>
    <x v="715"/>
    <n v="45678"/>
    <x v="1"/>
    <x v="3"/>
    <x v="1"/>
    <x v="1"/>
    <x v="1"/>
    <n v="1"/>
    <n v="0"/>
    <n v="0"/>
    <n v="0"/>
    <x v="0"/>
    <n v="0"/>
    <n v="0"/>
    <m/>
    <n v="68.8"/>
    <m/>
    <m/>
    <n v="0"/>
    <m/>
    <n v="1"/>
    <m/>
    <n v="0"/>
    <m/>
    <n v="0"/>
    <m/>
    <n v="0"/>
  </r>
  <r>
    <x v="716"/>
    <n v="45800"/>
    <x v="1"/>
    <x v="0"/>
    <x v="1"/>
    <x v="2"/>
    <x v="2"/>
    <n v="1"/>
    <n v="1"/>
    <n v="1"/>
    <n v="0"/>
    <x v="0"/>
    <n v="0"/>
    <n v="0"/>
    <m/>
    <n v="77.900000000000006"/>
    <m/>
    <m/>
    <n v="0"/>
    <m/>
    <n v="1"/>
    <m/>
    <n v="1"/>
    <m/>
    <n v="1"/>
    <m/>
    <n v="0"/>
  </r>
  <r>
    <x v="717"/>
    <n v="45679"/>
    <x v="1"/>
    <x v="1"/>
    <x v="1"/>
    <x v="2"/>
    <x v="0"/>
    <n v="0"/>
    <n v="0"/>
    <n v="0"/>
    <n v="0"/>
    <x v="0"/>
    <n v="0"/>
    <n v="0"/>
    <m/>
    <n v="92.1"/>
    <m/>
    <m/>
    <n v="0"/>
    <m/>
    <n v="0"/>
    <m/>
    <n v="0"/>
    <m/>
    <n v="0"/>
    <m/>
    <n v="0"/>
  </r>
  <r>
    <x v="718"/>
    <n v="45771"/>
    <x v="1"/>
    <x v="1"/>
    <x v="1"/>
    <x v="2"/>
    <x v="2"/>
    <n v="0"/>
    <n v="0"/>
    <n v="0"/>
    <n v="0"/>
    <x v="0"/>
    <n v="0"/>
    <n v="0"/>
    <m/>
    <n v="63.6"/>
    <m/>
    <m/>
    <n v="0"/>
    <m/>
    <n v="0"/>
    <m/>
    <n v="0"/>
    <m/>
    <n v="0"/>
    <m/>
    <n v="0"/>
  </r>
  <r>
    <x v="719"/>
    <n v="45674"/>
    <x v="1"/>
    <x v="1"/>
    <x v="0"/>
    <x v="0"/>
    <x v="1"/>
    <n v="0"/>
    <n v="0"/>
    <n v="0"/>
    <n v="0"/>
    <x v="0"/>
    <n v="2"/>
    <n v="0"/>
    <m/>
    <n v="61.6"/>
    <m/>
    <m/>
    <n v="0"/>
    <m/>
    <n v="0"/>
    <m/>
    <n v="0"/>
    <m/>
    <n v="0"/>
    <m/>
    <n v="2"/>
  </r>
  <r>
    <x v="720"/>
    <n v="45679"/>
    <x v="1"/>
    <x v="2"/>
    <x v="1"/>
    <x v="3"/>
    <x v="0"/>
    <n v="1"/>
    <n v="1"/>
    <n v="0"/>
    <n v="0"/>
    <x v="0"/>
    <n v="0"/>
    <n v="0"/>
    <m/>
    <n v="82.3"/>
    <m/>
    <m/>
    <n v="0"/>
    <m/>
    <n v="1"/>
    <m/>
    <n v="1"/>
    <m/>
    <n v="0"/>
    <m/>
    <n v="0"/>
  </r>
  <r>
    <x v="721"/>
    <n v="45781"/>
    <x v="1"/>
    <x v="2"/>
    <x v="0"/>
    <x v="2"/>
    <x v="1"/>
    <n v="1"/>
    <n v="0"/>
    <n v="0"/>
    <n v="0"/>
    <x v="0"/>
    <n v="0"/>
    <n v="0"/>
    <m/>
    <n v="79.3"/>
    <m/>
    <m/>
    <n v="0"/>
    <m/>
    <n v="1"/>
    <m/>
    <n v="0"/>
    <m/>
    <n v="0"/>
    <m/>
    <n v="0"/>
  </r>
  <r>
    <x v="722"/>
    <n v="45729"/>
    <x v="1"/>
    <x v="3"/>
    <x v="1"/>
    <x v="5"/>
    <x v="1"/>
    <n v="0"/>
    <n v="0"/>
    <n v="0"/>
    <n v="0"/>
    <x v="0"/>
    <n v="0"/>
    <n v="0"/>
    <m/>
    <n v="57.7"/>
    <m/>
    <m/>
    <n v="0"/>
    <m/>
    <n v="0"/>
    <m/>
    <n v="0"/>
    <m/>
    <n v="0"/>
    <m/>
    <n v="0"/>
  </r>
  <r>
    <x v="723"/>
    <n v="45659"/>
    <x v="1"/>
    <x v="0"/>
    <x v="1"/>
    <x v="1"/>
    <x v="0"/>
    <n v="1"/>
    <n v="0"/>
    <n v="0"/>
    <n v="0"/>
    <x v="0"/>
    <n v="0"/>
    <n v="0"/>
    <m/>
    <n v="63.1"/>
    <m/>
    <m/>
    <n v="0"/>
    <m/>
    <n v="1"/>
    <m/>
    <n v="0"/>
    <m/>
    <n v="0"/>
    <m/>
    <n v="0"/>
  </r>
  <r>
    <x v="724"/>
    <n v="45670"/>
    <x v="1"/>
    <x v="2"/>
    <x v="1"/>
    <x v="2"/>
    <x v="0"/>
    <n v="0"/>
    <n v="0"/>
    <n v="0"/>
    <n v="0"/>
    <x v="0"/>
    <n v="0"/>
    <n v="0"/>
    <m/>
    <n v="72.3"/>
    <m/>
    <m/>
    <n v="0"/>
    <m/>
    <n v="0"/>
    <m/>
    <n v="0"/>
    <m/>
    <n v="0"/>
    <m/>
    <n v="0"/>
  </r>
  <r>
    <x v="725"/>
    <n v="45697"/>
    <x v="1"/>
    <x v="2"/>
    <x v="1"/>
    <x v="4"/>
    <x v="1"/>
    <n v="1"/>
    <n v="1"/>
    <n v="1"/>
    <n v="0"/>
    <x v="0"/>
    <n v="0"/>
    <n v="0"/>
    <m/>
    <n v="78"/>
    <m/>
    <m/>
    <n v="0"/>
    <m/>
    <n v="1"/>
    <m/>
    <n v="1"/>
    <m/>
    <n v="1"/>
    <m/>
    <n v="0"/>
  </r>
  <r>
    <x v="726"/>
    <n v="45756"/>
    <x v="1"/>
    <x v="2"/>
    <x v="0"/>
    <x v="4"/>
    <x v="1"/>
    <n v="1"/>
    <n v="1"/>
    <n v="0"/>
    <n v="0"/>
    <x v="0"/>
    <n v="2"/>
    <n v="0"/>
    <m/>
    <n v="59.1"/>
    <m/>
    <m/>
    <n v="0"/>
    <m/>
    <n v="1"/>
    <m/>
    <n v="1"/>
    <m/>
    <n v="0"/>
    <m/>
    <n v="2"/>
  </r>
  <r>
    <x v="727"/>
    <n v="45659"/>
    <x v="1"/>
    <x v="3"/>
    <x v="1"/>
    <x v="2"/>
    <x v="1"/>
    <n v="1"/>
    <n v="1"/>
    <n v="1"/>
    <n v="1"/>
    <x v="26"/>
    <n v="0"/>
    <n v="0"/>
    <n v="7"/>
    <n v="47.1"/>
    <m/>
    <m/>
    <n v="0"/>
    <m/>
    <n v="1"/>
    <m/>
    <n v="1"/>
    <m/>
    <n v="1"/>
    <m/>
    <n v="0"/>
  </r>
  <r>
    <x v="728"/>
    <n v="45692"/>
    <x v="1"/>
    <x v="3"/>
    <x v="1"/>
    <x v="5"/>
    <x v="2"/>
    <n v="1"/>
    <n v="0"/>
    <n v="0"/>
    <n v="0"/>
    <x v="0"/>
    <n v="0"/>
    <n v="0"/>
    <m/>
    <n v="64.900000000000006"/>
    <m/>
    <m/>
    <n v="1"/>
    <m/>
    <n v="1"/>
    <m/>
    <n v="0"/>
    <m/>
    <n v="0"/>
    <m/>
    <n v="0"/>
  </r>
  <r>
    <x v="729"/>
    <n v="45707"/>
    <x v="1"/>
    <x v="3"/>
    <x v="2"/>
    <x v="2"/>
    <x v="1"/>
    <n v="0"/>
    <n v="0"/>
    <n v="0"/>
    <n v="0"/>
    <x v="0"/>
    <n v="0"/>
    <n v="0"/>
    <m/>
    <n v="67.3"/>
    <m/>
    <m/>
    <n v="0"/>
    <m/>
    <n v="0"/>
    <m/>
    <n v="0"/>
    <m/>
    <n v="0"/>
    <m/>
    <n v="0"/>
  </r>
  <r>
    <x v="730"/>
    <n v="45748"/>
    <x v="1"/>
    <x v="2"/>
    <x v="1"/>
    <x v="2"/>
    <x v="0"/>
    <n v="1"/>
    <n v="0"/>
    <n v="0"/>
    <n v="0"/>
    <x v="0"/>
    <n v="2"/>
    <n v="0"/>
    <m/>
    <n v="52.9"/>
    <m/>
    <m/>
    <n v="0"/>
    <m/>
    <n v="1"/>
    <m/>
    <n v="0"/>
    <m/>
    <n v="0"/>
    <m/>
    <n v="2"/>
  </r>
  <r>
    <x v="731"/>
    <n v="45686"/>
    <x v="1"/>
    <x v="0"/>
    <x v="1"/>
    <x v="3"/>
    <x v="1"/>
    <n v="1"/>
    <n v="1"/>
    <n v="1"/>
    <n v="1"/>
    <x v="27"/>
    <n v="1"/>
    <n v="0"/>
    <n v="4"/>
    <n v="69.900000000000006"/>
    <m/>
    <m/>
    <n v="0"/>
    <m/>
    <n v="1"/>
    <m/>
    <n v="1"/>
    <m/>
    <n v="1"/>
    <m/>
    <n v="1"/>
  </r>
  <r>
    <x v="732"/>
    <n v="45795"/>
    <x v="1"/>
    <x v="0"/>
    <x v="1"/>
    <x v="3"/>
    <x v="0"/>
    <n v="1"/>
    <n v="1"/>
    <n v="1"/>
    <n v="0"/>
    <x v="0"/>
    <n v="0"/>
    <n v="0"/>
    <m/>
    <n v="78.900000000000006"/>
    <m/>
    <m/>
    <n v="1"/>
    <m/>
    <n v="1"/>
    <m/>
    <n v="1"/>
    <m/>
    <n v="1"/>
    <m/>
    <n v="0"/>
  </r>
  <r>
    <x v="733"/>
    <n v="45762"/>
    <x v="1"/>
    <x v="2"/>
    <x v="0"/>
    <x v="4"/>
    <x v="2"/>
    <n v="1"/>
    <n v="1"/>
    <n v="0"/>
    <n v="0"/>
    <x v="0"/>
    <n v="0"/>
    <n v="0"/>
    <m/>
    <n v="83.3"/>
    <m/>
    <m/>
    <n v="0"/>
    <m/>
    <n v="1"/>
    <m/>
    <n v="1"/>
    <m/>
    <n v="0"/>
    <m/>
    <n v="0"/>
  </r>
  <r>
    <x v="734"/>
    <n v="45744"/>
    <x v="1"/>
    <x v="2"/>
    <x v="0"/>
    <x v="0"/>
    <x v="1"/>
    <n v="1"/>
    <n v="0"/>
    <n v="0"/>
    <n v="0"/>
    <x v="0"/>
    <n v="1"/>
    <n v="0"/>
    <m/>
    <n v="24.5"/>
    <m/>
    <m/>
    <n v="0"/>
    <m/>
    <n v="1"/>
    <m/>
    <n v="0"/>
    <m/>
    <n v="0"/>
    <m/>
    <n v="1"/>
  </r>
  <r>
    <x v="735"/>
    <n v="45748"/>
    <x v="1"/>
    <x v="1"/>
    <x v="1"/>
    <x v="2"/>
    <x v="0"/>
    <n v="1"/>
    <n v="1"/>
    <n v="0"/>
    <n v="0"/>
    <x v="0"/>
    <n v="1"/>
    <n v="0"/>
    <m/>
    <n v="56.9"/>
    <m/>
    <m/>
    <n v="0"/>
    <m/>
    <n v="1"/>
    <m/>
    <n v="1"/>
    <m/>
    <n v="0"/>
    <m/>
    <n v="1"/>
  </r>
  <r>
    <x v="736"/>
    <n v="45699"/>
    <x v="1"/>
    <x v="1"/>
    <x v="1"/>
    <x v="4"/>
    <x v="0"/>
    <n v="1"/>
    <n v="0"/>
    <n v="0"/>
    <n v="0"/>
    <x v="0"/>
    <n v="0"/>
    <n v="0"/>
    <m/>
    <n v="69.900000000000006"/>
    <m/>
    <m/>
    <n v="0"/>
    <m/>
    <n v="1"/>
    <m/>
    <n v="0"/>
    <m/>
    <n v="0"/>
    <m/>
    <n v="0"/>
  </r>
  <r>
    <x v="737"/>
    <n v="45720"/>
    <x v="1"/>
    <x v="3"/>
    <x v="1"/>
    <x v="1"/>
    <x v="1"/>
    <n v="1"/>
    <n v="1"/>
    <n v="1"/>
    <n v="0"/>
    <x v="0"/>
    <n v="0"/>
    <n v="0"/>
    <m/>
    <n v="81.5"/>
    <m/>
    <m/>
    <n v="0"/>
    <m/>
    <n v="1"/>
    <m/>
    <n v="1"/>
    <m/>
    <n v="1"/>
    <m/>
    <n v="0"/>
  </r>
  <r>
    <x v="738"/>
    <n v="45678"/>
    <x v="1"/>
    <x v="0"/>
    <x v="2"/>
    <x v="4"/>
    <x v="0"/>
    <n v="0"/>
    <n v="0"/>
    <n v="0"/>
    <n v="0"/>
    <x v="0"/>
    <n v="2"/>
    <n v="0"/>
    <m/>
    <n v="37.9"/>
    <m/>
    <m/>
    <n v="0"/>
    <m/>
    <n v="0"/>
    <m/>
    <n v="0"/>
    <m/>
    <n v="0"/>
    <m/>
    <n v="2"/>
  </r>
  <r>
    <x v="739"/>
    <n v="45702"/>
    <x v="1"/>
    <x v="0"/>
    <x v="1"/>
    <x v="3"/>
    <x v="1"/>
    <n v="0"/>
    <n v="0"/>
    <n v="0"/>
    <n v="0"/>
    <x v="0"/>
    <n v="1"/>
    <n v="0"/>
    <m/>
    <n v="61.7"/>
    <m/>
    <m/>
    <n v="0"/>
    <m/>
    <n v="0"/>
    <m/>
    <n v="0"/>
    <m/>
    <n v="0"/>
    <m/>
    <n v="1"/>
  </r>
  <r>
    <x v="740"/>
    <n v="45746"/>
    <x v="1"/>
    <x v="0"/>
    <x v="0"/>
    <x v="5"/>
    <x v="2"/>
    <n v="1"/>
    <n v="0"/>
    <n v="0"/>
    <n v="0"/>
    <x v="0"/>
    <n v="2"/>
    <n v="0"/>
    <m/>
    <n v="53.2"/>
    <m/>
    <m/>
    <n v="0"/>
    <m/>
    <n v="1"/>
    <m/>
    <n v="0"/>
    <m/>
    <n v="0"/>
    <m/>
    <n v="2"/>
  </r>
  <r>
    <x v="741"/>
    <n v="45665"/>
    <x v="1"/>
    <x v="0"/>
    <x v="1"/>
    <x v="3"/>
    <x v="1"/>
    <n v="0"/>
    <n v="0"/>
    <n v="0"/>
    <n v="0"/>
    <x v="0"/>
    <n v="0"/>
    <n v="0"/>
    <m/>
    <n v="61.9"/>
    <m/>
    <m/>
    <n v="0"/>
    <m/>
    <n v="0"/>
    <m/>
    <n v="0"/>
    <m/>
    <n v="0"/>
    <m/>
    <n v="0"/>
  </r>
  <r>
    <x v="742"/>
    <n v="45695"/>
    <x v="1"/>
    <x v="0"/>
    <x v="1"/>
    <x v="4"/>
    <x v="1"/>
    <n v="1"/>
    <n v="1"/>
    <n v="1"/>
    <n v="0"/>
    <x v="0"/>
    <n v="0"/>
    <n v="0"/>
    <m/>
    <n v="68.900000000000006"/>
    <m/>
    <m/>
    <n v="0"/>
    <m/>
    <n v="1"/>
    <m/>
    <n v="1"/>
    <m/>
    <n v="1"/>
    <m/>
    <n v="0"/>
  </r>
  <r>
    <x v="743"/>
    <n v="45689"/>
    <x v="1"/>
    <x v="0"/>
    <x v="2"/>
    <x v="2"/>
    <x v="0"/>
    <n v="0"/>
    <n v="0"/>
    <n v="0"/>
    <n v="0"/>
    <x v="0"/>
    <n v="0"/>
    <n v="0"/>
    <m/>
    <n v="66.3"/>
    <m/>
    <m/>
    <n v="0"/>
    <m/>
    <n v="0"/>
    <m/>
    <n v="0"/>
    <m/>
    <n v="0"/>
    <m/>
    <n v="0"/>
  </r>
  <r>
    <x v="744"/>
    <n v="45661"/>
    <x v="1"/>
    <x v="2"/>
    <x v="1"/>
    <x v="0"/>
    <x v="1"/>
    <n v="1"/>
    <n v="1"/>
    <n v="1"/>
    <n v="0"/>
    <x v="0"/>
    <n v="0"/>
    <n v="0"/>
    <m/>
    <n v="54.6"/>
    <m/>
    <m/>
    <n v="0"/>
    <m/>
    <n v="1"/>
    <m/>
    <n v="1"/>
    <m/>
    <n v="1"/>
    <m/>
    <n v="0"/>
  </r>
  <r>
    <x v="745"/>
    <n v="45793"/>
    <x v="1"/>
    <x v="3"/>
    <x v="0"/>
    <x v="3"/>
    <x v="1"/>
    <n v="0"/>
    <n v="0"/>
    <n v="0"/>
    <n v="0"/>
    <x v="0"/>
    <n v="0"/>
    <n v="0"/>
    <m/>
    <n v="53.8"/>
    <m/>
    <m/>
    <n v="0"/>
    <m/>
    <n v="0"/>
    <m/>
    <n v="0"/>
    <m/>
    <n v="0"/>
    <m/>
    <n v="0"/>
  </r>
  <r>
    <x v="746"/>
    <n v="45716"/>
    <x v="1"/>
    <x v="1"/>
    <x v="1"/>
    <x v="3"/>
    <x v="1"/>
    <n v="1"/>
    <n v="0"/>
    <n v="0"/>
    <n v="0"/>
    <x v="0"/>
    <n v="0"/>
    <n v="0"/>
    <m/>
    <n v="59.5"/>
    <m/>
    <m/>
    <n v="0"/>
    <m/>
    <n v="1"/>
    <m/>
    <n v="0"/>
    <m/>
    <n v="0"/>
    <m/>
    <n v="0"/>
  </r>
  <r>
    <x v="747"/>
    <n v="45759"/>
    <x v="1"/>
    <x v="0"/>
    <x v="1"/>
    <x v="3"/>
    <x v="1"/>
    <n v="1"/>
    <n v="0"/>
    <n v="0"/>
    <n v="0"/>
    <x v="0"/>
    <n v="0"/>
    <n v="0"/>
    <m/>
    <n v="52.6"/>
    <m/>
    <m/>
    <n v="0"/>
    <m/>
    <n v="1"/>
    <m/>
    <n v="0"/>
    <m/>
    <n v="0"/>
    <m/>
    <n v="0"/>
  </r>
  <r>
    <x v="748"/>
    <n v="45739"/>
    <x v="1"/>
    <x v="3"/>
    <x v="0"/>
    <x v="1"/>
    <x v="1"/>
    <n v="0"/>
    <n v="0"/>
    <n v="0"/>
    <n v="0"/>
    <x v="0"/>
    <n v="0"/>
    <n v="0"/>
    <m/>
    <n v="49"/>
    <m/>
    <m/>
    <n v="0"/>
    <m/>
    <n v="0"/>
    <m/>
    <n v="0"/>
    <m/>
    <n v="0"/>
    <m/>
    <n v="0"/>
  </r>
  <r>
    <x v="749"/>
    <n v="45806"/>
    <x v="1"/>
    <x v="0"/>
    <x v="2"/>
    <x v="1"/>
    <x v="1"/>
    <n v="1"/>
    <n v="0"/>
    <n v="0"/>
    <n v="0"/>
    <x v="0"/>
    <n v="0"/>
    <n v="0"/>
    <m/>
    <n v="59.3"/>
    <m/>
    <m/>
    <n v="0"/>
    <m/>
    <n v="1"/>
    <m/>
    <n v="0"/>
    <m/>
    <n v="0"/>
    <m/>
    <n v="0"/>
  </r>
  <r>
    <x v="750"/>
    <n v="45798"/>
    <x v="1"/>
    <x v="3"/>
    <x v="0"/>
    <x v="1"/>
    <x v="0"/>
    <n v="0"/>
    <n v="0"/>
    <n v="0"/>
    <n v="0"/>
    <x v="0"/>
    <n v="0"/>
    <n v="0"/>
    <m/>
    <n v="67.2"/>
    <m/>
    <m/>
    <n v="0"/>
    <m/>
    <n v="0"/>
    <m/>
    <n v="0"/>
    <m/>
    <n v="0"/>
    <m/>
    <n v="0"/>
  </r>
  <r>
    <x v="751"/>
    <n v="45662"/>
    <x v="1"/>
    <x v="3"/>
    <x v="1"/>
    <x v="3"/>
    <x v="2"/>
    <n v="0"/>
    <n v="0"/>
    <n v="0"/>
    <n v="0"/>
    <x v="0"/>
    <n v="0"/>
    <n v="0"/>
    <m/>
    <n v="73.5"/>
    <m/>
    <m/>
    <n v="0"/>
    <m/>
    <n v="0"/>
    <m/>
    <n v="0"/>
    <m/>
    <n v="0"/>
    <m/>
    <n v="0"/>
  </r>
  <r>
    <x v="752"/>
    <n v="45735"/>
    <x v="1"/>
    <x v="2"/>
    <x v="2"/>
    <x v="1"/>
    <x v="1"/>
    <n v="1"/>
    <n v="0"/>
    <n v="0"/>
    <n v="0"/>
    <x v="0"/>
    <n v="0"/>
    <n v="0"/>
    <m/>
    <n v="61.2"/>
    <m/>
    <m/>
    <n v="0"/>
    <m/>
    <n v="1"/>
    <m/>
    <n v="0"/>
    <m/>
    <n v="0"/>
    <m/>
    <n v="0"/>
  </r>
  <r>
    <x v="753"/>
    <n v="45771"/>
    <x v="1"/>
    <x v="2"/>
    <x v="1"/>
    <x v="1"/>
    <x v="1"/>
    <n v="1"/>
    <n v="0"/>
    <n v="0"/>
    <n v="0"/>
    <x v="0"/>
    <n v="1"/>
    <n v="0"/>
    <m/>
    <n v="56.4"/>
    <m/>
    <m/>
    <n v="0"/>
    <m/>
    <n v="1"/>
    <m/>
    <n v="0"/>
    <m/>
    <n v="0"/>
    <m/>
    <n v="1"/>
  </r>
  <r>
    <x v="754"/>
    <n v="45726"/>
    <x v="1"/>
    <x v="0"/>
    <x v="2"/>
    <x v="1"/>
    <x v="1"/>
    <n v="0"/>
    <n v="0"/>
    <n v="0"/>
    <n v="0"/>
    <x v="0"/>
    <n v="3"/>
    <n v="0"/>
    <m/>
    <n v="72.599999999999994"/>
    <m/>
    <m/>
    <n v="0"/>
    <m/>
    <n v="0"/>
    <m/>
    <n v="0"/>
    <m/>
    <n v="0"/>
    <m/>
    <n v="3"/>
  </r>
  <r>
    <x v="755"/>
    <n v="45710"/>
    <x v="1"/>
    <x v="3"/>
    <x v="2"/>
    <x v="3"/>
    <x v="0"/>
    <n v="1"/>
    <n v="0"/>
    <n v="0"/>
    <n v="0"/>
    <x v="0"/>
    <n v="0"/>
    <n v="0"/>
    <m/>
    <n v="61.7"/>
    <m/>
    <m/>
    <n v="0"/>
    <m/>
    <n v="1"/>
    <m/>
    <n v="0"/>
    <m/>
    <n v="0"/>
    <m/>
    <n v="0"/>
  </r>
  <r>
    <x v="756"/>
    <n v="45794"/>
    <x v="1"/>
    <x v="2"/>
    <x v="1"/>
    <x v="4"/>
    <x v="1"/>
    <n v="0"/>
    <n v="0"/>
    <n v="0"/>
    <n v="0"/>
    <x v="0"/>
    <n v="1"/>
    <n v="0"/>
    <m/>
    <n v="66.900000000000006"/>
    <m/>
    <m/>
    <n v="0"/>
    <m/>
    <n v="0"/>
    <m/>
    <n v="0"/>
    <m/>
    <n v="0"/>
    <m/>
    <n v="1"/>
  </r>
  <r>
    <x v="757"/>
    <n v="45786"/>
    <x v="1"/>
    <x v="2"/>
    <x v="2"/>
    <x v="3"/>
    <x v="2"/>
    <n v="1"/>
    <n v="1"/>
    <n v="1"/>
    <n v="1"/>
    <x v="28"/>
    <n v="1"/>
    <n v="0"/>
    <n v="7"/>
    <n v="64.900000000000006"/>
    <m/>
    <m/>
    <n v="0"/>
    <m/>
    <n v="1"/>
    <m/>
    <n v="1"/>
    <m/>
    <n v="1"/>
    <m/>
    <n v="1"/>
  </r>
  <r>
    <x v="758"/>
    <n v="45773"/>
    <x v="1"/>
    <x v="2"/>
    <x v="2"/>
    <x v="1"/>
    <x v="2"/>
    <n v="1"/>
    <n v="0"/>
    <n v="0"/>
    <n v="0"/>
    <x v="0"/>
    <n v="0"/>
    <n v="0"/>
    <m/>
    <n v="57.5"/>
    <m/>
    <m/>
    <n v="1"/>
    <m/>
    <n v="1"/>
    <m/>
    <n v="0"/>
    <m/>
    <n v="0"/>
    <m/>
    <n v="0"/>
  </r>
  <r>
    <x v="759"/>
    <n v="45731"/>
    <x v="1"/>
    <x v="1"/>
    <x v="0"/>
    <x v="4"/>
    <x v="1"/>
    <n v="1"/>
    <n v="1"/>
    <n v="1"/>
    <n v="0"/>
    <x v="0"/>
    <n v="0"/>
    <n v="0"/>
    <m/>
    <n v="76.3"/>
    <m/>
    <m/>
    <n v="0"/>
    <m/>
    <n v="1"/>
    <m/>
    <n v="1"/>
    <m/>
    <n v="1"/>
    <m/>
    <n v="0"/>
  </r>
  <r>
    <x v="760"/>
    <n v="45750"/>
    <x v="1"/>
    <x v="0"/>
    <x v="1"/>
    <x v="2"/>
    <x v="1"/>
    <n v="0"/>
    <n v="0"/>
    <n v="0"/>
    <n v="0"/>
    <x v="0"/>
    <n v="0"/>
    <n v="0"/>
    <m/>
    <n v="47.5"/>
    <m/>
    <m/>
    <n v="0"/>
    <m/>
    <n v="0"/>
    <m/>
    <n v="0"/>
    <m/>
    <n v="0"/>
    <m/>
    <n v="0"/>
  </r>
  <r>
    <x v="761"/>
    <n v="45742"/>
    <x v="1"/>
    <x v="3"/>
    <x v="1"/>
    <x v="2"/>
    <x v="1"/>
    <n v="0"/>
    <n v="0"/>
    <n v="0"/>
    <n v="0"/>
    <x v="0"/>
    <n v="0"/>
    <n v="0"/>
    <m/>
    <m/>
    <m/>
    <m/>
    <n v="0"/>
    <m/>
    <n v="0"/>
    <m/>
    <n v="0"/>
    <m/>
    <n v="0"/>
    <m/>
    <n v="0"/>
  </r>
  <r>
    <x v="762"/>
    <n v="45693"/>
    <x v="1"/>
    <x v="1"/>
    <x v="0"/>
    <x v="1"/>
    <x v="0"/>
    <n v="1"/>
    <n v="1"/>
    <n v="0"/>
    <n v="0"/>
    <x v="0"/>
    <n v="2"/>
    <n v="0"/>
    <m/>
    <n v="71.599999999999994"/>
    <m/>
    <m/>
    <n v="0"/>
    <m/>
    <n v="1"/>
    <m/>
    <n v="1"/>
    <m/>
    <n v="0"/>
    <m/>
    <n v="2"/>
  </r>
  <r>
    <x v="763"/>
    <n v="45785"/>
    <x v="1"/>
    <x v="3"/>
    <x v="1"/>
    <x v="4"/>
    <x v="0"/>
    <n v="1"/>
    <n v="1"/>
    <n v="0"/>
    <n v="0"/>
    <x v="0"/>
    <n v="0"/>
    <n v="0"/>
    <m/>
    <n v="55.8"/>
    <m/>
    <m/>
    <n v="0"/>
    <m/>
    <n v="1"/>
    <m/>
    <n v="1"/>
    <m/>
    <n v="0"/>
    <m/>
    <n v="0"/>
  </r>
  <r>
    <x v="764"/>
    <n v="45741"/>
    <x v="1"/>
    <x v="3"/>
    <x v="0"/>
    <x v="1"/>
    <x v="0"/>
    <n v="0"/>
    <n v="0"/>
    <n v="0"/>
    <n v="0"/>
    <x v="0"/>
    <n v="1"/>
    <n v="0"/>
    <m/>
    <n v="60.1"/>
    <m/>
    <m/>
    <n v="0"/>
    <m/>
    <n v="0"/>
    <m/>
    <n v="0"/>
    <m/>
    <n v="0"/>
    <m/>
    <n v="1"/>
  </r>
  <r>
    <x v="765"/>
    <n v="45671"/>
    <x v="1"/>
    <x v="1"/>
    <x v="3"/>
    <x v="0"/>
    <x v="0"/>
    <n v="1"/>
    <n v="1"/>
    <n v="1"/>
    <n v="0"/>
    <x v="0"/>
    <n v="1"/>
    <n v="0"/>
    <m/>
    <n v="59.3"/>
    <m/>
    <m/>
    <n v="0"/>
    <m/>
    <n v="1"/>
    <m/>
    <n v="1"/>
    <m/>
    <n v="1"/>
    <m/>
    <n v="1"/>
  </r>
  <r>
    <x v="766"/>
    <n v="45742"/>
    <x v="1"/>
    <x v="0"/>
    <x v="1"/>
    <x v="1"/>
    <x v="1"/>
    <n v="1"/>
    <n v="1"/>
    <n v="0"/>
    <n v="0"/>
    <x v="0"/>
    <n v="2"/>
    <n v="0"/>
    <m/>
    <n v="49.3"/>
    <m/>
    <m/>
    <n v="0"/>
    <m/>
    <n v="1"/>
    <m/>
    <n v="1"/>
    <m/>
    <n v="0"/>
    <m/>
    <n v="2"/>
  </r>
  <r>
    <x v="767"/>
    <n v="45673"/>
    <x v="1"/>
    <x v="2"/>
    <x v="1"/>
    <x v="3"/>
    <x v="1"/>
    <n v="1"/>
    <n v="0"/>
    <n v="0"/>
    <n v="0"/>
    <x v="0"/>
    <n v="0"/>
    <n v="0"/>
    <m/>
    <n v="75"/>
    <m/>
    <m/>
    <n v="0"/>
    <m/>
    <n v="1"/>
    <m/>
    <n v="0"/>
    <m/>
    <n v="0"/>
    <m/>
    <n v="0"/>
  </r>
  <r>
    <x v="768"/>
    <n v="45661"/>
    <x v="1"/>
    <x v="2"/>
    <x v="1"/>
    <x v="4"/>
    <x v="1"/>
    <n v="1"/>
    <n v="0"/>
    <n v="0"/>
    <n v="0"/>
    <x v="0"/>
    <n v="0"/>
    <n v="0"/>
    <m/>
    <n v="70.2"/>
    <m/>
    <m/>
    <n v="0"/>
    <m/>
    <n v="1"/>
    <m/>
    <n v="0"/>
    <m/>
    <n v="0"/>
    <m/>
    <n v="0"/>
  </r>
  <r>
    <x v="769"/>
    <n v="45697"/>
    <x v="1"/>
    <x v="3"/>
    <x v="0"/>
    <x v="1"/>
    <x v="2"/>
    <n v="1"/>
    <n v="1"/>
    <n v="1"/>
    <n v="0"/>
    <x v="0"/>
    <n v="0"/>
    <n v="0"/>
    <m/>
    <n v="56.6"/>
    <m/>
    <m/>
    <n v="0"/>
    <m/>
    <n v="1"/>
    <m/>
    <n v="1"/>
    <m/>
    <n v="1"/>
    <m/>
    <n v="0"/>
  </r>
  <r>
    <x v="770"/>
    <n v="45721"/>
    <x v="1"/>
    <x v="2"/>
    <x v="0"/>
    <x v="1"/>
    <x v="1"/>
    <n v="1"/>
    <n v="0"/>
    <n v="0"/>
    <n v="0"/>
    <x v="0"/>
    <n v="0"/>
    <n v="0"/>
    <m/>
    <n v="65.400000000000006"/>
    <m/>
    <m/>
    <n v="0"/>
    <m/>
    <n v="1"/>
    <m/>
    <n v="0"/>
    <m/>
    <n v="0"/>
    <m/>
    <n v="0"/>
  </r>
  <r>
    <x v="771"/>
    <n v="45726"/>
    <x v="1"/>
    <x v="2"/>
    <x v="1"/>
    <x v="3"/>
    <x v="0"/>
    <n v="1"/>
    <n v="0"/>
    <n v="0"/>
    <n v="0"/>
    <x v="0"/>
    <n v="0"/>
    <n v="0"/>
    <m/>
    <n v="47.6"/>
    <m/>
    <m/>
    <n v="0"/>
    <m/>
    <n v="1"/>
    <m/>
    <n v="0"/>
    <m/>
    <n v="0"/>
    <m/>
    <n v="0"/>
  </r>
  <r>
    <x v="772"/>
    <n v="45715"/>
    <x v="1"/>
    <x v="2"/>
    <x v="0"/>
    <x v="2"/>
    <x v="1"/>
    <n v="1"/>
    <n v="0"/>
    <n v="0"/>
    <n v="0"/>
    <x v="0"/>
    <n v="0"/>
    <n v="0"/>
    <m/>
    <n v="56.7"/>
    <m/>
    <m/>
    <n v="0"/>
    <m/>
    <n v="1"/>
    <m/>
    <n v="0"/>
    <m/>
    <n v="0"/>
    <m/>
    <n v="0"/>
  </r>
  <r>
    <x v="773"/>
    <n v="45726"/>
    <x v="1"/>
    <x v="0"/>
    <x v="0"/>
    <x v="3"/>
    <x v="0"/>
    <n v="1"/>
    <n v="1"/>
    <n v="0"/>
    <n v="0"/>
    <x v="0"/>
    <n v="0"/>
    <n v="0"/>
    <m/>
    <n v="71.400000000000006"/>
    <m/>
    <m/>
    <n v="0"/>
    <m/>
    <n v="1"/>
    <m/>
    <n v="1"/>
    <m/>
    <n v="0"/>
    <m/>
    <n v="0"/>
  </r>
  <r>
    <x v="774"/>
    <n v="45770"/>
    <x v="1"/>
    <x v="1"/>
    <x v="1"/>
    <x v="4"/>
    <x v="1"/>
    <n v="0"/>
    <n v="0"/>
    <n v="0"/>
    <n v="0"/>
    <x v="0"/>
    <n v="2"/>
    <n v="0"/>
    <m/>
    <n v="60.5"/>
    <m/>
    <m/>
    <n v="0"/>
    <m/>
    <n v="0"/>
    <m/>
    <n v="0"/>
    <m/>
    <n v="0"/>
    <m/>
    <n v="2"/>
  </r>
  <r>
    <x v="775"/>
    <n v="45759"/>
    <x v="1"/>
    <x v="0"/>
    <x v="0"/>
    <x v="2"/>
    <x v="1"/>
    <n v="1"/>
    <n v="0"/>
    <n v="0"/>
    <n v="0"/>
    <x v="0"/>
    <n v="0"/>
    <n v="0"/>
    <m/>
    <n v="46.7"/>
    <m/>
    <m/>
    <n v="0"/>
    <m/>
    <n v="1"/>
    <m/>
    <n v="0"/>
    <m/>
    <n v="0"/>
    <m/>
    <n v="0"/>
  </r>
  <r>
    <x v="776"/>
    <n v="45683"/>
    <x v="1"/>
    <x v="2"/>
    <x v="0"/>
    <x v="3"/>
    <x v="1"/>
    <n v="0"/>
    <n v="0"/>
    <n v="0"/>
    <n v="0"/>
    <x v="0"/>
    <n v="0"/>
    <n v="0"/>
    <m/>
    <n v="61"/>
    <m/>
    <m/>
    <n v="0"/>
    <m/>
    <n v="0"/>
    <m/>
    <n v="0"/>
    <m/>
    <n v="0"/>
    <m/>
    <n v="0"/>
  </r>
  <r>
    <x v="777"/>
    <n v="45801"/>
    <x v="1"/>
    <x v="1"/>
    <x v="2"/>
    <x v="2"/>
    <x v="1"/>
    <n v="0"/>
    <n v="0"/>
    <n v="0"/>
    <n v="0"/>
    <x v="0"/>
    <n v="0"/>
    <n v="0"/>
    <m/>
    <n v="60.9"/>
    <m/>
    <m/>
    <n v="0"/>
    <m/>
    <n v="0"/>
    <m/>
    <n v="0"/>
    <m/>
    <n v="0"/>
    <m/>
    <n v="0"/>
  </r>
  <r>
    <x v="778"/>
    <n v="45665"/>
    <x v="1"/>
    <x v="3"/>
    <x v="1"/>
    <x v="1"/>
    <x v="1"/>
    <n v="1"/>
    <n v="0"/>
    <n v="0"/>
    <n v="0"/>
    <x v="0"/>
    <n v="0"/>
    <n v="0"/>
    <m/>
    <n v="67.099999999999994"/>
    <m/>
    <m/>
    <n v="0"/>
    <m/>
    <n v="1"/>
    <m/>
    <n v="0"/>
    <m/>
    <n v="0"/>
    <m/>
    <n v="0"/>
  </r>
  <r>
    <x v="779"/>
    <n v="45762"/>
    <x v="1"/>
    <x v="0"/>
    <x v="1"/>
    <x v="3"/>
    <x v="1"/>
    <n v="1"/>
    <n v="1"/>
    <n v="0"/>
    <n v="0"/>
    <x v="0"/>
    <n v="0"/>
    <n v="0"/>
    <m/>
    <n v="59.6"/>
    <m/>
    <m/>
    <n v="0"/>
    <m/>
    <n v="1"/>
    <m/>
    <n v="1"/>
    <m/>
    <n v="0"/>
    <m/>
    <n v="0"/>
  </r>
  <r>
    <x v="780"/>
    <n v="45672"/>
    <x v="1"/>
    <x v="3"/>
    <x v="0"/>
    <x v="2"/>
    <x v="1"/>
    <n v="1"/>
    <n v="0"/>
    <n v="0"/>
    <n v="0"/>
    <x v="0"/>
    <n v="0"/>
    <n v="0"/>
    <m/>
    <n v="83.8"/>
    <m/>
    <m/>
    <n v="0"/>
    <m/>
    <n v="1"/>
    <m/>
    <n v="0"/>
    <m/>
    <n v="0"/>
    <m/>
    <n v="0"/>
  </r>
  <r>
    <x v="781"/>
    <n v="45716"/>
    <x v="1"/>
    <x v="0"/>
    <x v="1"/>
    <x v="1"/>
    <x v="0"/>
    <n v="1"/>
    <n v="1"/>
    <n v="1"/>
    <n v="0"/>
    <x v="0"/>
    <n v="0"/>
    <n v="0"/>
    <m/>
    <n v="70.8"/>
    <m/>
    <m/>
    <n v="0"/>
    <m/>
    <n v="1"/>
    <m/>
    <n v="1"/>
    <m/>
    <n v="1"/>
    <m/>
    <n v="0"/>
  </r>
  <r>
    <x v="782"/>
    <n v="45658"/>
    <x v="1"/>
    <x v="0"/>
    <x v="2"/>
    <x v="1"/>
    <x v="0"/>
    <n v="0"/>
    <n v="0"/>
    <n v="0"/>
    <n v="0"/>
    <x v="0"/>
    <n v="0"/>
    <n v="0"/>
    <m/>
    <n v="65.900000000000006"/>
    <m/>
    <m/>
    <n v="0"/>
    <m/>
    <n v="0"/>
    <m/>
    <n v="0"/>
    <m/>
    <n v="0"/>
    <m/>
    <n v="0"/>
  </r>
  <r>
    <x v="783"/>
    <n v="45764"/>
    <x v="1"/>
    <x v="1"/>
    <x v="1"/>
    <x v="3"/>
    <x v="1"/>
    <n v="1"/>
    <n v="0"/>
    <n v="0"/>
    <n v="0"/>
    <x v="0"/>
    <n v="0"/>
    <n v="0"/>
    <m/>
    <n v="58"/>
    <m/>
    <m/>
    <n v="0"/>
    <m/>
    <n v="1"/>
    <m/>
    <n v="0"/>
    <m/>
    <n v="0"/>
    <m/>
    <n v="0"/>
  </r>
  <r>
    <x v="784"/>
    <n v="45707"/>
    <x v="1"/>
    <x v="0"/>
    <x v="1"/>
    <x v="0"/>
    <x v="0"/>
    <n v="1"/>
    <n v="1"/>
    <n v="0"/>
    <n v="0"/>
    <x v="0"/>
    <n v="0"/>
    <n v="0"/>
    <m/>
    <n v="80.3"/>
    <m/>
    <m/>
    <n v="0"/>
    <m/>
    <n v="1"/>
    <m/>
    <n v="1"/>
    <m/>
    <n v="0"/>
    <m/>
    <n v="0"/>
  </r>
  <r>
    <x v="785"/>
    <n v="45730"/>
    <x v="1"/>
    <x v="0"/>
    <x v="0"/>
    <x v="1"/>
    <x v="1"/>
    <n v="1"/>
    <n v="0"/>
    <n v="0"/>
    <n v="0"/>
    <x v="0"/>
    <n v="0"/>
    <n v="0"/>
    <m/>
    <n v="55.7"/>
    <m/>
    <m/>
    <n v="0"/>
    <m/>
    <n v="1"/>
    <m/>
    <n v="0"/>
    <m/>
    <n v="0"/>
    <m/>
    <n v="0"/>
  </r>
  <r>
    <x v="786"/>
    <n v="45768"/>
    <x v="1"/>
    <x v="0"/>
    <x v="1"/>
    <x v="1"/>
    <x v="1"/>
    <n v="1"/>
    <n v="1"/>
    <n v="0"/>
    <n v="0"/>
    <x v="0"/>
    <n v="0"/>
    <n v="0"/>
    <m/>
    <n v="84.9"/>
    <m/>
    <m/>
    <n v="0"/>
    <m/>
    <n v="1"/>
    <m/>
    <n v="1"/>
    <m/>
    <n v="0"/>
    <m/>
    <n v="0"/>
  </r>
  <r>
    <x v="787"/>
    <n v="45702"/>
    <x v="1"/>
    <x v="0"/>
    <x v="1"/>
    <x v="1"/>
    <x v="1"/>
    <n v="1"/>
    <n v="0"/>
    <n v="0"/>
    <n v="0"/>
    <x v="0"/>
    <n v="0"/>
    <n v="0"/>
    <m/>
    <n v="63.3"/>
    <m/>
    <m/>
    <n v="0"/>
    <m/>
    <n v="1"/>
    <m/>
    <n v="0"/>
    <m/>
    <n v="0"/>
    <m/>
    <n v="0"/>
  </r>
  <r>
    <x v="788"/>
    <n v="45807"/>
    <x v="1"/>
    <x v="1"/>
    <x v="1"/>
    <x v="1"/>
    <x v="1"/>
    <n v="0"/>
    <n v="0"/>
    <n v="0"/>
    <n v="0"/>
    <x v="0"/>
    <n v="0"/>
    <n v="0"/>
    <m/>
    <n v="53.1"/>
    <m/>
    <m/>
    <n v="0"/>
    <m/>
    <n v="0"/>
    <m/>
    <n v="0"/>
    <m/>
    <n v="0"/>
    <m/>
    <n v="0"/>
  </r>
  <r>
    <x v="789"/>
    <n v="45677"/>
    <x v="1"/>
    <x v="1"/>
    <x v="1"/>
    <x v="1"/>
    <x v="1"/>
    <n v="0"/>
    <n v="0"/>
    <n v="0"/>
    <n v="0"/>
    <x v="0"/>
    <n v="0"/>
    <n v="0"/>
    <m/>
    <n v="66"/>
    <m/>
    <m/>
    <n v="0"/>
    <m/>
    <n v="0"/>
    <m/>
    <n v="0"/>
    <m/>
    <n v="0"/>
    <m/>
    <n v="0"/>
  </r>
  <r>
    <x v="790"/>
    <n v="45733"/>
    <x v="1"/>
    <x v="1"/>
    <x v="1"/>
    <x v="4"/>
    <x v="2"/>
    <n v="0"/>
    <n v="0"/>
    <n v="0"/>
    <n v="0"/>
    <x v="0"/>
    <n v="0"/>
    <n v="0"/>
    <m/>
    <n v="54.7"/>
    <m/>
    <m/>
    <n v="0"/>
    <m/>
    <n v="0"/>
    <m/>
    <n v="0"/>
    <m/>
    <n v="0"/>
    <m/>
    <n v="0"/>
  </r>
  <r>
    <x v="791"/>
    <n v="45720"/>
    <x v="1"/>
    <x v="1"/>
    <x v="1"/>
    <x v="4"/>
    <x v="1"/>
    <n v="1"/>
    <n v="1"/>
    <n v="0"/>
    <n v="0"/>
    <x v="0"/>
    <n v="1"/>
    <n v="0"/>
    <m/>
    <n v="41.2"/>
    <m/>
    <m/>
    <n v="0"/>
    <m/>
    <n v="1"/>
    <m/>
    <n v="1"/>
    <m/>
    <n v="0"/>
    <m/>
    <n v="1"/>
  </r>
  <r>
    <x v="792"/>
    <n v="45710"/>
    <x v="1"/>
    <x v="3"/>
    <x v="1"/>
    <x v="1"/>
    <x v="2"/>
    <n v="0"/>
    <n v="0"/>
    <n v="0"/>
    <n v="0"/>
    <x v="0"/>
    <n v="0"/>
    <n v="0"/>
    <m/>
    <n v="66.7"/>
    <m/>
    <m/>
    <n v="0"/>
    <m/>
    <n v="0"/>
    <m/>
    <n v="0"/>
    <m/>
    <n v="0"/>
    <m/>
    <n v="0"/>
  </r>
  <r>
    <x v="793"/>
    <n v="45779"/>
    <x v="1"/>
    <x v="0"/>
    <x v="1"/>
    <x v="2"/>
    <x v="2"/>
    <n v="0"/>
    <n v="0"/>
    <n v="0"/>
    <n v="0"/>
    <x v="0"/>
    <n v="0"/>
    <n v="0"/>
    <m/>
    <n v="39.4"/>
    <m/>
    <m/>
    <n v="0"/>
    <m/>
    <n v="0"/>
    <m/>
    <n v="0"/>
    <m/>
    <n v="0"/>
    <m/>
    <n v="0"/>
  </r>
  <r>
    <x v="794"/>
    <n v="45729"/>
    <x v="1"/>
    <x v="1"/>
    <x v="0"/>
    <x v="1"/>
    <x v="2"/>
    <n v="0"/>
    <n v="0"/>
    <n v="0"/>
    <n v="0"/>
    <x v="0"/>
    <n v="3"/>
    <n v="0"/>
    <m/>
    <n v="67"/>
    <m/>
    <m/>
    <n v="0"/>
    <m/>
    <n v="0"/>
    <m/>
    <n v="0"/>
    <m/>
    <n v="0"/>
    <m/>
    <n v="3"/>
  </r>
  <r>
    <x v="795"/>
    <n v="45808"/>
    <x v="1"/>
    <x v="3"/>
    <x v="1"/>
    <x v="1"/>
    <x v="0"/>
    <n v="1"/>
    <n v="0"/>
    <n v="0"/>
    <n v="0"/>
    <x v="0"/>
    <n v="0"/>
    <n v="0"/>
    <m/>
    <n v="50.4"/>
    <m/>
    <m/>
    <n v="0"/>
    <m/>
    <n v="1"/>
    <m/>
    <n v="0"/>
    <m/>
    <n v="0"/>
    <m/>
    <n v="0"/>
  </r>
  <r>
    <x v="796"/>
    <n v="45723"/>
    <x v="1"/>
    <x v="1"/>
    <x v="0"/>
    <x v="4"/>
    <x v="1"/>
    <n v="1"/>
    <n v="0"/>
    <n v="0"/>
    <n v="0"/>
    <x v="0"/>
    <n v="0"/>
    <n v="0"/>
    <m/>
    <n v="53.8"/>
    <m/>
    <m/>
    <n v="0"/>
    <m/>
    <n v="1"/>
    <m/>
    <n v="0"/>
    <m/>
    <n v="0"/>
    <m/>
    <n v="0"/>
  </r>
  <r>
    <x v="797"/>
    <n v="45710"/>
    <x v="1"/>
    <x v="1"/>
    <x v="1"/>
    <x v="2"/>
    <x v="0"/>
    <n v="0"/>
    <n v="0"/>
    <n v="0"/>
    <n v="0"/>
    <x v="0"/>
    <n v="1"/>
    <n v="0"/>
    <m/>
    <n v="82.7"/>
    <m/>
    <m/>
    <n v="0"/>
    <m/>
    <n v="0"/>
    <m/>
    <n v="0"/>
    <m/>
    <n v="0"/>
    <m/>
    <n v="1"/>
  </r>
  <r>
    <x v="798"/>
    <n v="45662"/>
    <x v="1"/>
    <x v="1"/>
    <x v="0"/>
    <x v="2"/>
    <x v="1"/>
    <n v="1"/>
    <n v="1"/>
    <n v="1"/>
    <n v="0"/>
    <x v="0"/>
    <n v="0"/>
    <n v="0"/>
    <m/>
    <n v="63.9"/>
    <m/>
    <m/>
    <n v="0"/>
    <m/>
    <n v="1"/>
    <m/>
    <n v="1"/>
    <m/>
    <n v="1"/>
    <m/>
    <n v="0"/>
  </r>
  <r>
    <x v="799"/>
    <n v="45678"/>
    <x v="1"/>
    <x v="1"/>
    <x v="1"/>
    <x v="3"/>
    <x v="1"/>
    <n v="1"/>
    <n v="0"/>
    <n v="0"/>
    <n v="0"/>
    <x v="0"/>
    <n v="0"/>
    <n v="0"/>
    <m/>
    <n v="61.9"/>
    <m/>
    <m/>
    <n v="0"/>
    <m/>
    <n v="1"/>
    <m/>
    <n v="0"/>
    <m/>
    <n v="0"/>
    <m/>
    <n v="0"/>
  </r>
  <r>
    <x v="800"/>
    <n v="45682"/>
    <x v="1"/>
    <x v="0"/>
    <x v="0"/>
    <x v="4"/>
    <x v="1"/>
    <n v="1"/>
    <n v="1"/>
    <n v="1"/>
    <n v="0"/>
    <x v="0"/>
    <n v="0"/>
    <n v="0"/>
    <m/>
    <n v="75"/>
    <m/>
    <m/>
    <n v="0"/>
    <m/>
    <n v="1"/>
    <m/>
    <n v="1"/>
    <m/>
    <n v="1"/>
    <m/>
    <n v="0"/>
  </r>
  <r>
    <x v="801"/>
    <n v="45751"/>
    <x v="1"/>
    <x v="1"/>
    <x v="1"/>
    <x v="2"/>
    <x v="0"/>
    <n v="1"/>
    <n v="1"/>
    <n v="1"/>
    <n v="0"/>
    <x v="0"/>
    <n v="0"/>
    <n v="0"/>
    <m/>
    <n v="43"/>
    <m/>
    <m/>
    <n v="0"/>
    <m/>
    <n v="1"/>
    <m/>
    <n v="1"/>
    <m/>
    <n v="1"/>
    <m/>
    <n v="0"/>
  </r>
  <r>
    <x v="802"/>
    <n v="45741"/>
    <x v="1"/>
    <x v="0"/>
    <x v="0"/>
    <x v="4"/>
    <x v="2"/>
    <n v="0"/>
    <n v="0"/>
    <n v="0"/>
    <n v="0"/>
    <x v="0"/>
    <n v="0"/>
    <n v="0"/>
    <m/>
    <n v="54.3"/>
    <m/>
    <m/>
    <n v="0"/>
    <m/>
    <n v="0"/>
    <m/>
    <n v="0"/>
    <m/>
    <n v="0"/>
    <m/>
    <n v="0"/>
  </r>
  <r>
    <x v="803"/>
    <n v="45735"/>
    <x v="1"/>
    <x v="1"/>
    <x v="1"/>
    <x v="4"/>
    <x v="1"/>
    <n v="0"/>
    <n v="0"/>
    <n v="0"/>
    <n v="0"/>
    <x v="0"/>
    <n v="2"/>
    <n v="0"/>
    <m/>
    <n v="44.3"/>
    <m/>
    <m/>
    <n v="0"/>
    <m/>
    <n v="0"/>
    <m/>
    <n v="0"/>
    <m/>
    <n v="0"/>
    <m/>
    <n v="2"/>
  </r>
  <r>
    <x v="804"/>
    <n v="45771"/>
    <x v="1"/>
    <x v="1"/>
    <x v="0"/>
    <x v="1"/>
    <x v="1"/>
    <n v="1"/>
    <n v="1"/>
    <n v="1"/>
    <n v="1"/>
    <x v="29"/>
    <n v="0"/>
    <n v="0"/>
    <n v="12"/>
    <n v="76"/>
    <m/>
    <m/>
    <n v="0"/>
    <m/>
    <n v="1"/>
    <m/>
    <n v="1"/>
    <m/>
    <n v="1"/>
    <m/>
    <n v="0"/>
  </r>
  <r>
    <x v="805"/>
    <n v="45751"/>
    <x v="1"/>
    <x v="3"/>
    <x v="2"/>
    <x v="1"/>
    <x v="1"/>
    <n v="1"/>
    <n v="0"/>
    <n v="0"/>
    <n v="0"/>
    <x v="0"/>
    <n v="2"/>
    <n v="0"/>
    <m/>
    <n v="65.3"/>
    <m/>
    <m/>
    <n v="1"/>
    <m/>
    <n v="1"/>
    <m/>
    <n v="0"/>
    <m/>
    <n v="0"/>
    <m/>
    <n v="2"/>
  </r>
  <r>
    <x v="806"/>
    <n v="45744"/>
    <x v="1"/>
    <x v="3"/>
    <x v="0"/>
    <x v="2"/>
    <x v="2"/>
    <n v="1"/>
    <n v="0"/>
    <n v="0"/>
    <n v="0"/>
    <x v="0"/>
    <n v="0"/>
    <n v="0"/>
    <m/>
    <n v="71.2"/>
    <m/>
    <m/>
    <n v="0"/>
    <m/>
    <n v="1"/>
    <m/>
    <n v="0"/>
    <m/>
    <n v="0"/>
    <m/>
    <n v="0"/>
  </r>
  <r>
    <x v="807"/>
    <n v="45792"/>
    <x v="1"/>
    <x v="3"/>
    <x v="2"/>
    <x v="2"/>
    <x v="1"/>
    <n v="1"/>
    <n v="0"/>
    <n v="0"/>
    <n v="0"/>
    <x v="0"/>
    <n v="0"/>
    <n v="0"/>
    <m/>
    <n v="77.900000000000006"/>
    <m/>
    <m/>
    <n v="0"/>
    <m/>
    <n v="1"/>
    <m/>
    <n v="0"/>
    <m/>
    <n v="0"/>
    <m/>
    <n v="0"/>
  </r>
  <r>
    <x v="808"/>
    <n v="45729"/>
    <x v="1"/>
    <x v="1"/>
    <x v="1"/>
    <x v="2"/>
    <x v="1"/>
    <n v="0"/>
    <n v="0"/>
    <n v="0"/>
    <n v="0"/>
    <x v="0"/>
    <n v="0"/>
    <n v="0"/>
    <m/>
    <n v="48.6"/>
    <m/>
    <m/>
    <n v="0"/>
    <m/>
    <n v="0"/>
    <m/>
    <n v="0"/>
    <m/>
    <n v="0"/>
    <m/>
    <n v="0"/>
  </r>
  <r>
    <x v="809"/>
    <n v="45742"/>
    <x v="1"/>
    <x v="0"/>
    <x v="1"/>
    <x v="4"/>
    <x v="2"/>
    <n v="1"/>
    <n v="0"/>
    <n v="0"/>
    <n v="0"/>
    <x v="0"/>
    <n v="0"/>
    <n v="0"/>
    <m/>
    <n v="61.9"/>
    <m/>
    <m/>
    <n v="0"/>
    <m/>
    <n v="1"/>
    <m/>
    <n v="0"/>
    <m/>
    <n v="0"/>
    <m/>
    <n v="0"/>
  </r>
  <r>
    <x v="810"/>
    <n v="45666"/>
    <x v="1"/>
    <x v="0"/>
    <x v="1"/>
    <x v="4"/>
    <x v="0"/>
    <n v="0"/>
    <n v="0"/>
    <n v="0"/>
    <n v="0"/>
    <x v="0"/>
    <n v="1"/>
    <n v="0"/>
    <m/>
    <n v="58.7"/>
    <m/>
    <m/>
    <n v="0"/>
    <m/>
    <n v="0"/>
    <m/>
    <n v="0"/>
    <m/>
    <n v="0"/>
    <m/>
    <n v="1"/>
  </r>
  <r>
    <x v="811"/>
    <n v="45783"/>
    <x v="1"/>
    <x v="3"/>
    <x v="0"/>
    <x v="2"/>
    <x v="1"/>
    <n v="1"/>
    <n v="0"/>
    <n v="0"/>
    <n v="0"/>
    <x v="0"/>
    <n v="0"/>
    <n v="0"/>
    <m/>
    <n v="69.599999999999994"/>
    <m/>
    <m/>
    <n v="0"/>
    <m/>
    <n v="1"/>
    <m/>
    <n v="0"/>
    <m/>
    <n v="0"/>
    <m/>
    <n v="0"/>
  </r>
  <r>
    <x v="812"/>
    <n v="45705"/>
    <x v="1"/>
    <x v="3"/>
    <x v="1"/>
    <x v="1"/>
    <x v="1"/>
    <n v="1"/>
    <n v="0"/>
    <n v="0"/>
    <n v="0"/>
    <x v="0"/>
    <n v="0"/>
    <n v="0"/>
    <m/>
    <n v="51.5"/>
    <m/>
    <m/>
    <n v="0"/>
    <m/>
    <n v="1"/>
    <m/>
    <n v="0"/>
    <m/>
    <n v="0"/>
    <m/>
    <n v="0"/>
  </r>
  <r>
    <x v="813"/>
    <n v="45752"/>
    <x v="1"/>
    <x v="2"/>
    <x v="1"/>
    <x v="2"/>
    <x v="1"/>
    <n v="1"/>
    <n v="1"/>
    <n v="1"/>
    <n v="1"/>
    <x v="30"/>
    <n v="3"/>
    <n v="0"/>
    <n v="8"/>
    <n v="46"/>
    <m/>
    <m/>
    <n v="0"/>
    <m/>
    <n v="1"/>
    <m/>
    <n v="1"/>
    <m/>
    <n v="1"/>
    <m/>
    <n v="3"/>
  </r>
  <r>
    <x v="814"/>
    <n v="45760"/>
    <x v="1"/>
    <x v="1"/>
    <x v="2"/>
    <x v="1"/>
    <x v="1"/>
    <n v="1"/>
    <n v="0"/>
    <n v="0"/>
    <n v="0"/>
    <x v="0"/>
    <n v="0"/>
    <n v="0"/>
    <m/>
    <n v="81.7"/>
    <m/>
    <m/>
    <n v="1"/>
    <m/>
    <n v="1"/>
    <m/>
    <n v="0"/>
    <m/>
    <n v="0"/>
    <m/>
    <n v="0"/>
  </r>
  <r>
    <x v="815"/>
    <n v="45797"/>
    <x v="1"/>
    <x v="2"/>
    <x v="0"/>
    <x v="3"/>
    <x v="1"/>
    <n v="1"/>
    <n v="0"/>
    <n v="0"/>
    <n v="0"/>
    <x v="0"/>
    <n v="0"/>
    <n v="0"/>
    <m/>
    <n v="48.3"/>
    <m/>
    <m/>
    <n v="0"/>
    <m/>
    <n v="1"/>
    <m/>
    <n v="0"/>
    <m/>
    <n v="0"/>
    <m/>
    <n v="0"/>
  </r>
  <r>
    <x v="816"/>
    <n v="45747"/>
    <x v="1"/>
    <x v="2"/>
    <x v="1"/>
    <x v="0"/>
    <x v="1"/>
    <n v="1"/>
    <n v="1"/>
    <n v="0"/>
    <n v="0"/>
    <x v="0"/>
    <n v="0"/>
    <n v="0"/>
    <m/>
    <n v="85.6"/>
    <m/>
    <m/>
    <n v="0"/>
    <m/>
    <n v="1"/>
    <m/>
    <n v="1"/>
    <m/>
    <n v="0"/>
    <m/>
    <n v="0"/>
  </r>
  <r>
    <x v="817"/>
    <n v="45750"/>
    <x v="1"/>
    <x v="1"/>
    <x v="2"/>
    <x v="2"/>
    <x v="0"/>
    <n v="1"/>
    <n v="0"/>
    <n v="0"/>
    <n v="0"/>
    <x v="0"/>
    <n v="0"/>
    <n v="0"/>
    <m/>
    <n v="53.8"/>
    <m/>
    <m/>
    <n v="0"/>
    <m/>
    <n v="1"/>
    <m/>
    <n v="0"/>
    <m/>
    <n v="0"/>
    <m/>
    <n v="0"/>
  </r>
  <r>
    <x v="818"/>
    <n v="45692"/>
    <x v="1"/>
    <x v="3"/>
    <x v="1"/>
    <x v="1"/>
    <x v="1"/>
    <n v="1"/>
    <n v="1"/>
    <n v="1"/>
    <n v="1"/>
    <x v="31"/>
    <n v="2"/>
    <n v="0"/>
    <n v="0"/>
    <n v="69.7"/>
    <m/>
    <m/>
    <n v="0"/>
    <m/>
    <n v="1"/>
    <m/>
    <n v="1"/>
    <m/>
    <n v="1"/>
    <m/>
    <n v="2"/>
  </r>
  <r>
    <x v="819"/>
    <n v="45796"/>
    <x v="1"/>
    <x v="2"/>
    <x v="1"/>
    <x v="1"/>
    <x v="1"/>
    <n v="1"/>
    <n v="0"/>
    <n v="0"/>
    <n v="0"/>
    <x v="0"/>
    <n v="0"/>
    <n v="0"/>
    <m/>
    <n v="74.8"/>
    <m/>
    <m/>
    <n v="1"/>
    <m/>
    <n v="1"/>
    <m/>
    <n v="0"/>
    <m/>
    <n v="0"/>
    <m/>
    <n v="0"/>
  </r>
  <r>
    <x v="820"/>
    <n v="45724"/>
    <x v="1"/>
    <x v="2"/>
    <x v="0"/>
    <x v="2"/>
    <x v="0"/>
    <n v="0"/>
    <n v="0"/>
    <n v="0"/>
    <n v="0"/>
    <x v="0"/>
    <n v="0"/>
    <n v="0"/>
    <m/>
    <n v="87.9"/>
    <m/>
    <m/>
    <n v="0"/>
    <m/>
    <n v="0"/>
    <m/>
    <n v="0"/>
    <m/>
    <n v="0"/>
    <m/>
    <n v="0"/>
  </r>
  <r>
    <x v="821"/>
    <n v="45787"/>
    <x v="1"/>
    <x v="0"/>
    <x v="1"/>
    <x v="4"/>
    <x v="0"/>
    <n v="1"/>
    <n v="0"/>
    <n v="0"/>
    <n v="0"/>
    <x v="0"/>
    <n v="1"/>
    <n v="0"/>
    <m/>
    <n v="49.1"/>
    <m/>
    <m/>
    <n v="0"/>
    <m/>
    <n v="1"/>
    <m/>
    <n v="0"/>
    <m/>
    <n v="0"/>
    <m/>
    <n v="1"/>
  </r>
  <r>
    <x v="822"/>
    <n v="45659"/>
    <x v="1"/>
    <x v="2"/>
    <x v="0"/>
    <x v="4"/>
    <x v="0"/>
    <n v="1"/>
    <n v="0"/>
    <n v="0"/>
    <n v="0"/>
    <x v="0"/>
    <n v="2"/>
    <n v="0"/>
    <m/>
    <n v="73"/>
    <m/>
    <m/>
    <n v="0"/>
    <m/>
    <n v="1"/>
    <m/>
    <n v="0"/>
    <m/>
    <n v="0"/>
    <m/>
    <n v="2"/>
  </r>
  <r>
    <x v="823"/>
    <n v="45674"/>
    <x v="1"/>
    <x v="1"/>
    <x v="1"/>
    <x v="1"/>
    <x v="0"/>
    <n v="0"/>
    <n v="0"/>
    <n v="0"/>
    <n v="0"/>
    <x v="0"/>
    <n v="0"/>
    <n v="0"/>
    <m/>
    <n v="79.5"/>
    <m/>
    <m/>
    <n v="0"/>
    <m/>
    <n v="0"/>
    <m/>
    <n v="0"/>
    <m/>
    <n v="0"/>
    <m/>
    <n v="0"/>
  </r>
  <r>
    <x v="824"/>
    <n v="45798"/>
    <x v="1"/>
    <x v="1"/>
    <x v="1"/>
    <x v="3"/>
    <x v="0"/>
    <n v="1"/>
    <n v="1"/>
    <n v="1"/>
    <n v="1"/>
    <x v="32"/>
    <n v="1"/>
    <n v="0"/>
    <n v="6"/>
    <n v="93.2"/>
    <m/>
    <m/>
    <n v="0"/>
    <m/>
    <n v="1"/>
    <m/>
    <n v="1"/>
    <m/>
    <n v="1"/>
    <m/>
    <n v="1"/>
  </r>
  <r>
    <x v="825"/>
    <n v="45802"/>
    <x v="1"/>
    <x v="2"/>
    <x v="0"/>
    <x v="3"/>
    <x v="1"/>
    <n v="1"/>
    <n v="0"/>
    <n v="0"/>
    <n v="0"/>
    <x v="0"/>
    <n v="3"/>
    <n v="0"/>
    <m/>
    <n v="77.5"/>
    <m/>
    <m/>
    <n v="1"/>
    <m/>
    <n v="1"/>
    <m/>
    <n v="0"/>
    <m/>
    <n v="0"/>
    <m/>
    <n v="3"/>
  </r>
  <r>
    <x v="826"/>
    <n v="45662"/>
    <x v="1"/>
    <x v="1"/>
    <x v="1"/>
    <x v="0"/>
    <x v="0"/>
    <n v="1"/>
    <n v="0"/>
    <n v="0"/>
    <n v="0"/>
    <x v="0"/>
    <n v="0"/>
    <n v="0"/>
    <m/>
    <n v="61"/>
    <m/>
    <m/>
    <n v="0"/>
    <m/>
    <n v="1"/>
    <m/>
    <n v="0"/>
    <m/>
    <n v="0"/>
    <m/>
    <n v="0"/>
  </r>
  <r>
    <x v="827"/>
    <n v="45712"/>
    <x v="1"/>
    <x v="3"/>
    <x v="0"/>
    <x v="1"/>
    <x v="1"/>
    <n v="1"/>
    <n v="1"/>
    <n v="0"/>
    <n v="0"/>
    <x v="0"/>
    <n v="0"/>
    <n v="0"/>
    <m/>
    <n v="64.900000000000006"/>
    <m/>
    <m/>
    <n v="0"/>
    <m/>
    <n v="1"/>
    <m/>
    <n v="1"/>
    <m/>
    <n v="0"/>
    <m/>
    <n v="0"/>
  </r>
  <r>
    <x v="828"/>
    <n v="45678"/>
    <x v="1"/>
    <x v="2"/>
    <x v="1"/>
    <x v="2"/>
    <x v="0"/>
    <n v="1"/>
    <n v="0"/>
    <n v="0"/>
    <n v="0"/>
    <x v="0"/>
    <n v="0"/>
    <n v="0"/>
    <m/>
    <n v="87.5"/>
    <m/>
    <m/>
    <n v="0"/>
    <m/>
    <n v="1"/>
    <m/>
    <n v="0"/>
    <m/>
    <n v="0"/>
    <m/>
    <n v="0"/>
  </r>
  <r>
    <x v="829"/>
    <n v="45771"/>
    <x v="1"/>
    <x v="0"/>
    <x v="1"/>
    <x v="1"/>
    <x v="0"/>
    <n v="1"/>
    <n v="1"/>
    <n v="1"/>
    <n v="1"/>
    <x v="33"/>
    <n v="0"/>
    <n v="0"/>
    <n v="5"/>
    <n v="80.599999999999994"/>
    <m/>
    <m/>
    <n v="0"/>
    <m/>
    <n v="1"/>
    <m/>
    <n v="1"/>
    <m/>
    <n v="1"/>
    <m/>
    <n v="0"/>
  </r>
  <r>
    <x v="830"/>
    <n v="45664"/>
    <x v="1"/>
    <x v="1"/>
    <x v="0"/>
    <x v="1"/>
    <x v="1"/>
    <n v="1"/>
    <n v="0"/>
    <n v="0"/>
    <n v="0"/>
    <x v="0"/>
    <n v="0"/>
    <n v="0"/>
    <m/>
    <n v="66.900000000000006"/>
    <m/>
    <m/>
    <n v="1"/>
    <m/>
    <n v="1"/>
    <m/>
    <n v="0"/>
    <m/>
    <n v="0"/>
    <m/>
    <n v="0"/>
  </r>
  <r>
    <x v="831"/>
    <n v="45808"/>
    <x v="1"/>
    <x v="3"/>
    <x v="2"/>
    <x v="1"/>
    <x v="0"/>
    <n v="1"/>
    <n v="1"/>
    <n v="1"/>
    <n v="0"/>
    <x v="0"/>
    <n v="0"/>
    <n v="0"/>
    <m/>
    <n v="58.8"/>
    <m/>
    <m/>
    <n v="0"/>
    <m/>
    <n v="1"/>
    <m/>
    <n v="1"/>
    <m/>
    <n v="1"/>
    <m/>
    <n v="0"/>
  </r>
  <r>
    <x v="832"/>
    <n v="45749"/>
    <x v="1"/>
    <x v="0"/>
    <x v="0"/>
    <x v="1"/>
    <x v="0"/>
    <n v="1"/>
    <n v="1"/>
    <n v="1"/>
    <n v="1"/>
    <x v="34"/>
    <n v="0"/>
    <n v="0"/>
    <n v="4"/>
    <n v="42.9"/>
    <m/>
    <m/>
    <n v="0"/>
    <m/>
    <n v="1"/>
    <m/>
    <n v="1"/>
    <m/>
    <n v="1"/>
    <m/>
    <n v="0"/>
  </r>
  <r>
    <x v="833"/>
    <n v="45768"/>
    <x v="1"/>
    <x v="2"/>
    <x v="1"/>
    <x v="1"/>
    <x v="1"/>
    <n v="1"/>
    <n v="1"/>
    <n v="1"/>
    <n v="0"/>
    <x v="0"/>
    <n v="1"/>
    <n v="0"/>
    <m/>
    <n v="60.2"/>
    <m/>
    <m/>
    <n v="1"/>
    <m/>
    <n v="1"/>
    <m/>
    <n v="1"/>
    <m/>
    <n v="1"/>
    <m/>
    <n v="1"/>
  </r>
  <r>
    <x v="834"/>
    <n v="45782"/>
    <x v="1"/>
    <x v="2"/>
    <x v="1"/>
    <x v="2"/>
    <x v="0"/>
    <n v="1"/>
    <n v="0"/>
    <n v="0"/>
    <n v="0"/>
    <x v="0"/>
    <n v="0"/>
    <n v="0"/>
    <m/>
    <n v="42.7"/>
    <m/>
    <m/>
    <n v="0"/>
    <m/>
    <n v="1"/>
    <m/>
    <n v="0"/>
    <m/>
    <n v="0"/>
    <m/>
    <n v="0"/>
  </r>
  <r>
    <x v="835"/>
    <n v="45663"/>
    <x v="1"/>
    <x v="0"/>
    <x v="0"/>
    <x v="4"/>
    <x v="1"/>
    <n v="1"/>
    <n v="1"/>
    <n v="1"/>
    <n v="1"/>
    <x v="35"/>
    <n v="0"/>
    <n v="0"/>
    <n v="7"/>
    <n v="60.8"/>
    <m/>
    <m/>
    <n v="0"/>
    <m/>
    <n v="1"/>
    <m/>
    <n v="1"/>
    <m/>
    <n v="1"/>
    <m/>
    <n v="0"/>
  </r>
  <r>
    <x v="836"/>
    <n v="45771"/>
    <x v="1"/>
    <x v="3"/>
    <x v="1"/>
    <x v="3"/>
    <x v="1"/>
    <n v="1"/>
    <n v="1"/>
    <n v="1"/>
    <n v="1"/>
    <x v="36"/>
    <n v="0"/>
    <n v="0"/>
    <n v="9"/>
    <n v="79.3"/>
    <m/>
    <m/>
    <n v="1"/>
    <m/>
    <n v="1"/>
    <m/>
    <n v="1"/>
    <m/>
    <n v="1"/>
    <m/>
    <n v="0"/>
  </r>
  <r>
    <x v="837"/>
    <n v="45768"/>
    <x v="1"/>
    <x v="3"/>
    <x v="1"/>
    <x v="1"/>
    <x v="0"/>
    <n v="1"/>
    <n v="0"/>
    <n v="0"/>
    <n v="0"/>
    <x v="0"/>
    <n v="1"/>
    <n v="0"/>
    <m/>
    <n v="88.6"/>
    <m/>
    <m/>
    <n v="1"/>
    <m/>
    <n v="1"/>
    <m/>
    <n v="0"/>
    <m/>
    <n v="0"/>
    <m/>
    <n v="1"/>
  </r>
  <r>
    <x v="838"/>
    <n v="45697"/>
    <x v="1"/>
    <x v="1"/>
    <x v="1"/>
    <x v="1"/>
    <x v="0"/>
    <n v="1"/>
    <n v="1"/>
    <n v="1"/>
    <n v="0"/>
    <x v="0"/>
    <n v="0"/>
    <n v="0"/>
    <m/>
    <n v="63.1"/>
    <m/>
    <m/>
    <n v="0"/>
    <m/>
    <n v="1"/>
    <m/>
    <n v="1"/>
    <m/>
    <n v="1"/>
    <m/>
    <n v="0"/>
  </r>
  <r>
    <x v="839"/>
    <n v="45666"/>
    <x v="1"/>
    <x v="2"/>
    <x v="1"/>
    <x v="1"/>
    <x v="2"/>
    <n v="1"/>
    <n v="0"/>
    <n v="0"/>
    <n v="0"/>
    <x v="0"/>
    <n v="0"/>
    <n v="0"/>
    <m/>
    <n v="39.700000000000003"/>
    <m/>
    <m/>
    <n v="0"/>
    <m/>
    <n v="1"/>
    <m/>
    <n v="0"/>
    <m/>
    <n v="0"/>
    <m/>
    <n v="0"/>
  </r>
  <r>
    <x v="840"/>
    <n v="45704"/>
    <x v="1"/>
    <x v="0"/>
    <x v="1"/>
    <x v="2"/>
    <x v="0"/>
    <n v="0"/>
    <n v="0"/>
    <n v="0"/>
    <n v="0"/>
    <x v="0"/>
    <n v="0"/>
    <n v="0"/>
    <m/>
    <n v="67.2"/>
    <m/>
    <m/>
    <n v="0"/>
    <m/>
    <n v="0"/>
    <m/>
    <n v="0"/>
    <m/>
    <n v="0"/>
    <m/>
    <n v="0"/>
  </r>
  <r>
    <x v="841"/>
    <n v="45709"/>
    <x v="1"/>
    <x v="3"/>
    <x v="1"/>
    <x v="1"/>
    <x v="1"/>
    <n v="1"/>
    <n v="1"/>
    <n v="1"/>
    <n v="0"/>
    <x v="0"/>
    <n v="0"/>
    <n v="0"/>
    <m/>
    <n v="62.3"/>
    <m/>
    <m/>
    <n v="0"/>
    <m/>
    <n v="1"/>
    <m/>
    <n v="1"/>
    <m/>
    <n v="1"/>
    <m/>
    <n v="0"/>
  </r>
  <r>
    <x v="842"/>
    <n v="45696"/>
    <x v="1"/>
    <x v="3"/>
    <x v="1"/>
    <x v="1"/>
    <x v="2"/>
    <n v="1"/>
    <n v="0"/>
    <n v="0"/>
    <n v="0"/>
    <x v="0"/>
    <n v="0"/>
    <n v="0"/>
    <m/>
    <m/>
    <m/>
    <m/>
    <n v="0"/>
    <m/>
    <n v="1"/>
    <m/>
    <n v="0"/>
    <m/>
    <n v="0"/>
    <m/>
    <n v="0"/>
  </r>
  <r>
    <x v="843"/>
    <n v="45679"/>
    <x v="1"/>
    <x v="3"/>
    <x v="1"/>
    <x v="2"/>
    <x v="2"/>
    <n v="0"/>
    <n v="0"/>
    <n v="0"/>
    <n v="0"/>
    <x v="0"/>
    <n v="0"/>
    <n v="0"/>
    <m/>
    <n v="60.7"/>
    <m/>
    <m/>
    <n v="0"/>
    <m/>
    <n v="0"/>
    <m/>
    <n v="0"/>
    <m/>
    <n v="0"/>
    <m/>
    <n v="0"/>
  </r>
  <r>
    <x v="844"/>
    <n v="45748"/>
    <x v="1"/>
    <x v="1"/>
    <x v="1"/>
    <x v="1"/>
    <x v="0"/>
    <n v="1"/>
    <n v="0"/>
    <n v="0"/>
    <n v="0"/>
    <x v="0"/>
    <n v="0"/>
    <n v="0"/>
    <m/>
    <n v="61.5"/>
    <m/>
    <m/>
    <n v="0"/>
    <m/>
    <n v="1"/>
    <m/>
    <n v="0"/>
    <m/>
    <n v="0"/>
    <m/>
    <n v="0"/>
  </r>
  <r>
    <x v="845"/>
    <n v="45678"/>
    <x v="1"/>
    <x v="0"/>
    <x v="1"/>
    <x v="2"/>
    <x v="0"/>
    <n v="1"/>
    <n v="0"/>
    <n v="0"/>
    <n v="0"/>
    <x v="0"/>
    <n v="0"/>
    <n v="0"/>
    <m/>
    <n v="75"/>
    <m/>
    <m/>
    <n v="0"/>
    <m/>
    <n v="1"/>
    <m/>
    <n v="0"/>
    <m/>
    <n v="0"/>
    <m/>
    <n v="0"/>
  </r>
  <r>
    <x v="846"/>
    <n v="45659"/>
    <x v="1"/>
    <x v="2"/>
    <x v="0"/>
    <x v="1"/>
    <x v="1"/>
    <n v="1"/>
    <n v="1"/>
    <n v="0"/>
    <n v="0"/>
    <x v="0"/>
    <n v="0"/>
    <n v="0"/>
    <m/>
    <n v="51.9"/>
    <m/>
    <m/>
    <n v="0"/>
    <m/>
    <n v="1"/>
    <m/>
    <n v="1"/>
    <m/>
    <n v="0"/>
    <m/>
    <n v="0"/>
  </r>
  <r>
    <x v="847"/>
    <n v="45789"/>
    <x v="1"/>
    <x v="3"/>
    <x v="0"/>
    <x v="2"/>
    <x v="1"/>
    <n v="0"/>
    <n v="0"/>
    <n v="0"/>
    <n v="0"/>
    <x v="0"/>
    <n v="0"/>
    <n v="0"/>
    <m/>
    <n v="34.5"/>
    <m/>
    <m/>
    <n v="0"/>
    <m/>
    <n v="0"/>
    <m/>
    <n v="0"/>
    <m/>
    <n v="0"/>
    <m/>
    <n v="0"/>
  </r>
  <r>
    <x v="848"/>
    <n v="45721"/>
    <x v="1"/>
    <x v="3"/>
    <x v="1"/>
    <x v="4"/>
    <x v="0"/>
    <n v="0"/>
    <n v="0"/>
    <n v="0"/>
    <n v="0"/>
    <x v="0"/>
    <n v="0"/>
    <n v="0"/>
    <m/>
    <n v="54.5"/>
    <m/>
    <m/>
    <n v="0"/>
    <m/>
    <n v="0"/>
    <m/>
    <n v="0"/>
    <m/>
    <n v="0"/>
    <m/>
    <n v="0"/>
  </r>
  <r>
    <x v="849"/>
    <n v="45681"/>
    <x v="1"/>
    <x v="2"/>
    <x v="1"/>
    <x v="1"/>
    <x v="1"/>
    <n v="0"/>
    <n v="0"/>
    <n v="0"/>
    <n v="0"/>
    <x v="0"/>
    <n v="0"/>
    <n v="0"/>
    <m/>
    <n v="46"/>
    <m/>
    <m/>
    <n v="0"/>
    <m/>
    <n v="0"/>
    <m/>
    <n v="0"/>
    <m/>
    <n v="0"/>
    <m/>
    <n v="0"/>
  </r>
  <r>
    <x v="850"/>
    <n v="45688"/>
    <x v="1"/>
    <x v="2"/>
    <x v="0"/>
    <x v="0"/>
    <x v="1"/>
    <n v="1"/>
    <n v="1"/>
    <n v="1"/>
    <n v="0"/>
    <x v="0"/>
    <n v="0"/>
    <n v="0"/>
    <m/>
    <n v="88.4"/>
    <m/>
    <m/>
    <n v="0"/>
    <m/>
    <n v="1"/>
    <m/>
    <n v="1"/>
    <m/>
    <n v="1"/>
    <m/>
    <n v="0"/>
  </r>
  <r>
    <x v="851"/>
    <n v="45681"/>
    <x v="1"/>
    <x v="0"/>
    <x v="2"/>
    <x v="1"/>
    <x v="0"/>
    <n v="1"/>
    <n v="0"/>
    <n v="0"/>
    <n v="0"/>
    <x v="0"/>
    <n v="0"/>
    <n v="0"/>
    <m/>
    <n v="69.5"/>
    <m/>
    <m/>
    <n v="0"/>
    <m/>
    <n v="1"/>
    <m/>
    <n v="0"/>
    <m/>
    <n v="0"/>
    <m/>
    <n v="0"/>
  </r>
  <r>
    <x v="852"/>
    <n v="45702"/>
    <x v="1"/>
    <x v="0"/>
    <x v="0"/>
    <x v="3"/>
    <x v="0"/>
    <n v="1"/>
    <n v="1"/>
    <n v="1"/>
    <n v="0"/>
    <x v="0"/>
    <n v="0"/>
    <n v="0"/>
    <m/>
    <n v="74.2"/>
    <m/>
    <m/>
    <n v="0"/>
    <m/>
    <n v="1"/>
    <m/>
    <n v="1"/>
    <m/>
    <n v="1"/>
    <m/>
    <n v="0"/>
  </r>
  <r>
    <x v="853"/>
    <n v="45804"/>
    <x v="1"/>
    <x v="0"/>
    <x v="1"/>
    <x v="1"/>
    <x v="1"/>
    <n v="1"/>
    <n v="1"/>
    <n v="1"/>
    <n v="0"/>
    <x v="0"/>
    <n v="0"/>
    <n v="0"/>
    <m/>
    <n v="72.099999999999994"/>
    <m/>
    <m/>
    <n v="0"/>
    <m/>
    <n v="1"/>
    <m/>
    <n v="1"/>
    <m/>
    <n v="1"/>
    <m/>
    <n v="0"/>
  </r>
  <r>
    <x v="854"/>
    <n v="45716"/>
    <x v="1"/>
    <x v="0"/>
    <x v="1"/>
    <x v="2"/>
    <x v="1"/>
    <n v="1"/>
    <n v="1"/>
    <n v="1"/>
    <n v="1"/>
    <x v="37"/>
    <n v="0"/>
    <n v="0"/>
    <n v="5"/>
    <n v="85.1"/>
    <m/>
    <m/>
    <n v="0"/>
    <m/>
    <n v="1"/>
    <m/>
    <n v="1"/>
    <m/>
    <n v="1"/>
    <m/>
    <n v="0"/>
  </r>
  <r>
    <x v="855"/>
    <n v="45804"/>
    <x v="1"/>
    <x v="0"/>
    <x v="1"/>
    <x v="1"/>
    <x v="0"/>
    <n v="1"/>
    <n v="1"/>
    <n v="1"/>
    <n v="0"/>
    <x v="0"/>
    <n v="0"/>
    <n v="0"/>
    <m/>
    <n v="49.5"/>
    <m/>
    <m/>
    <n v="1"/>
    <m/>
    <n v="1"/>
    <m/>
    <n v="1"/>
    <m/>
    <n v="1"/>
    <m/>
    <n v="0"/>
  </r>
  <r>
    <x v="856"/>
    <n v="45794"/>
    <x v="1"/>
    <x v="3"/>
    <x v="1"/>
    <x v="2"/>
    <x v="2"/>
    <n v="0"/>
    <n v="0"/>
    <n v="0"/>
    <n v="0"/>
    <x v="0"/>
    <n v="1"/>
    <n v="0"/>
    <m/>
    <n v="79"/>
    <m/>
    <m/>
    <n v="0"/>
    <m/>
    <n v="0"/>
    <m/>
    <n v="0"/>
    <m/>
    <n v="0"/>
    <m/>
    <n v="1"/>
  </r>
  <r>
    <x v="857"/>
    <n v="45667"/>
    <x v="1"/>
    <x v="1"/>
    <x v="0"/>
    <x v="4"/>
    <x v="1"/>
    <n v="0"/>
    <n v="0"/>
    <n v="0"/>
    <n v="0"/>
    <x v="0"/>
    <n v="0"/>
    <n v="0"/>
    <m/>
    <n v="71.8"/>
    <m/>
    <m/>
    <n v="0"/>
    <m/>
    <n v="0"/>
    <m/>
    <n v="0"/>
    <m/>
    <n v="0"/>
    <m/>
    <n v="0"/>
  </r>
  <r>
    <x v="858"/>
    <n v="45769"/>
    <x v="1"/>
    <x v="0"/>
    <x v="1"/>
    <x v="0"/>
    <x v="0"/>
    <n v="1"/>
    <n v="1"/>
    <n v="1"/>
    <n v="1"/>
    <x v="38"/>
    <n v="0"/>
    <n v="0"/>
    <n v="6"/>
    <n v="60.4"/>
    <m/>
    <m/>
    <n v="0"/>
    <m/>
    <n v="1"/>
    <m/>
    <n v="1"/>
    <m/>
    <n v="1"/>
    <m/>
    <n v="0"/>
  </r>
  <r>
    <x v="859"/>
    <n v="45718"/>
    <x v="1"/>
    <x v="3"/>
    <x v="0"/>
    <x v="1"/>
    <x v="0"/>
    <n v="1"/>
    <n v="0"/>
    <n v="0"/>
    <n v="0"/>
    <x v="0"/>
    <n v="2"/>
    <n v="0"/>
    <m/>
    <n v="38.299999999999997"/>
    <m/>
    <m/>
    <n v="1"/>
    <m/>
    <n v="1"/>
    <m/>
    <n v="0"/>
    <m/>
    <n v="0"/>
    <m/>
    <n v="2"/>
  </r>
  <r>
    <x v="860"/>
    <n v="45739"/>
    <x v="1"/>
    <x v="2"/>
    <x v="1"/>
    <x v="2"/>
    <x v="1"/>
    <n v="1"/>
    <n v="1"/>
    <n v="1"/>
    <n v="0"/>
    <x v="0"/>
    <n v="0"/>
    <n v="0"/>
    <m/>
    <n v="79.599999999999994"/>
    <m/>
    <m/>
    <n v="0"/>
    <m/>
    <n v="1"/>
    <m/>
    <n v="1"/>
    <m/>
    <n v="1"/>
    <m/>
    <n v="0"/>
  </r>
  <r>
    <x v="861"/>
    <n v="45700"/>
    <x v="1"/>
    <x v="2"/>
    <x v="1"/>
    <x v="0"/>
    <x v="1"/>
    <n v="1"/>
    <n v="1"/>
    <n v="1"/>
    <n v="0"/>
    <x v="0"/>
    <n v="0"/>
    <n v="0"/>
    <m/>
    <n v="71.900000000000006"/>
    <m/>
    <m/>
    <n v="0"/>
    <m/>
    <n v="1"/>
    <m/>
    <n v="1"/>
    <m/>
    <n v="1"/>
    <m/>
    <n v="0"/>
  </r>
  <r>
    <x v="862"/>
    <n v="45780"/>
    <x v="1"/>
    <x v="3"/>
    <x v="1"/>
    <x v="3"/>
    <x v="0"/>
    <n v="1"/>
    <n v="0"/>
    <n v="0"/>
    <n v="0"/>
    <x v="0"/>
    <n v="0"/>
    <n v="0"/>
    <m/>
    <n v="54.6"/>
    <m/>
    <m/>
    <n v="0"/>
    <m/>
    <n v="1"/>
    <m/>
    <n v="0"/>
    <m/>
    <n v="0"/>
    <m/>
    <n v="0"/>
  </r>
  <r>
    <x v="863"/>
    <n v="45744"/>
    <x v="1"/>
    <x v="0"/>
    <x v="0"/>
    <x v="4"/>
    <x v="1"/>
    <n v="1"/>
    <n v="0"/>
    <n v="0"/>
    <n v="0"/>
    <x v="0"/>
    <n v="3"/>
    <n v="0"/>
    <m/>
    <n v="49.3"/>
    <m/>
    <m/>
    <n v="0"/>
    <m/>
    <n v="1"/>
    <m/>
    <n v="0"/>
    <m/>
    <n v="0"/>
    <m/>
    <n v="3"/>
  </r>
  <r>
    <x v="864"/>
    <n v="45728"/>
    <x v="1"/>
    <x v="0"/>
    <x v="1"/>
    <x v="4"/>
    <x v="0"/>
    <n v="0"/>
    <n v="0"/>
    <n v="0"/>
    <n v="0"/>
    <x v="0"/>
    <n v="1"/>
    <n v="0"/>
    <m/>
    <n v="66.900000000000006"/>
    <m/>
    <m/>
    <n v="0"/>
    <m/>
    <n v="0"/>
    <m/>
    <n v="0"/>
    <m/>
    <n v="0"/>
    <m/>
    <n v="1"/>
  </r>
  <r>
    <x v="865"/>
    <n v="45774"/>
    <x v="1"/>
    <x v="2"/>
    <x v="1"/>
    <x v="2"/>
    <x v="1"/>
    <n v="1"/>
    <n v="0"/>
    <n v="0"/>
    <n v="0"/>
    <x v="0"/>
    <n v="1"/>
    <n v="0"/>
    <m/>
    <n v="77.8"/>
    <m/>
    <m/>
    <n v="0"/>
    <m/>
    <n v="1"/>
    <m/>
    <n v="0"/>
    <m/>
    <n v="0"/>
    <m/>
    <n v="1"/>
  </r>
  <r>
    <x v="866"/>
    <n v="45749"/>
    <x v="1"/>
    <x v="3"/>
    <x v="1"/>
    <x v="3"/>
    <x v="0"/>
    <n v="1"/>
    <n v="0"/>
    <n v="0"/>
    <n v="0"/>
    <x v="0"/>
    <n v="0"/>
    <n v="0"/>
    <m/>
    <n v="63"/>
    <m/>
    <m/>
    <n v="0"/>
    <m/>
    <n v="1"/>
    <m/>
    <n v="0"/>
    <m/>
    <n v="0"/>
    <m/>
    <n v="0"/>
  </r>
  <r>
    <x v="867"/>
    <n v="45768"/>
    <x v="1"/>
    <x v="0"/>
    <x v="1"/>
    <x v="4"/>
    <x v="1"/>
    <n v="0"/>
    <n v="0"/>
    <n v="0"/>
    <n v="0"/>
    <x v="0"/>
    <n v="0"/>
    <n v="0"/>
    <m/>
    <n v="79.8"/>
    <m/>
    <m/>
    <n v="0"/>
    <m/>
    <n v="0"/>
    <m/>
    <n v="0"/>
    <m/>
    <n v="0"/>
    <m/>
    <n v="0"/>
  </r>
  <r>
    <x v="868"/>
    <n v="45683"/>
    <x v="1"/>
    <x v="1"/>
    <x v="0"/>
    <x v="1"/>
    <x v="0"/>
    <n v="0"/>
    <n v="0"/>
    <n v="0"/>
    <n v="0"/>
    <x v="0"/>
    <n v="0"/>
    <n v="0"/>
    <m/>
    <n v="69.900000000000006"/>
    <m/>
    <m/>
    <n v="0"/>
    <m/>
    <n v="0"/>
    <m/>
    <n v="0"/>
    <m/>
    <n v="0"/>
    <m/>
    <n v="0"/>
  </r>
  <r>
    <x v="869"/>
    <n v="45663"/>
    <x v="1"/>
    <x v="1"/>
    <x v="1"/>
    <x v="1"/>
    <x v="1"/>
    <n v="0"/>
    <n v="0"/>
    <n v="0"/>
    <n v="0"/>
    <x v="0"/>
    <n v="1"/>
    <n v="0"/>
    <m/>
    <n v="66.400000000000006"/>
    <m/>
    <m/>
    <n v="0"/>
    <m/>
    <n v="0"/>
    <m/>
    <n v="0"/>
    <m/>
    <n v="0"/>
    <m/>
    <n v="1"/>
  </r>
  <r>
    <x v="870"/>
    <n v="45695"/>
    <x v="1"/>
    <x v="2"/>
    <x v="1"/>
    <x v="1"/>
    <x v="1"/>
    <n v="1"/>
    <n v="0"/>
    <n v="0"/>
    <n v="0"/>
    <x v="0"/>
    <n v="0"/>
    <n v="0"/>
    <m/>
    <n v="27.6"/>
    <m/>
    <m/>
    <n v="0"/>
    <m/>
    <n v="1"/>
    <m/>
    <n v="0"/>
    <m/>
    <n v="0"/>
    <m/>
    <n v="0"/>
  </r>
  <r>
    <x v="871"/>
    <n v="45784"/>
    <x v="1"/>
    <x v="1"/>
    <x v="1"/>
    <x v="1"/>
    <x v="2"/>
    <n v="1"/>
    <n v="0"/>
    <n v="0"/>
    <n v="0"/>
    <x v="0"/>
    <n v="1"/>
    <n v="0"/>
    <m/>
    <n v="56.5"/>
    <m/>
    <m/>
    <n v="0"/>
    <m/>
    <n v="1"/>
    <m/>
    <n v="0"/>
    <m/>
    <n v="0"/>
    <m/>
    <n v="1"/>
  </r>
  <r>
    <x v="872"/>
    <n v="45769"/>
    <x v="1"/>
    <x v="1"/>
    <x v="3"/>
    <x v="4"/>
    <x v="1"/>
    <n v="1"/>
    <n v="0"/>
    <n v="0"/>
    <n v="0"/>
    <x v="0"/>
    <n v="0"/>
    <n v="0"/>
    <m/>
    <n v="67.8"/>
    <m/>
    <m/>
    <n v="0"/>
    <m/>
    <n v="1"/>
    <m/>
    <n v="0"/>
    <m/>
    <n v="0"/>
    <m/>
    <n v="0"/>
  </r>
  <r>
    <x v="873"/>
    <n v="45781"/>
    <x v="1"/>
    <x v="1"/>
    <x v="0"/>
    <x v="4"/>
    <x v="1"/>
    <n v="1"/>
    <n v="0"/>
    <n v="0"/>
    <n v="0"/>
    <x v="0"/>
    <n v="0"/>
    <n v="0"/>
    <m/>
    <n v="80"/>
    <m/>
    <m/>
    <n v="0"/>
    <m/>
    <n v="1"/>
    <m/>
    <n v="0"/>
    <m/>
    <n v="0"/>
    <m/>
    <n v="0"/>
  </r>
  <r>
    <x v="874"/>
    <n v="45793"/>
    <x v="1"/>
    <x v="3"/>
    <x v="1"/>
    <x v="4"/>
    <x v="0"/>
    <n v="1"/>
    <n v="1"/>
    <n v="1"/>
    <n v="0"/>
    <x v="0"/>
    <n v="1"/>
    <n v="0"/>
    <m/>
    <n v="80.900000000000006"/>
    <m/>
    <m/>
    <n v="0"/>
    <m/>
    <n v="1"/>
    <m/>
    <n v="1"/>
    <m/>
    <n v="1"/>
    <m/>
    <n v="1"/>
  </r>
  <r>
    <x v="875"/>
    <n v="45699"/>
    <x v="1"/>
    <x v="1"/>
    <x v="1"/>
    <x v="2"/>
    <x v="1"/>
    <n v="0"/>
    <n v="0"/>
    <n v="0"/>
    <n v="0"/>
    <x v="0"/>
    <n v="0"/>
    <n v="0"/>
    <m/>
    <n v="34.5"/>
    <m/>
    <m/>
    <n v="0"/>
    <m/>
    <n v="0"/>
    <m/>
    <n v="0"/>
    <m/>
    <n v="0"/>
    <m/>
    <n v="0"/>
  </r>
  <r>
    <x v="876"/>
    <n v="45786"/>
    <x v="1"/>
    <x v="2"/>
    <x v="0"/>
    <x v="1"/>
    <x v="2"/>
    <n v="1"/>
    <n v="0"/>
    <n v="0"/>
    <n v="0"/>
    <x v="0"/>
    <n v="0"/>
    <n v="0"/>
    <m/>
    <n v="73.5"/>
    <m/>
    <m/>
    <n v="0"/>
    <m/>
    <n v="1"/>
    <m/>
    <n v="0"/>
    <m/>
    <n v="0"/>
    <m/>
    <n v="0"/>
  </r>
  <r>
    <x v="877"/>
    <n v="45697"/>
    <x v="1"/>
    <x v="3"/>
    <x v="0"/>
    <x v="2"/>
    <x v="1"/>
    <n v="1"/>
    <n v="1"/>
    <n v="0"/>
    <n v="0"/>
    <x v="0"/>
    <n v="0"/>
    <n v="0"/>
    <m/>
    <n v="70"/>
    <m/>
    <m/>
    <n v="0"/>
    <m/>
    <n v="1"/>
    <m/>
    <n v="1"/>
    <m/>
    <n v="0"/>
    <m/>
    <n v="0"/>
  </r>
  <r>
    <x v="878"/>
    <n v="45799"/>
    <x v="1"/>
    <x v="1"/>
    <x v="1"/>
    <x v="4"/>
    <x v="0"/>
    <n v="0"/>
    <n v="0"/>
    <n v="0"/>
    <n v="0"/>
    <x v="0"/>
    <n v="0"/>
    <n v="0"/>
    <m/>
    <n v="86.9"/>
    <m/>
    <m/>
    <n v="0"/>
    <m/>
    <n v="0"/>
    <m/>
    <n v="0"/>
    <m/>
    <n v="0"/>
    <m/>
    <n v="0"/>
  </r>
  <r>
    <x v="879"/>
    <n v="45801"/>
    <x v="1"/>
    <x v="2"/>
    <x v="1"/>
    <x v="4"/>
    <x v="0"/>
    <n v="0"/>
    <n v="0"/>
    <n v="0"/>
    <n v="0"/>
    <x v="0"/>
    <n v="0"/>
    <n v="0"/>
    <m/>
    <n v="66.900000000000006"/>
    <m/>
    <m/>
    <n v="0"/>
    <m/>
    <n v="0"/>
    <m/>
    <n v="0"/>
    <m/>
    <n v="0"/>
    <m/>
    <n v="0"/>
  </r>
  <r>
    <x v="880"/>
    <n v="45774"/>
    <x v="1"/>
    <x v="3"/>
    <x v="0"/>
    <x v="4"/>
    <x v="0"/>
    <n v="1"/>
    <n v="1"/>
    <n v="1"/>
    <n v="0"/>
    <x v="0"/>
    <n v="0"/>
    <n v="0"/>
    <m/>
    <n v="58.3"/>
    <m/>
    <m/>
    <n v="0"/>
    <m/>
    <n v="1"/>
    <m/>
    <n v="1"/>
    <m/>
    <n v="1"/>
    <m/>
    <n v="0"/>
  </r>
  <r>
    <x v="881"/>
    <n v="45735"/>
    <x v="1"/>
    <x v="2"/>
    <x v="1"/>
    <x v="2"/>
    <x v="1"/>
    <n v="1"/>
    <n v="0"/>
    <n v="0"/>
    <n v="0"/>
    <x v="0"/>
    <n v="0"/>
    <n v="0"/>
    <m/>
    <n v="45"/>
    <m/>
    <m/>
    <n v="0"/>
    <m/>
    <n v="1"/>
    <m/>
    <n v="0"/>
    <m/>
    <n v="0"/>
    <m/>
    <n v="0"/>
  </r>
  <r>
    <x v="882"/>
    <n v="45797"/>
    <x v="1"/>
    <x v="3"/>
    <x v="1"/>
    <x v="1"/>
    <x v="2"/>
    <n v="0"/>
    <n v="0"/>
    <n v="0"/>
    <n v="0"/>
    <x v="0"/>
    <n v="0"/>
    <n v="0"/>
    <m/>
    <n v="60.8"/>
    <m/>
    <m/>
    <n v="0"/>
    <m/>
    <n v="0"/>
    <m/>
    <n v="0"/>
    <m/>
    <n v="0"/>
    <m/>
    <n v="0"/>
  </r>
  <r>
    <x v="883"/>
    <n v="45787"/>
    <x v="1"/>
    <x v="0"/>
    <x v="1"/>
    <x v="0"/>
    <x v="2"/>
    <n v="1"/>
    <n v="0"/>
    <n v="0"/>
    <n v="0"/>
    <x v="0"/>
    <n v="4"/>
    <n v="0"/>
    <m/>
    <n v="53.7"/>
    <m/>
    <m/>
    <n v="0"/>
    <m/>
    <n v="1"/>
    <m/>
    <n v="0"/>
    <m/>
    <n v="0"/>
    <m/>
    <n v="4"/>
  </r>
  <r>
    <x v="884"/>
    <n v="45745"/>
    <x v="1"/>
    <x v="2"/>
    <x v="1"/>
    <x v="4"/>
    <x v="1"/>
    <n v="1"/>
    <n v="1"/>
    <n v="1"/>
    <n v="0"/>
    <x v="0"/>
    <n v="0"/>
    <n v="0"/>
    <m/>
    <n v="48.8"/>
    <m/>
    <m/>
    <n v="0"/>
    <m/>
    <n v="1"/>
    <m/>
    <n v="1"/>
    <m/>
    <n v="1"/>
    <m/>
    <n v="0"/>
  </r>
  <r>
    <x v="885"/>
    <n v="45750"/>
    <x v="1"/>
    <x v="1"/>
    <x v="0"/>
    <x v="3"/>
    <x v="0"/>
    <n v="0"/>
    <n v="0"/>
    <n v="0"/>
    <n v="0"/>
    <x v="0"/>
    <n v="0"/>
    <n v="0"/>
    <m/>
    <n v="52.9"/>
    <m/>
    <m/>
    <n v="0"/>
    <m/>
    <n v="0"/>
    <m/>
    <n v="0"/>
    <m/>
    <n v="0"/>
    <m/>
    <n v="0"/>
  </r>
  <r>
    <x v="886"/>
    <n v="45807"/>
    <x v="1"/>
    <x v="3"/>
    <x v="1"/>
    <x v="0"/>
    <x v="1"/>
    <n v="1"/>
    <n v="0"/>
    <n v="0"/>
    <n v="0"/>
    <x v="0"/>
    <n v="0"/>
    <n v="0"/>
    <m/>
    <n v="42.4"/>
    <m/>
    <m/>
    <n v="0"/>
    <m/>
    <n v="1"/>
    <m/>
    <n v="0"/>
    <m/>
    <n v="0"/>
    <m/>
    <n v="0"/>
  </r>
  <r>
    <x v="887"/>
    <n v="45753"/>
    <x v="1"/>
    <x v="2"/>
    <x v="0"/>
    <x v="0"/>
    <x v="1"/>
    <n v="1"/>
    <n v="0"/>
    <n v="0"/>
    <n v="0"/>
    <x v="0"/>
    <n v="0"/>
    <n v="0"/>
    <m/>
    <n v="58.7"/>
    <m/>
    <m/>
    <n v="0"/>
    <m/>
    <n v="1"/>
    <m/>
    <n v="0"/>
    <m/>
    <n v="0"/>
    <m/>
    <n v="0"/>
  </r>
  <r>
    <x v="888"/>
    <n v="45730"/>
    <x v="1"/>
    <x v="0"/>
    <x v="1"/>
    <x v="3"/>
    <x v="1"/>
    <n v="1"/>
    <n v="1"/>
    <n v="1"/>
    <n v="1"/>
    <x v="39"/>
    <n v="0"/>
    <n v="0"/>
    <n v="1"/>
    <n v="67.8"/>
    <m/>
    <m/>
    <n v="0"/>
    <m/>
    <n v="1"/>
    <m/>
    <n v="1"/>
    <m/>
    <n v="1"/>
    <m/>
    <n v="0"/>
  </r>
  <r>
    <x v="889"/>
    <n v="45712"/>
    <x v="1"/>
    <x v="3"/>
    <x v="0"/>
    <x v="2"/>
    <x v="0"/>
    <n v="1"/>
    <n v="0"/>
    <n v="0"/>
    <n v="0"/>
    <x v="0"/>
    <n v="0"/>
    <n v="0"/>
    <m/>
    <n v="62.6"/>
    <m/>
    <m/>
    <n v="1"/>
    <m/>
    <n v="1"/>
    <m/>
    <n v="0"/>
    <m/>
    <n v="0"/>
    <m/>
    <n v="0"/>
  </r>
  <r>
    <x v="890"/>
    <n v="45720"/>
    <x v="1"/>
    <x v="1"/>
    <x v="1"/>
    <x v="0"/>
    <x v="0"/>
    <n v="1"/>
    <n v="0"/>
    <n v="0"/>
    <n v="0"/>
    <x v="0"/>
    <n v="0"/>
    <n v="0"/>
    <m/>
    <n v="82.4"/>
    <m/>
    <m/>
    <n v="0"/>
    <m/>
    <n v="1"/>
    <m/>
    <n v="0"/>
    <m/>
    <n v="0"/>
    <m/>
    <n v="0"/>
  </r>
  <r>
    <x v="891"/>
    <n v="45749"/>
    <x v="1"/>
    <x v="0"/>
    <x v="1"/>
    <x v="1"/>
    <x v="1"/>
    <n v="1"/>
    <n v="1"/>
    <n v="1"/>
    <n v="0"/>
    <x v="0"/>
    <n v="0"/>
    <n v="0"/>
    <m/>
    <n v="50.4"/>
    <m/>
    <m/>
    <n v="0"/>
    <m/>
    <n v="1"/>
    <m/>
    <n v="1"/>
    <m/>
    <n v="1"/>
    <m/>
    <n v="0"/>
  </r>
  <r>
    <x v="892"/>
    <n v="45788"/>
    <x v="1"/>
    <x v="0"/>
    <x v="1"/>
    <x v="0"/>
    <x v="2"/>
    <n v="0"/>
    <n v="0"/>
    <n v="0"/>
    <n v="0"/>
    <x v="0"/>
    <n v="0"/>
    <n v="0"/>
    <m/>
    <n v="68.400000000000006"/>
    <m/>
    <m/>
    <n v="0"/>
    <m/>
    <n v="0"/>
    <m/>
    <n v="0"/>
    <m/>
    <n v="0"/>
    <m/>
    <n v="0"/>
  </r>
  <r>
    <x v="893"/>
    <n v="45787"/>
    <x v="1"/>
    <x v="1"/>
    <x v="2"/>
    <x v="2"/>
    <x v="0"/>
    <n v="1"/>
    <n v="1"/>
    <n v="1"/>
    <n v="0"/>
    <x v="0"/>
    <n v="0"/>
    <n v="0"/>
    <m/>
    <n v="58.8"/>
    <m/>
    <m/>
    <n v="0"/>
    <m/>
    <n v="1"/>
    <m/>
    <n v="1"/>
    <m/>
    <n v="1"/>
    <m/>
    <n v="0"/>
  </r>
  <r>
    <x v="894"/>
    <n v="45783"/>
    <x v="1"/>
    <x v="1"/>
    <x v="1"/>
    <x v="3"/>
    <x v="1"/>
    <n v="1"/>
    <n v="1"/>
    <n v="0"/>
    <n v="0"/>
    <x v="0"/>
    <n v="2"/>
    <n v="0"/>
    <m/>
    <n v="28.3"/>
    <m/>
    <m/>
    <n v="0"/>
    <m/>
    <n v="1"/>
    <m/>
    <n v="1"/>
    <m/>
    <n v="0"/>
    <m/>
    <n v="2"/>
  </r>
  <r>
    <x v="895"/>
    <n v="45699"/>
    <x v="1"/>
    <x v="1"/>
    <x v="0"/>
    <x v="2"/>
    <x v="1"/>
    <n v="1"/>
    <n v="1"/>
    <n v="0"/>
    <n v="0"/>
    <x v="0"/>
    <n v="0"/>
    <n v="0"/>
    <m/>
    <n v="44.1"/>
    <m/>
    <m/>
    <n v="0"/>
    <m/>
    <n v="1"/>
    <m/>
    <n v="1"/>
    <m/>
    <n v="0"/>
    <m/>
    <n v="0"/>
  </r>
  <r>
    <x v="896"/>
    <n v="45786"/>
    <x v="1"/>
    <x v="3"/>
    <x v="1"/>
    <x v="2"/>
    <x v="2"/>
    <n v="1"/>
    <n v="1"/>
    <n v="0"/>
    <n v="0"/>
    <x v="0"/>
    <n v="0"/>
    <n v="0"/>
    <m/>
    <n v="66.7"/>
    <m/>
    <m/>
    <n v="0"/>
    <m/>
    <n v="1"/>
    <m/>
    <n v="1"/>
    <m/>
    <n v="0"/>
    <m/>
    <n v="0"/>
  </r>
  <r>
    <x v="897"/>
    <n v="45690"/>
    <x v="1"/>
    <x v="3"/>
    <x v="1"/>
    <x v="5"/>
    <x v="1"/>
    <n v="1"/>
    <n v="0"/>
    <n v="0"/>
    <n v="0"/>
    <x v="0"/>
    <n v="0"/>
    <n v="0"/>
    <m/>
    <n v="100"/>
    <m/>
    <m/>
    <n v="0"/>
    <m/>
    <n v="1"/>
    <m/>
    <n v="0"/>
    <m/>
    <n v="0"/>
    <m/>
    <n v="0"/>
  </r>
  <r>
    <x v="898"/>
    <n v="45750"/>
    <x v="1"/>
    <x v="3"/>
    <x v="1"/>
    <x v="4"/>
    <x v="1"/>
    <n v="1"/>
    <n v="1"/>
    <n v="0"/>
    <n v="0"/>
    <x v="0"/>
    <n v="0"/>
    <n v="0"/>
    <m/>
    <n v="87.5"/>
    <m/>
    <m/>
    <n v="0"/>
    <m/>
    <n v="1"/>
    <m/>
    <n v="1"/>
    <m/>
    <n v="0"/>
    <m/>
    <n v="0"/>
  </r>
  <r>
    <x v="899"/>
    <n v="45703"/>
    <x v="1"/>
    <x v="0"/>
    <x v="0"/>
    <x v="1"/>
    <x v="0"/>
    <n v="1"/>
    <n v="0"/>
    <n v="0"/>
    <n v="0"/>
    <x v="0"/>
    <n v="2"/>
    <n v="0"/>
    <m/>
    <n v="65.400000000000006"/>
    <m/>
    <m/>
    <n v="0"/>
    <m/>
    <n v="1"/>
    <m/>
    <n v="0"/>
    <m/>
    <n v="0"/>
    <m/>
    <n v="2"/>
  </r>
  <r>
    <x v="900"/>
    <n v="45765"/>
    <x v="1"/>
    <x v="3"/>
    <x v="0"/>
    <x v="1"/>
    <x v="1"/>
    <n v="1"/>
    <n v="0"/>
    <n v="0"/>
    <n v="0"/>
    <x v="0"/>
    <n v="0"/>
    <n v="0"/>
    <m/>
    <n v="22.9"/>
    <m/>
    <m/>
    <n v="0"/>
    <m/>
    <n v="1"/>
    <m/>
    <n v="0"/>
    <m/>
    <n v="0"/>
    <m/>
    <n v="0"/>
  </r>
  <r>
    <x v="901"/>
    <n v="45730"/>
    <x v="1"/>
    <x v="1"/>
    <x v="0"/>
    <x v="1"/>
    <x v="2"/>
    <n v="0"/>
    <n v="0"/>
    <n v="0"/>
    <n v="0"/>
    <x v="0"/>
    <n v="0"/>
    <n v="0"/>
    <m/>
    <n v="64.599999999999994"/>
    <m/>
    <m/>
    <n v="0"/>
    <m/>
    <n v="0"/>
    <m/>
    <n v="0"/>
    <m/>
    <n v="0"/>
    <m/>
    <n v="0"/>
  </r>
  <r>
    <x v="902"/>
    <n v="45745"/>
    <x v="1"/>
    <x v="3"/>
    <x v="1"/>
    <x v="3"/>
    <x v="1"/>
    <n v="1"/>
    <n v="0"/>
    <n v="0"/>
    <n v="0"/>
    <x v="0"/>
    <n v="2"/>
    <n v="0"/>
    <m/>
    <n v="54.4"/>
    <m/>
    <m/>
    <n v="0"/>
    <m/>
    <n v="1"/>
    <m/>
    <n v="0"/>
    <m/>
    <n v="0"/>
    <m/>
    <n v="2"/>
  </r>
  <r>
    <x v="903"/>
    <n v="45701"/>
    <x v="1"/>
    <x v="0"/>
    <x v="0"/>
    <x v="1"/>
    <x v="1"/>
    <n v="1"/>
    <n v="1"/>
    <n v="1"/>
    <n v="0"/>
    <x v="0"/>
    <n v="0"/>
    <n v="0"/>
    <m/>
    <n v="56.8"/>
    <m/>
    <m/>
    <n v="0"/>
    <m/>
    <n v="1"/>
    <m/>
    <n v="1"/>
    <m/>
    <n v="1"/>
    <m/>
    <n v="0"/>
  </r>
  <r>
    <x v="904"/>
    <n v="45680"/>
    <x v="1"/>
    <x v="3"/>
    <x v="1"/>
    <x v="2"/>
    <x v="1"/>
    <n v="1"/>
    <n v="1"/>
    <n v="1"/>
    <n v="1"/>
    <x v="40"/>
    <n v="0"/>
    <n v="0"/>
    <n v="2"/>
    <n v="63.6"/>
    <m/>
    <m/>
    <n v="0"/>
    <m/>
    <n v="1"/>
    <m/>
    <n v="1"/>
    <m/>
    <n v="1"/>
    <m/>
    <n v="0"/>
  </r>
  <r>
    <x v="905"/>
    <n v="45712"/>
    <x v="1"/>
    <x v="2"/>
    <x v="1"/>
    <x v="4"/>
    <x v="1"/>
    <n v="1"/>
    <n v="0"/>
    <n v="0"/>
    <n v="0"/>
    <x v="0"/>
    <n v="0"/>
    <n v="0"/>
    <m/>
    <n v="58.2"/>
    <m/>
    <m/>
    <n v="1"/>
    <m/>
    <n v="1"/>
    <m/>
    <n v="0"/>
    <m/>
    <n v="0"/>
    <m/>
    <n v="0"/>
  </r>
  <r>
    <x v="906"/>
    <n v="45716"/>
    <x v="1"/>
    <x v="1"/>
    <x v="1"/>
    <x v="2"/>
    <x v="1"/>
    <n v="1"/>
    <n v="1"/>
    <n v="0"/>
    <n v="0"/>
    <x v="0"/>
    <n v="0"/>
    <n v="0"/>
    <m/>
    <n v="54.6"/>
    <m/>
    <m/>
    <n v="0"/>
    <m/>
    <n v="1"/>
    <m/>
    <n v="1"/>
    <m/>
    <n v="0"/>
    <m/>
    <n v="0"/>
  </r>
  <r>
    <x v="907"/>
    <n v="45664"/>
    <x v="1"/>
    <x v="1"/>
    <x v="2"/>
    <x v="1"/>
    <x v="0"/>
    <n v="1"/>
    <n v="0"/>
    <n v="0"/>
    <n v="0"/>
    <x v="0"/>
    <n v="0"/>
    <n v="0"/>
    <m/>
    <n v="81.900000000000006"/>
    <m/>
    <m/>
    <n v="0"/>
    <m/>
    <n v="1"/>
    <m/>
    <n v="0"/>
    <m/>
    <n v="0"/>
    <m/>
    <n v="0"/>
  </r>
  <r>
    <x v="908"/>
    <n v="45737"/>
    <x v="1"/>
    <x v="1"/>
    <x v="0"/>
    <x v="0"/>
    <x v="1"/>
    <n v="1"/>
    <n v="0"/>
    <n v="0"/>
    <n v="0"/>
    <x v="0"/>
    <n v="3"/>
    <n v="0"/>
    <m/>
    <n v="53.3"/>
    <m/>
    <m/>
    <n v="0"/>
    <m/>
    <n v="1"/>
    <m/>
    <n v="0"/>
    <m/>
    <n v="0"/>
    <m/>
    <n v="3"/>
  </r>
  <r>
    <x v="909"/>
    <n v="45706"/>
    <x v="1"/>
    <x v="0"/>
    <x v="0"/>
    <x v="1"/>
    <x v="0"/>
    <n v="0"/>
    <n v="0"/>
    <n v="0"/>
    <n v="0"/>
    <x v="0"/>
    <n v="0"/>
    <n v="0"/>
    <m/>
    <n v="54.2"/>
    <m/>
    <m/>
    <n v="0"/>
    <m/>
    <n v="0"/>
    <m/>
    <n v="0"/>
    <m/>
    <n v="0"/>
    <m/>
    <n v="0"/>
  </r>
  <r>
    <x v="910"/>
    <n v="45662"/>
    <x v="1"/>
    <x v="0"/>
    <x v="1"/>
    <x v="2"/>
    <x v="1"/>
    <n v="1"/>
    <n v="1"/>
    <n v="0"/>
    <n v="0"/>
    <x v="0"/>
    <n v="0"/>
    <n v="0"/>
    <m/>
    <n v="65.599999999999994"/>
    <m/>
    <m/>
    <n v="0"/>
    <m/>
    <n v="1"/>
    <m/>
    <n v="1"/>
    <m/>
    <n v="0"/>
    <m/>
    <n v="0"/>
  </r>
  <r>
    <x v="911"/>
    <n v="45727"/>
    <x v="1"/>
    <x v="2"/>
    <x v="0"/>
    <x v="1"/>
    <x v="0"/>
    <n v="1"/>
    <n v="0"/>
    <n v="0"/>
    <n v="0"/>
    <x v="0"/>
    <n v="1"/>
    <n v="0"/>
    <m/>
    <n v="56.5"/>
    <m/>
    <m/>
    <n v="0"/>
    <m/>
    <n v="1"/>
    <m/>
    <n v="0"/>
    <m/>
    <n v="0"/>
    <m/>
    <n v="1"/>
  </r>
  <r>
    <x v="912"/>
    <n v="45666"/>
    <x v="1"/>
    <x v="0"/>
    <x v="0"/>
    <x v="1"/>
    <x v="0"/>
    <n v="1"/>
    <n v="0"/>
    <n v="0"/>
    <n v="0"/>
    <x v="0"/>
    <n v="0"/>
    <n v="0"/>
    <m/>
    <n v="59.7"/>
    <m/>
    <m/>
    <n v="0"/>
    <m/>
    <n v="1"/>
    <m/>
    <n v="0"/>
    <m/>
    <n v="0"/>
    <m/>
    <n v="0"/>
  </r>
  <r>
    <x v="913"/>
    <n v="45665"/>
    <x v="1"/>
    <x v="3"/>
    <x v="1"/>
    <x v="1"/>
    <x v="1"/>
    <n v="1"/>
    <n v="1"/>
    <n v="1"/>
    <n v="0"/>
    <x v="0"/>
    <n v="0"/>
    <n v="0"/>
    <m/>
    <n v="72.5"/>
    <m/>
    <m/>
    <n v="0"/>
    <m/>
    <n v="1"/>
    <m/>
    <n v="1"/>
    <m/>
    <n v="1"/>
    <m/>
    <n v="0"/>
  </r>
  <r>
    <x v="914"/>
    <n v="45778"/>
    <x v="1"/>
    <x v="2"/>
    <x v="0"/>
    <x v="2"/>
    <x v="1"/>
    <n v="1"/>
    <n v="0"/>
    <n v="0"/>
    <n v="0"/>
    <x v="0"/>
    <n v="0"/>
    <n v="0"/>
    <m/>
    <n v="64.3"/>
    <m/>
    <m/>
    <n v="0"/>
    <m/>
    <n v="1"/>
    <m/>
    <n v="0"/>
    <m/>
    <n v="0"/>
    <m/>
    <n v="0"/>
  </r>
  <r>
    <x v="915"/>
    <n v="45719"/>
    <x v="1"/>
    <x v="3"/>
    <x v="1"/>
    <x v="4"/>
    <x v="1"/>
    <n v="1"/>
    <n v="0"/>
    <n v="0"/>
    <n v="0"/>
    <x v="0"/>
    <n v="0"/>
    <n v="0"/>
    <m/>
    <n v="64.5"/>
    <m/>
    <m/>
    <n v="0"/>
    <m/>
    <n v="1"/>
    <m/>
    <n v="0"/>
    <m/>
    <n v="0"/>
    <m/>
    <n v="0"/>
  </r>
  <r>
    <x v="916"/>
    <n v="45711"/>
    <x v="1"/>
    <x v="1"/>
    <x v="0"/>
    <x v="4"/>
    <x v="0"/>
    <n v="1"/>
    <n v="1"/>
    <n v="1"/>
    <n v="0"/>
    <x v="0"/>
    <n v="0"/>
    <n v="0"/>
    <m/>
    <n v="70.599999999999994"/>
    <m/>
    <m/>
    <n v="0"/>
    <m/>
    <n v="1"/>
    <m/>
    <n v="1"/>
    <m/>
    <n v="1"/>
    <m/>
    <n v="0"/>
  </r>
  <r>
    <x v="917"/>
    <n v="45705"/>
    <x v="1"/>
    <x v="3"/>
    <x v="0"/>
    <x v="1"/>
    <x v="0"/>
    <n v="0"/>
    <n v="0"/>
    <n v="0"/>
    <n v="0"/>
    <x v="0"/>
    <n v="0"/>
    <n v="0"/>
    <m/>
    <n v="58.4"/>
    <m/>
    <m/>
    <n v="0"/>
    <m/>
    <n v="0"/>
    <m/>
    <n v="0"/>
    <m/>
    <n v="0"/>
    <m/>
    <n v="0"/>
  </r>
  <r>
    <x v="918"/>
    <n v="45798"/>
    <x v="1"/>
    <x v="2"/>
    <x v="1"/>
    <x v="1"/>
    <x v="0"/>
    <n v="1"/>
    <n v="0"/>
    <n v="0"/>
    <n v="0"/>
    <x v="0"/>
    <n v="0"/>
    <n v="0"/>
    <m/>
    <n v="56.6"/>
    <m/>
    <m/>
    <n v="0"/>
    <m/>
    <n v="1"/>
    <m/>
    <n v="0"/>
    <m/>
    <n v="0"/>
    <m/>
    <n v="0"/>
  </r>
  <r>
    <x v="919"/>
    <n v="45687"/>
    <x v="1"/>
    <x v="3"/>
    <x v="1"/>
    <x v="1"/>
    <x v="1"/>
    <n v="1"/>
    <n v="0"/>
    <n v="0"/>
    <n v="0"/>
    <x v="0"/>
    <n v="0"/>
    <n v="0"/>
    <m/>
    <n v="61.8"/>
    <m/>
    <m/>
    <n v="0"/>
    <m/>
    <n v="1"/>
    <m/>
    <n v="0"/>
    <m/>
    <n v="0"/>
    <m/>
    <n v="0"/>
  </r>
  <r>
    <x v="920"/>
    <n v="45736"/>
    <x v="1"/>
    <x v="1"/>
    <x v="1"/>
    <x v="0"/>
    <x v="1"/>
    <n v="1"/>
    <n v="1"/>
    <n v="1"/>
    <n v="1"/>
    <x v="41"/>
    <n v="0"/>
    <n v="0"/>
    <n v="8"/>
    <n v="43.4"/>
    <m/>
    <m/>
    <n v="0"/>
    <m/>
    <n v="1"/>
    <m/>
    <n v="1"/>
    <m/>
    <n v="1"/>
    <m/>
    <n v="0"/>
  </r>
  <r>
    <x v="921"/>
    <n v="45757"/>
    <x v="1"/>
    <x v="1"/>
    <x v="2"/>
    <x v="2"/>
    <x v="1"/>
    <n v="0"/>
    <n v="0"/>
    <n v="0"/>
    <n v="0"/>
    <x v="0"/>
    <n v="0"/>
    <n v="0"/>
    <m/>
    <n v="43"/>
    <m/>
    <m/>
    <n v="1"/>
    <m/>
    <n v="0"/>
    <m/>
    <n v="0"/>
    <m/>
    <n v="0"/>
    <m/>
    <n v="0"/>
  </r>
  <r>
    <x v="922"/>
    <n v="45723"/>
    <x v="1"/>
    <x v="0"/>
    <x v="0"/>
    <x v="1"/>
    <x v="1"/>
    <n v="1"/>
    <n v="1"/>
    <n v="1"/>
    <n v="0"/>
    <x v="0"/>
    <n v="0"/>
    <n v="0"/>
    <m/>
    <n v="51.1"/>
    <m/>
    <m/>
    <n v="0"/>
    <m/>
    <n v="1"/>
    <m/>
    <n v="1"/>
    <m/>
    <n v="1"/>
    <m/>
    <n v="0"/>
  </r>
  <r>
    <x v="923"/>
    <n v="45728"/>
    <x v="1"/>
    <x v="1"/>
    <x v="1"/>
    <x v="0"/>
    <x v="0"/>
    <n v="1"/>
    <n v="0"/>
    <n v="0"/>
    <n v="0"/>
    <x v="0"/>
    <n v="0"/>
    <n v="0"/>
    <m/>
    <n v="48.8"/>
    <m/>
    <m/>
    <n v="0"/>
    <m/>
    <n v="1"/>
    <m/>
    <n v="0"/>
    <m/>
    <n v="0"/>
    <m/>
    <n v="0"/>
  </r>
  <r>
    <x v="924"/>
    <n v="45712"/>
    <x v="1"/>
    <x v="2"/>
    <x v="1"/>
    <x v="3"/>
    <x v="1"/>
    <n v="0"/>
    <n v="0"/>
    <n v="0"/>
    <n v="0"/>
    <x v="0"/>
    <n v="0"/>
    <n v="0"/>
    <m/>
    <n v="73.2"/>
    <m/>
    <m/>
    <n v="0"/>
    <m/>
    <n v="0"/>
    <m/>
    <n v="0"/>
    <m/>
    <n v="0"/>
    <m/>
    <n v="0"/>
  </r>
  <r>
    <x v="925"/>
    <n v="45672"/>
    <x v="1"/>
    <x v="2"/>
    <x v="1"/>
    <x v="3"/>
    <x v="1"/>
    <n v="1"/>
    <n v="1"/>
    <n v="1"/>
    <n v="0"/>
    <x v="0"/>
    <n v="0"/>
    <n v="0"/>
    <m/>
    <n v="80"/>
    <m/>
    <m/>
    <n v="0"/>
    <m/>
    <n v="1"/>
    <m/>
    <n v="1"/>
    <m/>
    <n v="1"/>
    <m/>
    <n v="0"/>
  </r>
  <r>
    <x v="926"/>
    <n v="45664"/>
    <x v="1"/>
    <x v="0"/>
    <x v="0"/>
    <x v="2"/>
    <x v="1"/>
    <n v="1"/>
    <n v="0"/>
    <n v="0"/>
    <n v="0"/>
    <x v="0"/>
    <n v="0"/>
    <n v="0"/>
    <m/>
    <n v="52.3"/>
    <m/>
    <m/>
    <n v="0"/>
    <m/>
    <n v="1"/>
    <m/>
    <n v="0"/>
    <m/>
    <n v="0"/>
    <m/>
    <n v="0"/>
  </r>
  <r>
    <x v="927"/>
    <n v="45718"/>
    <x v="1"/>
    <x v="0"/>
    <x v="0"/>
    <x v="1"/>
    <x v="1"/>
    <n v="0"/>
    <n v="0"/>
    <n v="0"/>
    <n v="0"/>
    <x v="0"/>
    <n v="0"/>
    <n v="0"/>
    <m/>
    <n v="49.1"/>
    <m/>
    <m/>
    <n v="0"/>
    <m/>
    <n v="0"/>
    <m/>
    <n v="0"/>
    <m/>
    <n v="0"/>
    <m/>
    <n v="0"/>
  </r>
  <r>
    <x v="928"/>
    <n v="45662"/>
    <x v="1"/>
    <x v="3"/>
    <x v="0"/>
    <x v="3"/>
    <x v="0"/>
    <n v="0"/>
    <n v="0"/>
    <n v="0"/>
    <n v="0"/>
    <x v="0"/>
    <n v="0"/>
    <n v="0"/>
    <m/>
    <n v="45.3"/>
    <m/>
    <m/>
    <n v="0"/>
    <m/>
    <n v="0"/>
    <m/>
    <n v="0"/>
    <m/>
    <n v="0"/>
    <m/>
    <n v="0"/>
  </r>
  <r>
    <x v="929"/>
    <n v="45719"/>
    <x v="1"/>
    <x v="3"/>
    <x v="1"/>
    <x v="1"/>
    <x v="1"/>
    <n v="1"/>
    <n v="1"/>
    <n v="0"/>
    <n v="0"/>
    <x v="0"/>
    <n v="0"/>
    <n v="0"/>
    <m/>
    <n v="49.1"/>
    <m/>
    <m/>
    <n v="0"/>
    <m/>
    <n v="1"/>
    <m/>
    <n v="1"/>
    <m/>
    <n v="0"/>
    <m/>
    <n v="0"/>
  </r>
  <r>
    <x v="930"/>
    <n v="45747"/>
    <x v="1"/>
    <x v="2"/>
    <x v="0"/>
    <x v="3"/>
    <x v="1"/>
    <n v="1"/>
    <n v="1"/>
    <n v="1"/>
    <n v="1"/>
    <x v="42"/>
    <n v="0"/>
    <n v="0"/>
    <n v="3"/>
    <n v="88.6"/>
    <m/>
    <m/>
    <n v="0"/>
    <m/>
    <n v="1"/>
    <m/>
    <n v="1"/>
    <m/>
    <n v="1"/>
    <m/>
    <n v="0"/>
  </r>
  <r>
    <x v="931"/>
    <n v="45671"/>
    <x v="1"/>
    <x v="2"/>
    <x v="0"/>
    <x v="2"/>
    <x v="2"/>
    <n v="0"/>
    <n v="0"/>
    <n v="0"/>
    <n v="0"/>
    <x v="0"/>
    <n v="1"/>
    <n v="0"/>
    <m/>
    <n v="54.4"/>
    <m/>
    <m/>
    <n v="1"/>
    <m/>
    <n v="0"/>
    <m/>
    <n v="0"/>
    <m/>
    <n v="0"/>
    <m/>
    <n v="1"/>
  </r>
  <r>
    <x v="932"/>
    <n v="45672"/>
    <x v="1"/>
    <x v="1"/>
    <x v="0"/>
    <x v="2"/>
    <x v="2"/>
    <n v="1"/>
    <n v="0"/>
    <n v="0"/>
    <n v="0"/>
    <x v="0"/>
    <n v="0"/>
    <n v="0"/>
    <m/>
    <n v="72.900000000000006"/>
    <m/>
    <m/>
    <n v="0"/>
    <m/>
    <n v="1"/>
    <m/>
    <n v="0"/>
    <m/>
    <n v="0"/>
    <m/>
    <n v="0"/>
  </r>
  <r>
    <x v="933"/>
    <n v="45772"/>
    <x v="1"/>
    <x v="1"/>
    <x v="0"/>
    <x v="1"/>
    <x v="1"/>
    <n v="1"/>
    <n v="0"/>
    <n v="0"/>
    <n v="0"/>
    <x v="0"/>
    <n v="0"/>
    <n v="0"/>
    <m/>
    <n v="53.2"/>
    <m/>
    <m/>
    <n v="0"/>
    <m/>
    <n v="1"/>
    <m/>
    <n v="0"/>
    <m/>
    <n v="0"/>
    <m/>
    <n v="0"/>
  </r>
  <r>
    <x v="934"/>
    <n v="45737"/>
    <x v="1"/>
    <x v="2"/>
    <x v="1"/>
    <x v="1"/>
    <x v="0"/>
    <n v="1"/>
    <n v="1"/>
    <n v="0"/>
    <n v="0"/>
    <x v="0"/>
    <n v="0"/>
    <n v="0"/>
    <m/>
    <n v="48.7"/>
    <m/>
    <m/>
    <n v="0"/>
    <m/>
    <n v="1"/>
    <m/>
    <n v="1"/>
    <m/>
    <n v="0"/>
    <m/>
    <n v="0"/>
  </r>
  <r>
    <x v="935"/>
    <n v="45773"/>
    <x v="1"/>
    <x v="3"/>
    <x v="1"/>
    <x v="2"/>
    <x v="0"/>
    <n v="1"/>
    <n v="1"/>
    <n v="1"/>
    <n v="0"/>
    <x v="0"/>
    <n v="0"/>
    <n v="0"/>
    <m/>
    <n v="59.9"/>
    <m/>
    <m/>
    <n v="0"/>
    <m/>
    <n v="1"/>
    <m/>
    <n v="1"/>
    <m/>
    <n v="1"/>
    <m/>
    <n v="0"/>
  </r>
  <r>
    <x v="936"/>
    <n v="45798"/>
    <x v="1"/>
    <x v="3"/>
    <x v="0"/>
    <x v="5"/>
    <x v="0"/>
    <n v="0"/>
    <n v="0"/>
    <n v="0"/>
    <n v="0"/>
    <x v="0"/>
    <n v="0"/>
    <n v="0"/>
    <m/>
    <n v="82"/>
    <m/>
    <m/>
    <n v="0"/>
    <m/>
    <n v="0"/>
    <m/>
    <n v="0"/>
    <m/>
    <n v="0"/>
    <m/>
    <n v="0"/>
  </r>
  <r>
    <x v="937"/>
    <n v="45765"/>
    <x v="1"/>
    <x v="2"/>
    <x v="1"/>
    <x v="2"/>
    <x v="1"/>
    <n v="0"/>
    <n v="0"/>
    <n v="0"/>
    <n v="0"/>
    <x v="0"/>
    <n v="0"/>
    <n v="0"/>
    <m/>
    <n v="72.099999999999994"/>
    <m/>
    <m/>
    <n v="0"/>
    <m/>
    <n v="0"/>
    <m/>
    <n v="0"/>
    <m/>
    <n v="0"/>
    <m/>
    <n v="0"/>
  </r>
  <r>
    <x v="938"/>
    <n v="45686"/>
    <x v="1"/>
    <x v="0"/>
    <x v="0"/>
    <x v="0"/>
    <x v="2"/>
    <n v="1"/>
    <n v="1"/>
    <n v="0"/>
    <n v="0"/>
    <x v="0"/>
    <n v="0"/>
    <n v="0"/>
    <m/>
    <n v="68.3"/>
    <m/>
    <m/>
    <n v="0"/>
    <m/>
    <n v="1"/>
    <m/>
    <n v="1"/>
    <m/>
    <n v="0"/>
    <m/>
    <n v="0"/>
  </r>
  <r>
    <x v="939"/>
    <n v="45805"/>
    <x v="1"/>
    <x v="1"/>
    <x v="1"/>
    <x v="1"/>
    <x v="2"/>
    <n v="0"/>
    <n v="0"/>
    <n v="0"/>
    <n v="0"/>
    <x v="0"/>
    <n v="0"/>
    <n v="0"/>
    <m/>
    <n v="100"/>
    <m/>
    <m/>
    <n v="0"/>
    <m/>
    <n v="0"/>
    <m/>
    <n v="0"/>
    <m/>
    <n v="0"/>
    <m/>
    <n v="0"/>
  </r>
  <r>
    <x v="940"/>
    <n v="45672"/>
    <x v="1"/>
    <x v="2"/>
    <x v="1"/>
    <x v="0"/>
    <x v="1"/>
    <n v="1"/>
    <n v="1"/>
    <n v="1"/>
    <n v="0"/>
    <x v="0"/>
    <n v="2"/>
    <n v="0"/>
    <m/>
    <n v="76.5"/>
    <m/>
    <m/>
    <n v="0"/>
    <m/>
    <n v="1"/>
    <m/>
    <n v="1"/>
    <m/>
    <n v="1"/>
    <m/>
    <n v="2"/>
  </r>
  <r>
    <x v="941"/>
    <n v="45660"/>
    <x v="1"/>
    <x v="3"/>
    <x v="1"/>
    <x v="1"/>
    <x v="0"/>
    <n v="1"/>
    <n v="1"/>
    <n v="0"/>
    <n v="0"/>
    <x v="0"/>
    <n v="0"/>
    <n v="0"/>
    <m/>
    <n v="62"/>
    <m/>
    <m/>
    <n v="0"/>
    <m/>
    <n v="1"/>
    <m/>
    <n v="1"/>
    <m/>
    <n v="0"/>
    <m/>
    <n v="0"/>
  </r>
  <r>
    <x v="942"/>
    <n v="45692"/>
    <x v="1"/>
    <x v="3"/>
    <x v="1"/>
    <x v="2"/>
    <x v="1"/>
    <n v="1"/>
    <n v="1"/>
    <n v="1"/>
    <n v="1"/>
    <x v="43"/>
    <n v="1"/>
    <n v="0"/>
    <n v="7"/>
    <n v="50.1"/>
    <m/>
    <m/>
    <n v="0"/>
    <m/>
    <n v="1"/>
    <m/>
    <n v="1"/>
    <m/>
    <n v="1"/>
    <m/>
    <n v="1"/>
  </r>
  <r>
    <x v="943"/>
    <n v="45710"/>
    <x v="1"/>
    <x v="3"/>
    <x v="1"/>
    <x v="3"/>
    <x v="2"/>
    <n v="1"/>
    <n v="0"/>
    <n v="0"/>
    <n v="0"/>
    <x v="0"/>
    <n v="0"/>
    <n v="0"/>
    <m/>
    <n v="62.1"/>
    <m/>
    <m/>
    <n v="1"/>
    <m/>
    <n v="1"/>
    <m/>
    <n v="0"/>
    <m/>
    <n v="0"/>
    <m/>
    <n v="0"/>
  </r>
  <r>
    <x v="944"/>
    <n v="45783"/>
    <x v="1"/>
    <x v="1"/>
    <x v="1"/>
    <x v="1"/>
    <x v="0"/>
    <n v="1"/>
    <n v="0"/>
    <n v="0"/>
    <n v="0"/>
    <x v="0"/>
    <n v="0"/>
    <n v="0"/>
    <m/>
    <n v="49.7"/>
    <m/>
    <m/>
    <n v="0"/>
    <m/>
    <n v="1"/>
    <m/>
    <n v="0"/>
    <m/>
    <n v="0"/>
    <m/>
    <n v="0"/>
  </r>
  <r>
    <x v="945"/>
    <n v="45688"/>
    <x v="1"/>
    <x v="3"/>
    <x v="1"/>
    <x v="1"/>
    <x v="1"/>
    <n v="1"/>
    <n v="0"/>
    <n v="0"/>
    <n v="0"/>
    <x v="0"/>
    <n v="3"/>
    <n v="0"/>
    <m/>
    <n v="71.099999999999994"/>
    <m/>
    <m/>
    <n v="0"/>
    <m/>
    <n v="1"/>
    <m/>
    <n v="0"/>
    <m/>
    <n v="0"/>
    <m/>
    <n v="3"/>
  </r>
  <r>
    <x v="946"/>
    <n v="45706"/>
    <x v="1"/>
    <x v="0"/>
    <x v="1"/>
    <x v="4"/>
    <x v="0"/>
    <n v="0"/>
    <n v="0"/>
    <n v="0"/>
    <n v="0"/>
    <x v="0"/>
    <n v="0"/>
    <n v="0"/>
    <m/>
    <n v="70.8"/>
    <m/>
    <m/>
    <n v="0"/>
    <m/>
    <n v="0"/>
    <m/>
    <n v="0"/>
    <m/>
    <n v="0"/>
    <m/>
    <n v="0"/>
  </r>
  <r>
    <x v="947"/>
    <n v="45770"/>
    <x v="1"/>
    <x v="2"/>
    <x v="1"/>
    <x v="2"/>
    <x v="1"/>
    <n v="1"/>
    <n v="1"/>
    <n v="1"/>
    <n v="1"/>
    <x v="44"/>
    <n v="0"/>
    <n v="0"/>
    <n v="10"/>
    <n v="52.2"/>
    <m/>
    <m/>
    <n v="0"/>
    <m/>
    <n v="1"/>
    <m/>
    <n v="1"/>
    <m/>
    <n v="1"/>
    <m/>
    <n v="0"/>
  </r>
  <r>
    <x v="948"/>
    <n v="45694"/>
    <x v="1"/>
    <x v="0"/>
    <x v="1"/>
    <x v="1"/>
    <x v="1"/>
    <n v="1"/>
    <n v="1"/>
    <n v="1"/>
    <n v="0"/>
    <x v="0"/>
    <n v="0"/>
    <n v="0"/>
    <m/>
    <n v="73"/>
    <m/>
    <m/>
    <n v="1"/>
    <m/>
    <n v="1"/>
    <m/>
    <n v="1"/>
    <m/>
    <n v="1"/>
    <m/>
    <n v="0"/>
  </r>
  <r>
    <x v="949"/>
    <n v="45773"/>
    <x v="1"/>
    <x v="3"/>
    <x v="0"/>
    <x v="2"/>
    <x v="1"/>
    <n v="0"/>
    <n v="0"/>
    <n v="0"/>
    <n v="0"/>
    <x v="0"/>
    <n v="0"/>
    <n v="0"/>
    <m/>
    <n v="78.2"/>
    <m/>
    <m/>
    <n v="0"/>
    <m/>
    <n v="0"/>
    <m/>
    <n v="0"/>
    <m/>
    <n v="0"/>
    <m/>
    <n v="0"/>
  </r>
  <r>
    <x v="950"/>
    <n v="45746"/>
    <x v="1"/>
    <x v="1"/>
    <x v="0"/>
    <x v="2"/>
    <x v="0"/>
    <n v="1"/>
    <n v="0"/>
    <n v="0"/>
    <n v="0"/>
    <x v="0"/>
    <n v="0"/>
    <n v="0"/>
    <m/>
    <n v="68.8"/>
    <m/>
    <m/>
    <n v="0"/>
    <m/>
    <n v="1"/>
    <m/>
    <n v="0"/>
    <m/>
    <n v="0"/>
    <m/>
    <n v="0"/>
  </r>
  <r>
    <x v="951"/>
    <n v="45760"/>
    <x v="1"/>
    <x v="1"/>
    <x v="1"/>
    <x v="5"/>
    <x v="2"/>
    <n v="1"/>
    <n v="0"/>
    <n v="0"/>
    <n v="0"/>
    <x v="0"/>
    <n v="0"/>
    <n v="0"/>
    <m/>
    <n v="57.1"/>
    <m/>
    <m/>
    <n v="0"/>
    <m/>
    <n v="1"/>
    <m/>
    <n v="0"/>
    <m/>
    <n v="0"/>
    <m/>
    <n v="0"/>
  </r>
  <r>
    <x v="952"/>
    <n v="45751"/>
    <x v="1"/>
    <x v="2"/>
    <x v="0"/>
    <x v="1"/>
    <x v="2"/>
    <n v="0"/>
    <n v="0"/>
    <n v="0"/>
    <n v="0"/>
    <x v="0"/>
    <n v="1"/>
    <n v="0"/>
    <m/>
    <n v="74.599999999999994"/>
    <m/>
    <m/>
    <n v="0"/>
    <m/>
    <n v="0"/>
    <m/>
    <n v="0"/>
    <m/>
    <n v="0"/>
    <m/>
    <n v="1"/>
  </r>
  <r>
    <x v="953"/>
    <n v="45750"/>
    <x v="1"/>
    <x v="0"/>
    <x v="0"/>
    <x v="3"/>
    <x v="1"/>
    <n v="1"/>
    <n v="0"/>
    <n v="0"/>
    <n v="0"/>
    <x v="0"/>
    <n v="1"/>
    <n v="0"/>
    <m/>
    <n v="64.099999999999994"/>
    <m/>
    <m/>
    <n v="0"/>
    <m/>
    <n v="1"/>
    <m/>
    <n v="0"/>
    <m/>
    <n v="0"/>
    <m/>
    <n v="1"/>
  </r>
  <r>
    <x v="954"/>
    <n v="45730"/>
    <x v="1"/>
    <x v="1"/>
    <x v="1"/>
    <x v="2"/>
    <x v="2"/>
    <n v="1"/>
    <n v="0"/>
    <n v="0"/>
    <n v="0"/>
    <x v="0"/>
    <n v="0"/>
    <n v="0"/>
    <m/>
    <n v="67.3"/>
    <m/>
    <m/>
    <n v="0"/>
    <m/>
    <n v="1"/>
    <m/>
    <n v="0"/>
    <m/>
    <n v="0"/>
    <m/>
    <n v="0"/>
  </r>
  <r>
    <x v="955"/>
    <n v="45671"/>
    <x v="1"/>
    <x v="1"/>
    <x v="1"/>
    <x v="3"/>
    <x v="1"/>
    <n v="0"/>
    <n v="0"/>
    <n v="0"/>
    <n v="0"/>
    <x v="0"/>
    <n v="2"/>
    <n v="0"/>
    <m/>
    <n v="41"/>
    <m/>
    <m/>
    <n v="0"/>
    <m/>
    <n v="0"/>
    <m/>
    <n v="0"/>
    <m/>
    <n v="0"/>
    <m/>
    <n v="2"/>
  </r>
  <r>
    <x v="956"/>
    <n v="45782"/>
    <x v="1"/>
    <x v="1"/>
    <x v="1"/>
    <x v="2"/>
    <x v="1"/>
    <n v="0"/>
    <n v="0"/>
    <n v="0"/>
    <n v="0"/>
    <x v="0"/>
    <n v="0"/>
    <n v="0"/>
    <m/>
    <n v="48.1"/>
    <m/>
    <m/>
    <n v="0"/>
    <m/>
    <n v="0"/>
    <m/>
    <n v="0"/>
    <m/>
    <n v="0"/>
    <m/>
    <n v="0"/>
  </r>
  <r>
    <x v="957"/>
    <n v="45779"/>
    <x v="1"/>
    <x v="1"/>
    <x v="0"/>
    <x v="4"/>
    <x v="1"/>
    <n v="0"/>
    <n v="0"/>
    <n v="0"/>
    <n v="0"/>
    <x v="0"/>
    <n v="1"/>
    <n v="0"/>
    <m/>
    <n v="60.8"/>
    <m/>
    <m/>
    <n v="0"/>
    <m/>
    <n v="0"/>
    <m/>
    <n v="0"/>
    <m/>
    <n v="0"/>
    <m/>
    <n v="1"/>
  </r>
  <r>
    <x v="958"/>
    <n v="45798"/>
    <x v="1"/>
    <x v="2"/>
    <x v="1"/>
    <x v="1"/>
    <x v="1"/>
    <n v="1"/>
    <n v="0"/>
    <n v="0"/>
    <n v="0"/>
    <x v="0"/>
    <n v="0"/>
    <n v="0"/>
    <m/>
    <n v="63.1"/>
    <m/>
    <m/>
    <n v="0"/>
    <m/>
    <n v="1"/>
    <m/>
    <n v="0"/>
    <m/>
    <n v="0"/>
    <m/>
    <n v="0"/>
  </r>
  <r>
    <x v="959"/>
    <n v="45793"/>
    <x v="1"/>
    <x v="0"/>
    <x v="1"/>
    <x v="3"/>
    <x v="2"/>
    <n v="1"/>
    <n v="0"/>
    <n v="0"/>
    <n v="0"/>
    <x v="0"/>
    <n v="2"/>
    <n v="0"/>
    <m/>
    <n v="49.7"/>
    <m/>
    <m/>
    <n v="0"/>
    <m/>
    <n v="1"/>
    <m/>
    <n v="0"/>
    <m/>
    <n v="0"/>
    <m/>
    <n v="2"/>
  </r>
  <r>
    <x v="960"/>
    <n v="45801"/>
    <x v="1"/>
    <x v="2"/>
    <x v="0"/>
    <x v="1"/>
    <x v="2"/>
    <n v="1"/>
    <n v="1"/>
    <n v="1"/>
    <n v="0"/>
    <x v="0"/>
    <n v="1"/>
    <n v="0"/>
    <m/>
    <n v="83.4"/>
    <m/>
    <m/>
    <n v="0"/>
    <m/>
    <n v="1"/>
    <m/>
    <n v="1"/>
    <m/>
    <n v="1"/>
    <m/>
    <n v="1"/>
  </r>
  <r>
    <x v="961"/>
    <n v="45734"/>
    <x v="1"/>
    <x v="2"/>
    <x v="1"/>
    <x v="1"/>
    <x v="0"/>
    <n v="1"/>
    <n v="0"/>
    <n v="0"/>
    <n v="0"/>
    <x v="0"/>
    <n v="0"/>
    <n v="0"/>
    <m/>
    <n v="75.900000000000006"/>
    <m/>
    <m/>
    <n v="0"/>
    <m/>
    <n v="1"/>
    <m/>
    <n v="0"/>
    <m/>
    <n v="0"/>
    <m/>
    <n v="0"/>
  </r>
  <r>
    <x v="962"/>
    <n v="45668"/>
    <x v="1"/>
    <x v="2"/>
    <x v="0"/>
    <x v="2"/>
    <x v="1"/>
    <n v="0"/>
    <n v="0"/>
    <n v="0"/>
    <n v="0"/>
    <x v="0"/>
    <n v="1"/>
    <n v="0"/>
    <m/>
    <n v="71.8"/>
    <m/>
    <m/>
    <n v="0"/>
    <m/>
    <n v="0"/>
    <m/>
    <n v="0"/>
    <m/>
    <n v="0"/>
    <m/>
    <n v="1"/>
  </r>
  <r>
    <x v="963"/>
    <n v="45697"/>
    <x v="1"/>
    <x v="3"/>
    <x v="1"/>
    <x v="1"/>
    <x v="0"/>
    <n v="0"/>
    <n v="0"/>
    <n v="0"/>
    <n v="0"/>
    <x v="0"/>
    <n v="0"/>
    <n v="0"/>
    <m/>
    <n v="37.9"/>
    <m/>
    <m/>
    <n v="0"/>
    <m/>
    <n v="0"/>
    <m/>
    <n v="0"/>
    <m/>
    <n v="0"/>
    <m/>
    <n v="0"/>
  </r>
  <r>
    <x v="964"/>
    <n v="45717"/>
    <x v="1"/>
    <x v="0"/>
    <x v="0"/>
    <x v="4"/>
    <x v="1"/>
    <n v="1"/>
    <n v="0"/>
    <n v="0"/>
    <n v="0"/>
    <x v="0"/>
    <n v="0"/>
    <n v="0"/>
    <m/>
    <n v="59.8"/>
    <m/>
    <m/>
    <n v="0"/>
    <m/>
    <n v="1"/>
    <m/>
    <n v="0"/>
    <m/>
    <n v="0"/>
    <m/>
    <n v="0"/>
  </r>
  <r>
    <x v="965"/>
    <n v="45784"/>
    <x v="1"/>
    <x v="0"/>
    <x v="1"/>
    <x v="1"/>
    <x v="0"/>
    <n v="0"/>
    <n v="0"/>
    <n v="0"/>
    <n v="0"/>
    <x v="0"/>
    <n v="0"/>
    <n v="0"/>
    <m/>
    <n v="66.900000000000006"/>
    <m/>
    <m/>
    <n v="0"/>
    <m/>
    <n v="0"/>
    <m/>
    <n v="0"/>
    <m/>
    <n v="0"/>
    <m/>
    <n v="0"/>
  </r>
  <r>
    <x v="966"/>
    <n v="45707"/>
    <x v="1"/>
    <x v="3"/>
    <x v="0"/>
    <x v="5"/>
    <x v="1"/>
    <n v="1"/>
    <n v="0"/>
    <n v="0"/>
    <n v="0"/>
    <x v="0"/>
    <n v="0"/>
    <n v="0"/>
    <m/>
    <n v="59"/>
    <m/>
    <m/>
    <n v="0"/>
    <m/>
    <n v="1"/>
    <m/>
    <n v="0"/>
    <m/>
    <n v="0"/>
    <m/>
    <n v="0"/>
  </r>
  <r>
    <x v="967"/>
    <n v="45714"/>
    <x v="1"/>
    <x v="1"/>
    <x v="1"/>
    <x v="1"/>
    <x v="2"/>
    <n v="1"/>
    <n v="0"/>
    <n v="0"/>
    <n v="0"/>
    <x v="0"/>
    <n v="0"/>
    <n v="0"/>
    <m/>
    <n v="80.099999999999994"/>
    <m/>
    <m/>
    <n v="0"/>
    <m/>
    <n v="1"/>
    <m/>
    <n v="0"/>
    <m/>
    <n v="0"/>
    <m/>
    <n v="0"/>
  </r>
  <r>
    <x v="968"/>
    <n v="45739"/>
    <x v="1"/>
    <x v="3"/>
    <x v="1"/>
    <x v="4"/>
    <x v="1"/>
    <n v="0"/>
    <n v="0"/>
    <n v="0"/>
    <n v="0"/>
    <x v="0"/>
    <n v="0"/>
    <n v="0"/>
    <m/>
    <n v="64.3"/>
    <m/>
    <m/>
    <n v="0"/>
    <m/>
    <n v="0"/>
    <m/>
    <n v="0"/>
    <m/>
    <n v="0"/>
    <m/>
    <n v="0"/>
  </r>
  <r>
    <x v="969"/>
    <n v="45772"/>
    <x v="1"/>
    <x v="3"/>
    <x v="0"/>
    <x v="4"/>
    <x v="1"/>
    <n v="0"/>
    <n v="0"/>
    <n v="0"/>
    <n v="0"/>
    <x v="0"/>
    <n v="1"/>
    <n v="0"/>
    <m/>
    <n v="57.4"/>
    <m/>
    <m/>
    <n v="0"/>
    <m/>
    <n v="0"/>
    <m/>
    <n v="0"/>
    <m/>
    <n v="0"/>
    <m/>
    <n v="1"/>
  </r>
  <r>
    <x v="970"/>
    <n v="45787"/>
    <x v="1"/>
    <x v="0"/>
    <x v="0"/>
    <x v="4"/>
    <x v="1"/>
    <n v="1"/>
    <n v="1"/>
    <n v="1"/>
    <n v="0"/>
    <x v="0"/>
    <n v="0"/>
    <n v="0"/>
    <m/>
    <n v="83.6"/>
    <m/>
    <m/>
    <n v="0"/>
    <m/>
    <n v="1"/>
    <m/>
    <n v="1"/>
    <m/>
    <n v="1"/>
    <m/>
    <n v="0"/>
  </r>
  <r>
    <x v="971"/>
    <n v="45769"/>
    <x v="1"/>
    <x v="2"/>
    <x v="1"/>
    <x v="2"/>
    <x v="2"/>
    <n v="0"/>
    <n v="0"/>
    <n v="0"/>
    <n v="0"/>
    <x v="0"/>
    <n v="0"/>
    <n v="0"/>
    <m/>
    <n v="45.8"/>
    <m/>
    <m/>
    <n v="0"/>
    <m/>
    <n v="0"/>
    <m/>
    <n v="0"/>
    <m/>
    <n v="0"/>
    <m/>
    <n v="0"/>
  </r>
  <r>
    <x v="972"/>
    <n v="45706"/>
    <x v="1"/>
    <x v="1"/>
    <x v="1"/>
    <x v="3"/>
    <x v="0"/>
    <n v="1"/>
    <n v="1"/>
    <n v="1"/>
    <n v="0"/>
    <x v="0"/>
    <n v="0"/>
    <n v="0"/>
    <m/>
    <n v="64.3"/>
    <m/>
    <m/>
    <n v="0"/>
    <m/>
    <n v="1"/>
    <m/>
    <n v="1"/>
    <m/>
    <n v="1"/>
    <m/>
    <n v="0"/>
  </r>
  <r>
    <x v="973"/>
    <n v="45683"/>
    <x v="1"/>
    <x v="3"/>
    <x v="1"/>
    <x v="2"/>
    <x v="2"/>
    <n v="1"/>
    <n v="1"/>
    <n v="1"/>
    <n v="0"/>
    <x v="0"/>
    <n v="0"/>
    <n v="0"/>
    <m/>
    <n v="80.5"/>
    <m/>
    <m/>
    <n v="0"/>
    <m/>
    <n v="1"/>
    <m/>
    <n v="1"/>
    <m/>
    <n v="1"/>
    <m/>
    <n v="0"/>
  </r>
  <r>
    <x v="974"/>
    <n v="45775"/>
    <x v="1"/>
    <x v="0"/>
    <x v="1"/>
    <x v="1"/>
    <x v="1"/>
    <n v="1"/>
    <n v="0"/>
    <n v="0"/>
    <n v="0"/>
    <x v="0"/>
    <n v="0"/>
    <n v="0"/>
    <m/>
    <n v="46.3"/>
    <m/>
    <m/>
    <n v="0"/>
    <m/>
    <n v="1"/>
    <m/>
    <n v="0"/>
    <m/>
    <n v="0"/>
    <m/>
    <n v="0"/>
  </r>
  <r>
    <x v="975"/>
    <n v="45749"/>
    <x v="1"/>
    <x v="3"/>
    <x v="0"/>
    <x v="0"/>
    <x v="0"/>
    <n v="1"/>
    <n v="0"/>
    <n v="0"/>
    <n v="0"/>
    <x v="0"/>
    <n v="0"/>
    <n v="0"/>
    <m/>
    <n v="71.599999999999994"/>
    <m/>
    <m/>
    <n v="0"/>
    <m/>
    <n v="1"/>
    <m/>
    <n v="0"/>
    <m/>
    <n v="0"/>
    <m/>
    <n v="0"/>
  </r>
  <r>
    <x v="976"/>
    <n v="45759"/>
    <x v="1"/>
    <x v="3"/>
    <x v="0"/>
    <x v="0"/>
    <x v="2"/>
    <n v="1"/>
    <n v="1"/>
    <n v="0"/>
    <n v="0"/>
    <x v="0"/>
    <n v="0"/>
    <n v="0"/>
    <m/>
    <n v="57.8"/>
    <m/>
    <m/>
    <n v="0"/>
    <m/>
    <n v="1"/>
    <m/>
    <n v="1"/>
    <m/>
    <n v="0"/>
    <m/>
    <n v="0"/>
  </r>
  <r>
    <x v="977"/>
    <n v="45660"/>
    <x v="1"/>
    <x v="1"/>
    <x v="0"/>
    <x v="0"/>
    <x v="0"/>
    <n v="1"/>
    <n v="1"/>
    <n v="1"/>
    <n v="0"/>
    <x v="0"/>
    <n v="1"/>
    <n v="0"/>
    <m/>
    <n v="57.8"/>
    <m/>
    <m/>
    <n v="0"/>
    <m/>
    <n v="1"/>
    <m/>
    <n v="1"/>
    <m/>
    <n v="1"/>
    <m/>
    <n v="1"/>
  </r>
  <r>
    <x v="978"/>
    <n v="45785"/>
    <x v="1"/>
    <x v="0"/>
    <x v="1"/>
    <x v="2"/>
    <x v="1"/>
    <n v="1"/>
    <n v="0"/>
    <n v="0"/>
    <n v="0"/>
    <x v="0"/>
    <n v="0"/>
    <n v="0"/>
    <m/>
    <n v="38.299999999999997"/>
    <m/>
    <m/>
    <n v="0"/>
    <m/>
    <n v="1"/>
    <m/>
    <n v="0"/>
    <m/>
    <n v="0"/>
    <m/>
    <n v="0"/>
  </r>
  <r>
    <x v="979"/>
    <n v="45708"/>
    <x v="1"/>
    <x v="0"/>
    <x v="1"/>
    <x v="3"/>
    <x v="2"/>
    <n v="1"/>
    <n v="0"/>
    <n v="0"/>
    <n v="0"/>
    <x v="0"/>
    <n v="1"/>
    <n v="0"/>
    <m/>
    <n v="66.099999999999994"/>
    <m/>
    <m/>
    <n v="0"/>
    <m/>
    <n v="1"/>
    <m/>
    <n v="0"/>
    <m/>
    <n v="0"/>
    <m/>
    <n v="1"/>
  </r>
  <r>
    <x v="980"/>
    <n v="45733"/>
    <x v="1"/>
    <x v="0"/>
    <x v="0"/>
    <x v="2"/>
    <x v="2"/>
    <n v="1"/>
    <n v="0"/>
    <n v="0"/>
    <n v="0"/>
    <x v="0"/>
    <n v="0"/>
    <n v="0"/>
    <m/>
    <n v="66.5"/>
    <m/>
    <m/>
    <n v="0"/>
    <m/>
    <n v="1"/>
    <m/>
    <n v="0"/>
    <m/>
    <n v="0"/>
    <m/>
    <n v="0"/>
  </r>
  <r>
    <x v="981"/>
    <n v="45757"/>
    <x v="1"/>
    <x v="3"/>
    <x v="0"/>
    <x v="0"/>
    <x v="1"/>
    <n v="1"/>
    <n v="0"/>
    <n v="0"/>
    <n v="0"/>
    <x v="0"/>
    <n v="3"/>
    <n v="0"/>
    <m/>
    <n v="51.5"/>
    <m/>
    <m/>
    <n v="0"/>
    <m/>
    <n v="1"/>
    <m/>
    <n v="0"/>
    <m/>
    <n v="0"/>
    <m/>
    <n v="3"/>
  </r>
  <r>
    <x v="982"/>
    <n v="45785"/>
    <x v="1"/>
    <x v="0"/>
    <x v="0"/>
    <x v="3"/>
    <x v="1"/>
    <n v="1"/>
    <n v="0"/>
    <n v="0"/>
    <n v="0"/>
    <x v="0"/>
    <n v="0"/>
    <n v="0"/>
    <m/>
    <n v="59.9"/>
    <m/>
    <m/>
    <n v="0"/>
    <m/>
    <n v="1"/>
    <m/>
    <n v="0"/>
    <m/>
    <n v="0"/>
    <m/>
    <n v="0"/>
  </r>
  <r>
    <x v="983"/>
    <n v="45766"/>
    <x v="1"/>
    <x v="1"/>
    <x v="1"/>
    <x v="2"/>
    <x v="0"/>
    <n v="1"/>
    <n v="0"/>
    <n v="0"/>
    <n v="0"/>
    <x v="0"/>
    <n v="0"/>
    <n v="0"/>
    <m/>
    <n v="58.8"/>
    <m/>
    <m/>
    <n v="0"/>
    <m/>
    <n v="1"/>
    <m/>
    <n v="0"/>
    <m/>
    <n v="0"/>
    <m/>
    <n v="0"/>
  </r>
  <r>
    <x v="984"/>
    <n v="45658"/>
    <x v="1"/>
    <x v="3"/>
    <x v="2"/>
    <x v="2"/>
    <x v="0"/>
    <n v="1"/>
    <n v="0"/>
    <n v="0"/>
    <n v="0"/>
    <x v="0"/>
    <n v="0"/>
    <n v="0"/>
    <m/>
    <n v="69.599999999999994"/>
    <m/>
    <m/>
    <n v="0"/>
    <m/>
    <n v="1"/>
    <m/>
    <n v="0"/>
    <m/>
    <n v="0"/>
    <m/>
    <n v="0"/>
  </r>
  <r>
    <x v="985"/>
    <n v="45726"/>
    <x v="1"/>
    <x v="2"/>
    <x v="1"/>
    <x v="2"/>
    <x v="1"/>
    <n v="1"/>
    <n v="0"/>
    <n v="0"/>
    <n v="0"/>
    <x v="0"/>
    <n v="0"/>
    <n v="0"/>
    <m/>
    <n v="77.5"/>
    <m/>
    <m/>
    <n v="0"/>
    <m/>
    <n v="1"/>
    <m/>
    <n v="0"/>
    <m/>
    <n v="0"/>
    <m/>
    <n v="0"/>
  </r>
  <r>
    <x v="986"/>
    <n v="45726"/>
    <x v="1"/>
    <x v="2"/>
    <x v="2"/>
    <x v="4"/>
    <x v="2"/>
    <n v="0"/>
    <n v="0"/>
    <n v="0"/>
    <n v="0"/>
    <x v="0"/>
    <n v="2"/>
    <n v="0"/>
    <m/>
    <n v="57.5"/>
    <m/>
    <m/>
    <n v="0"/>
    <m/>
    <n v="0"/>
    <m/>
    <n v="0"/>
    <m/>
    <n v="0"/>
    <m/>
    <n v="2"/>
  </r>
  <r>
    <x v="987"/>
    <n v="45766"/>
    <x v="1"/>
    <x v="1"/>
    <x v="2"/>
    <x v="0"/>
    <x v="0"/>
    <n v="1"/>
    <n v="0"/>
    <n v="0"/>
    <n v="0"/>
    <x v="0"/>
    <n v="0"/>
    <n v="0"/>
    <m/>
    <n v="64.2"/>
    <m/>
    <m/>
    <n v="0"/>
    <m/>
    <n v="1"/>
    <m/>
    <n v="0"/>
    <m/>
    <n v="0"/>
    <m/>
    <n v="0"/>
  </r>
  <r>
    <x v="988"/>
    <n v="45758"/>
    <x v="1"/>
    <x v="1"/>
    <x v="0"/>
    <x v="1"/>
    <x v="1"/>
    <n v="0"/>
    <n v="0"/>
    <n v="0"/>
    <n v="0"/>
    <x v="0"/>
    <n v="0"/>
    <n v="0"/>
    <m/>
    <n v="60"/>
    <m/>
    <m/>
    <n v="0"/>
    <m/>
    <n v="0"/>
    <m/>
    <n v="0"/>
    <m/>
    <n v="0"/>
    <m/>
    <n v="0"/>
  </r>
  <r>
    <x v="989"/>
    <n v="45757"/>
    <x v="1"/>
    <x v="2"/>
    <x v="1"/>
    <x v="1"/>
    <x v="0"/>
    <n v="1"/>
    <n v="0"/>
    <n v="0"/>
    <n v="0"/>
    <x v="0"/>
    <n v="1"/>
    <n v="0"/>
    <m/>
    <n v="43.7"/>
    <m/>
    <m/>
    <n v="0"/>
    <m/>
    <n v="1"/>
    <m/>
    <n v="0"/>
    <m/>
    <n v="0"/>
    <m/>
    <n v="1"/>
  </r>
  <r>
    <x v="990"/>
    <n v="45670"/>
    <x v="1"/>
    <x v="1"/>
    <x v="0"/>
    <x v="4"/>
    <x v="1"/>
    <n v="1"/>
    <n v="0"/>
    <n v="0"/>
    <n v="0"/>
    <x v="0"/>
    <n v="0"/>
    <n v="0"/>
    <m/>
    <n v="64.900000000000006"/>
    <m/>
    <m/>
    <n v="0"/>
    <m/>
    <n v="1"/>
    <m/>
    <n v="0"/>
    <m/>
    <n v="0"/>
    <m/>
    <n v="0"/>
  </r>
  <r>
    <x v="991"/>
    <n v="45744"/>
    <x v="1"/>
    <x v="3"/>
    <x v="0"/>
    <x v="1"/>
    <x v="1"/>
    <n v="1"/>
    <n v="1"/>
    <n v="0"/>
    <n v="0"/>
    <x v="0"/>
    <n v="0"/>
    <n v="0"/>
    <m/>
    <n v="45.5"/>
    <m/>
    <m/>
    <n v="0"/>
    <m/>
    <n v="1"/>
    <m/>
    <n v="1"/>
    <m/>
    <n v="0"/>
    <m/>
    <n v="0"/>
  </r>
  <r>
    <x v="992"/>
    <n v="45686"/>
    <x v="1"/>
    <x v="2"/>
    <x v="1"/>
    <x v="2"/>
    <x v="1"/>
    <n v="1"/>
    <n v="1"/>
    <n v="1"/>
    <n v="1"/>
    <x v="45"/>
    <n v="0"/>
    <n v="0"/>
    <n v="8"/>
    <n v="61.2"/>
    <m/>
    <m/>
    <n v="0"/>
    <m/>
    <n v="1"/>
    <m/>
    <n v="1"/>
    <m/>
    <n v="1"/>
    <m/>
    <n v="0"/>
  </r>
  <r>
    <x v="993"/>
    <n v="45743"/>
    <x v="1"/>
    <x v="3"/>
    <x v="1"/>
    <x v="3"/>
    <x v="1"/>
    <n v="0"/>
    <n v="0"/>
    <n v="0"/>
    <n v="0"/>
    <x v="0"/>
    <n v="0"/>
    <n v="0"/>
    <m/>
    <n v="87.8"/>
    <m/>
    <m/>
    <n v="1"/>
    <m/>
    <n v="0"/>
    <m/>
    <n v="0"/>
    <m/>
    <n v="0"/>
    <m/>
    <n v="0"/>
  </r>
  <r>
    <x v="994"/>
    <n v="45736"/>
    <x v="1"/>
    <x v="2"/>
    <x v="2"/>
    <x v="4"/>
    <x v="1"/>
    <n v="0"/>
    <n v="0"/>
    <n v="0"/>
    <n v="0"/>
    <x v="0"/>
    <n v="0"/>
    <n v="0"/>
    <m/>
    <n v="86.4"/>
    <m/>
    <m/>
    <n v="0"/>
    <m/>
    <n v="0"/>
    <m/>
    <n v="0"/>
    <m/>
    <n v="0"/>
    <m/>
    <n v="0"/>
  </r>
  <r>
    <x v="995"/>
    <n v="45666"/>
    <x v="1"/>
    <x v="0"/>
    <x v="1"/>
    <x v="2"/>
    <x v="0"/>
    <n v="0"/>
    <n v="0"/>
    <n v="0"/>
    <n v="0"/>
    <x v="0"/>
    <n v="1"/>
    <n v="0"/>
    <m/>
    <n v="71.400000000000006"/>
    <m/>
    <m/>
    <n v="0"/>
    <m/>
    <n v="0"/>
    <m/>
    <n v="0"/>
    <m/>
    <n v="0"/>
    <m/>
    <n v="1"/>
  </r>
  <r>
    <x v="996"/>
    <n v="45772"/>
    <x v="1"/>
    <x v="1"/>
    <x v="1"/>
    <x v="4"/>
    <x v="1"/>
    <n v="1"/>
    <n v="1"/>
    <n v="1"/>
    <n v="1"/>
    <x v="46"/>
    <n v="0"/>
    <n v="1"/>
    <n v="8"/>
    <n v="72.2"/>
    <m/>
    <m/>
    <n v="0"/>
    <m/>
    <n v="1"/>
    <m/>
    <n v="1"/>
    <m/>
    <n v="1"/>
    <m/>
    <n v="0"/>
  </r>
  <r>
    <x v="997"/>
    <n v="45758"/>
    <x v="1"/>
    <x v="3"/>
    <x v="0"/>
    <x v="4"/>
    <x v="1"/>
    <n v="1"/>
    <n v="0"/>
    <n v="0"/>
    <n v="0"/>
    <x v="0"/>
    <n v="0"/>
    <n v="0"/>
    <m/>
    <n v="51.9"/>
    <m/>
    <m/>
    <n v="1"/>
    <m/>
    <n v="1"/>
    <m/>
    <n v="0"/>
    <m/>
    <n v="0"/>
    <m/>
    <n v="0"/>
  </r>
  <r>
    <x v="998"/>
    <n v="45693"/>
    <x v="1"/>
    <x v="2"/>
    <x v="1"/>
    <x v="4"/>
    <x v="0"/>
    <n v="1"/>
    <n v="1"/>
    <n v="1"/>
    <n v="0"/>
    <x v="0"/>
    <n v="0"/>
    <n v="0"/>
    <m/>
    <n v="70.3"/>
    <m/>
    <m/>
    <n v="0"/>
    <m/>
    <n v="1"/>
    <m/>
    <n v="1"/>
    <m/>
    <n v="1"/>
    <m/>
    <n v="0"/>
  </r>
  <r>
    <x v="999"/>
    <n v="45744"/>
    <x v="1"/>
    <x v="3"/>
    <x v="1"/>
    <x v="4"/>
    <x v="2"/>
    <n v="1"/>
    <n v="0"/>
    <n v="0"/>
    <n v="0"/>
    <x v="0"/>
    <n v="1"/>
    <n v="0"/>
    <m/>
    <n v="49.2"/>
    <m/>
    <m/>
    <n v="0"/>
    <m/>
    <n v="1"/>
    <m/>
    <n v="0"/>
    <m/>
    <n v="0"/>
    <m/>
    <n v="1"/>
  </r>
  <r>
    <x v="1000"/>
    <n v="45791"/>
    <x v="1"/>
    <x v="3"/>
    <x v="1"/>
    <x v="3"/>
    <x v="1"/>
    <n v="0"/>
    <n v="0"/>
    <n v="0"/>
    <n v="0"/>
    <x v="0"/>
    <n v="0"/>
    <n v="0"/>
    <m/>
    <n v="52.2"/>
    <m/>
    <m/>
    <n v="0"/>
    <m/>
    <n v="0"/>
    <m/>
    <n v="0"/>
    <m/>
    <n v="0"/>
    <m/>
    <n v="0"/>
  </r>
  <r>
    <x v="1001"/>
    <n v="45726"/>
    <x v="1"/>
    <x v="2"/>
    <x v="1"/>
    <x v="2"/>
    <x v="0"/>
    <n v="0"/>
    <n v="0"/>
    <n v="0"/>
    <n v="0"/>
    <x v="0"/>
    <n v="1"/>
    <n v="0"/>
    <m/>
    <n v="62.6"/>
    <m/>
    <m/>
    <n v="0"/>
    <m/>
    <n v="0"/>
    <m/>
    <n v="0"/>
    <m/>
    <n v="0"/>
    <m/>
    <n v="1"/>
  </r>
  <r>
    <x v="1002"/>
    <n v="45756"/>
    <x v="1"/>
    <x v="2"/>
    <x v="0"/>
    <x v="2"/>
    <x v="1"/>
    <n v="1"/>
    <n v="1"/>
    <n v="0"/>
    <n v="0"/>
    <x v="0"/>
    <n v="0"/>
    <n v="0"/>
    <m/>
    <n v="100"/>
    <m/>
    <m/>
    <n v="0"/>
    <m/>
    <n v="1"/>
    <m/>
    <n v="1"/>
    <m/>
    <n v="0"/>
    <m/>
    <n v="0"/>
  </r>
  <r>
    <x v="1003"/>
    <n v="45701"/>
    <x v="1"/>
    <x v="0"/>
    <x v="1"/>
    <x v="3"/>
    <x v="0"/>
    <n v="1"/>
    <n v="1"/>
    <n v="1"/>
    <n v="0"/>
    <x v="0"/>
    <n v="2"/>
    <n v="0"/>
    <m/>
    <n v="45.9"/>
    <m/>
    <m/>
    <n v="0"/>
    <m/>
    <n v="1"/>
    <m/>
    <n v="1"/>
    <m/>
    <n v="1"/>
    <m/>
    <n v="2"/>
  </r>
  <r>
    <x v="1004"/>
    <n v="45780"/>
    <x v="1"/>
    <x v="2"/>
    <x v="1"/>
    <x v="0"/>
    <x v="1"/>
    <n v="1"/>
    <n v="1"/>
    <n v="1"/>
    <n v="0"/>
    <x v="0"/>
    <n v="0"/>
    <n v="0"/>
    <m/>
    <n v="80.7"/>
    <m/>
    <m/>
    <n v="0"/>
    <m/>
    <n v="1"/>
    <m/>
    <n v="1"/>
    <m/>
    <n v="1"/>
    <m/>
    <n v="0"/>
  </r>
  <r>
    <x v="1005"/>
    <n v="45763"/>
    <x v="1"/>
    <x v="3"/>
    <x v="0"/>
    <x v="3"/>
    <x v="2"/>
    <n v="1"/>
    <n v="0"/>
    <n v="0"/>
    <n v="0"/>
    <x v="0"/>
    <n v="0"/>
    <n v="0"/>
    <m/>
    <n v="51.9"/>
    <m/>
    <m/>
    <n v="0"/>
    <m/>
    <n v="1"/>
    <m/>
    <n v="0"/>
    <m/>
    <n v="0"/>
    <m/>
    <n v="0"/>
  </r>
  <r>
    <x v="1006"/>
    <n v="45777"/>
    <x v="1"/>
    <x v="0"/>
    <x v="1"/>
    <x v="2"/>
    <x v="2"/>
    <n v="1"/>
    <n v="0"/>
    <n v="0"/>
    <n v="0"/>
    <x v="0"/>
    <n v="0"/>
    <n v="0"/>
    <m/>
    <n v="68.900000000000006"/>
    <m/>
    <m/>
    <n v="0"/>
    <m/>
    <n v="1"/>
    <m/>
    <n v="0"/>
    <m/>
    <n v="0"/>
    <m/>
    <n v="0"/>
  </r>
  <r>
    <x v="1007"/>
    <n v="45706"/>
    <x v="1"/>
    <x v="1"/>
    <x v="0"/>
    <x v="1"/>
    <x v="1"/>
    <n v="1"/>
    <n v="0"/>
    <n v="0"/>
    <n v="0"/>
    <x v="0"/>
    <n v="0"/>
    <n v="0"/>
    <m/>
    <n v="66"/>
    <m/>
    <m/>
    <n v="0"/>
    <m/>
    <n v="1"/>
    <m/>
    <n v="0"/>
    <m/>
    <n v="0"/>
    <m/>
    <n v="0"/>
  </r>
  <r>
    <x v="1008"/>
    <n v="45799"/>
    <x v="1"/>
    <x v="1"/>
    <x v="0"/>
    <x v="3"/>
    <x v="0"/>
    <n v="0"/>
    <n v="0"/>
    <n v="0"/>
    <n v="0"/>
    <x v="0"/>
    <n v="0"/>
    <n v="0"/>
    <m/>
    <n v="63.1"/>
    <m/>
    <m/>
    <n v="0"/>
    <m/>
    <n v="0"/>
    <m/>
    <n v="0"/>
    <m/>
    <n v="0"/>
    <m/>
    <n v="0"/>
  </r>
  <r>
    <x v="1009"/>
    <n v="45798"/>
    <x v="1"/>
    <x v="3"/>
    <x v="0"/>
    <x v="1"/>
    <x v="1"/>
    <n v="0"/>
    <n v="0"/>
    <n v="0"/>
    <n v="0"/>
    <x v="0"/>
    <n v="0"/>
    <n v="0"/>
    <m/>
    <n v="56"/>
    <m/>
    <m/>
    <n v="0"/>
    <m/>
    <n v="0"/>
    <m/>
    <n v="0"/>
    <m/>
    <n v="0"/>
    <m/>
    <n v="0"/>
  </r>
  <r>
    <x v="1010"/>
    <n v="45757"/>
    <x v="1"/>
    <x v="2"/>
    <x v="0"/>
    <x v="1"/>
    <x v="1"/>
    <n v="1"/>
    <n v="0"/>
    <n v="0"/>
    <n v="0"/>
    <x v="0"/>
    <n v="1"/>
    <n v="0"/>
    <m/>
    <n v="65.7"/>
    <m/>
    <m/>
    <n v="0"/>
    <m/>
    <n v="1"/>
    <m/>
    <n v="0"/>
    <m/>
    <n v="0"/>
    <m/>
    <n v="1"/>
  </r>
  <r>
    <x v="1011"/>
    <n v="45664"/>
    <x v="1"/>
    <x v="0"/>
    <x v="0"/>
    <x v="1"/>
    <x v="2"/>
    <n v="1"/>
    <n v="1"/>
    <n v="1"/>
    <n v="1"/>
    <x v="47"/>
    <n v="1"/>
    <n v="0"/>
    <n v="9"/>
    <n v="60.9"/>
    <m/>
    <m/>
    <n v="0"/>
    <m/>
    <n v="1"/>
    <m/>
    <n v="1"/>
    <m/>
    <n v="1"/>
    <m/>
    <n v="1"/>
  </r>
  <r>
    <x v="1012"/>
    <n v="45691"/>
    <x v="1"/>
    <x v="3"/>
    <x v="0"/>
    <x v="4"/>
    <x v="1"/>
    <n v="0"/>
    <n v="0"/>
    <n v="0"/>
    <n v="0"/>
    <x v="0"/>
    <n v="0"/>
    <n v="0"/>
    <m/>
    <n v="45.5"/>
    <m/>
    <m/>
    <n v="1"/>
    <m/>
    <n v="0"/>
    <m/>
    <n v="0"/>
    <m/>
    <n v="0"/>
    <m/>
    <n v="0"/>
  </r>
  <r>
    <x v="1013"/>
    <n v="45795"/>
    <x v="1"/>
    <x v="0"/>
    <x v="1"/>
    <x v="2"/>
    <x v="1"/>
    <n v="1"/>
    <n v="0"/>
    <n v="0"/>
    <n v="0"/>
    <x v="0"/>
    <n v="0"/>
    <n v="0"/>
    <m/>
    <n v="50"/>
    <m/>
    <m/>
    <n v="0"/>
    <m/>
    <n v="1"/>
    <m/>
    <n v="0"/>
    <m/>
    <n v="0"/>
    <m/>
    <n v="0"/>
  </r>
  <r>
    <x v="1014"/>
    <n v="45688"/>
    <x v="1"/>
    <x v="0"/>
    <x v="1"/>
    <x v="3"/>
    <x v="1"/>
    <n v="1"/>
    <n v="0"/>
    <n v="0"/>
    <n v="0"/>
    <x v="0"/>
    <n v="0"/>
    <n v="0"/>
    <m/>
    <n v="72.099999999999994"/>
    <m/>
    <m/>
    <n v="0"/>
    <m/>
    <n v="1"/>
    <m/>
    <n v="0"/>
    <m/>
    <n v="0"/>
    <m/>
    <n v="0"/>
  </r>
  <r>
    <x v="1015"/>
    <n v="45673"/>
    <x v="1"/>
    <x v="3"/>
    <x v="0"/>
    <x v="1"/>
    <x v="0"/>
    <n v="1"/>
    <n v="0"/>
    <n v="0"/>
    <n v="0"/>
    <x v="0"/>
    <n v="0"/>
    <n v="0"/>
    <m/>
    <n v="76.3"/>
    <m/>
    <m/>
    <n v="0"/>
    <m/>
    <n v="1"/>
    <m/>
    <n v="0"/>
    <m/>
    <n v="0"/>
    <m/>
    <n v="0"/>
  </r>
  <r>
    <x v="1016"/>
    <n v="45791"/>
    <x v="1"/>
    <x v="2"/>
    <x v="1"/>
    <x v="2"/>
    <x v="0"/>
    <n v="1"/>
    <n v="1"/>
    <n v="0"/>
    <n v="0"/>
    <x v="0"/>
    <n v="1"/>
    <n v="0"/>
    <m/>
    <n v="54.8"/>
    <m/>
    <m/>
    <n v="0"/>
    <m/>
    <n v="1"/>
    <m/>
    <n v="1"/>
    <m/>
    <n v="0"/>
    <m/>
    <n v="1"/>
  </r>
  <r>
    <x v="1017"/>
    <n v="45748"/>
    <x v="1"/>
    <x v="3"/>
    <x v="1"/>
    <x v="5"/>
    <x v="0"/>
    <n v="1"/>
    <n v="0"/>
    <n v="0"/>
    <n v="0"/>
    <x v="0"/>
    <n v="0"/>
    <n v="0"/>
    <m/>
    <n v="63.6"/>
    <m/>
    <m/>
    <n v="0"/>
    <m/>
    <n v="1"/>
    <m/>
    <n v="0"/>
    <m/>
    <n v="0"/>
    <m/>
    <n v="0"/>
  </r>
  <r>
    <x v="1018"/>
    <n v="45770"/>
    <x v="1"/>
    <x v="3"/>
    <x v="1"/>
    <x v="1"/>
    <x v="1"/>
    <n v="1"/>
    <n v="0"/>
    <n v="0"/>
    <n v="0"/>
    <x v="0"/>
    <n v="0"/>
    <n v="0"/>
    <m/>
    <n v="68.8"/>
    <m/>
    <m/>
    <n v="0"/>
    <m/>
    <n v="1"/>
    <m/>
    <n v="0"/>
    <m/>
    <n v="0"/>
    <m/>
    <n v="0"/>
  </r>
  <r>
    <x v="1019"/>
    <n v="45718"/>
    <x v="1"/>
    <x v="3"/>
    <x v="0"/>
    <x v="2"/>
    <x v="0"/>
    <n v="1"/>
    <n v="0"/>
    <n v="0"/>
    <n v="0"/>
    <x v="0"/>
    <n v="0"/>
    <n v="0"/>
    <m/>
    <n v="63.2"/>
    <m/>
    <m/>
    <n v="0"/>
    <m/>
    <n v="1"/>
    <m/>
    <n v="0"/>
    <m/>
    <n v="0"/>
    <m/>
    <n v="0"/>
  </r>
  <r>
    <x v="1020"/>
    <n v="45659"/>
    <x v="1"/>
    <x v="2"/>
    <x v="1"/>
    <x v="2"/>
    <x v="0"/>
    <n v="0"/>
    <n v="0"/>
    <n v="0"/>
    <n v="0"/>
    <x v="0"/>
    <n v="0"/>
    <n v="0"/>
    <m/>
    <n v="45"/>
    <m/>
    <m/>
    <n v="0"/>
    <m/>
    <n v="0"/>
    <m/>
    <n v="0"/>
    <m/>
    <n v="0"/>
    <m/>
    <n v="0"/>
  </r>
  <r>
    <x v="1021"/>
    <n v="45781"/>
    <x v="1"/>
    <x v="3"/>
    <x v="1"/>
    <x v="1"/>
    <x v="1"/>
    <n v="1"/>
    <n v="0"/>
    <n v="0"/>
    <n v="0"/>
    <x v="0"/>
    <n v="0"/>
    <n v="0"/>
    <m/>
    <n v="77.400000000000006"/>
    <m/>
    <m/>
    <n v="0"/>
    <m/>
    <n v="1"/>
    <m/>
    <n v="0"/>
    <m/>
    <n v="0"/>
    <m/>
    <n v="0"/>
  </r>
  <r>
    <x v="1022"/>
    <n v="45673"/>
    <x v="1"/>
    <x v="2"/>
    <x v="0"/>
    <x v="2"/>
    <x v="0"/>
    <n v="0"/>
    <n v="0"/>
    <n v="0"/>
    <n v="0"/>
    <x v="0"/>
    <n v="0"/>
    <n v="0"/>
    <m/>
    <n v="53.1"/>
    <m/>
    <m/>
    <n v="0"/>
    <m/>
    <n v="0"/>
    <m/>
    <n v="0"/>
    <m/>
    <n v="0"/>
    <m/>
    <n v="0"/>
  </r>
  <r>
    <x v="1023"/>
    <n v="45699"/>
    <x v="1"/>
    <x v="1"/>
    <x v="2"/>
    <x v="2"/>
    <x v="2"/>
    <n v="0"/>
    <n v="0"/>
    <n v="0"/>
    <n v="0"/>
    <x v="0"/>
    <n v="0"/>
    <n v="0"/>
    <m/>
    <n v="74"/>
    <m/>
    <m/>
    <n v="0"/>
    <m/>
    <n v="0"/>
    <m/>
    <n v="0"/>
    <m/>
    <n v="0"/>
    <m/>
    <n v="0"/>
  </r>
  <r>
    <x v="1024"/>
    <n v="45750"/>
    <x v="1"/>
    <x v="0"/>
    <x v="1"/>
    <x v="4"/>
    <x v="2"/>
    <n v="1"/>
    <n v="1"/>
    <n v="1"/>
    <n v="1"/>
    <x v="48"/>
    <n v="0"/>
    <n v="0"/>
    <n v="4"/>
    <n v="84.6"/>
    <m/>
    <m/>
    <n v="0"/>
    <m/>
    <n v="1"/>
    <m/>
    <n v="1"/>
    <m/>
    <n v="1"/>
    <m/>
    <n v="0"/>
  </r>
  <r>
    <x v="1025"/>
    <n v="45742"/>
    <x v="1"/>
    <x v="2"/>
    <x v="1"/>
    <x v="3"/>
    <x v="1"/>
    <n v="1"/>
    <n v="0"/>
    <n v="0"/>
    <n v="0"/>
    <x v="0"/>
    <n v="0"/>
    <n v="0"/>
    <m/>
    <n v="57"/>
    <m/>
    <m/>
    <n v="1"/>
    <m/>
    <n v="1"/>
    <m/>
    <n v="0"/>
    <m/>
    <n v="0"/>
    <m/>
    <n v="0"/>
  </r>
  <r>
    <x v="1026"/>
    <n v="45793"/>
    <x v="1"/>
    <x v="3"/>
    <x v="1"/>
    <x v="0"/>
    <x v="2"/>
    <n v="0"/>
    <n v="0"/>
    <n v="0"/>
    <n v="0"/>
    <x v="0"/>
    <n v="0"/>
    <n v="0"/>
    <m/>
    <n v="46.3"/>
    <m/>
    <m/>
    <n v="0"/>
    <m/>
    <n v="0"/>
    <m/>
    <n v="0"/>
    <m/>
    <n v="0"/>
    <m/>
    <n v="0"/>
  </r>
  <r>
    <x v="1027"/>
    <n v="45767"/>
    <x v="1"/>
    <x v="1"/>
    <x v="1"/>
    <x v="4"/>
    <x v="1"/>
    <n v="0"/>
    <n v="0"/>
    <n v="0"/>
    <n v="0"/>
    <x v="0"/>
    <n v="1"/>
    <n v="0"/>
    <m/>
    <n v="64.400000000000006"/>
    <m/>
    <m/>
    <n v="0"/>
    <m/>
    <n v="0"/>
    <m/>
    <n v="0"/>
    <m/>
    <n v="0"/>
    <m/>
    <n v="1"/>
  </r>
  <r>
    <x v="1028"/>
    <n v="45762"/>
    <x v="1"/>
    <x v="1"/>
    <x v="1"/>
    <x v="2"/>
    <x v="1"/>
    <n v="1"/>
    <n v="0"/>
    <n v="0"/>
    <n v="0"/>
    <x v="0"/>
    <n v="2"/>
    <n v="0"/>
    <m/>
    <n v="61.9"/>
    <m/>
    <m/>
    <n v="0"/>
    <m/>
    <n v="1"/>
    <m/>
    <n v="0"/>
    <m/>
    <n v="0"/>
    <m/>
    <n v="2"/>
  </r>
  <r>
    <x v="1029"/>
    <n v="45681"/>
    <x v="1"/>
    <x v="0"/>
    <x v="1"/>
    <x v="1"/>
    <x v="2"/>
    <n v="1"/>
    <n v="1"/>
    <n v="1"/>
    <n v="0"/>
    <x v="0"/>
    <n v="0"/>
    <n v="0"/>
    <m/>
    <n v="93.7"/>
    <m/>
    <m/>
    <n v="0"/>
    <m/>
    <n v="1"/>
    <m/>
    <n v="1"/>
    <m/>
    <n v="1"/>
    <m/>
    <n v="0"/>
  </r>
  <r>
    <x v="1030"/>
    <n v="45758"/>
    <x v="1"/>
    <x v="3"/>
    <x v="1"/>
    <x v="3"/>
    <x v="0"/>
    <n v="0"/>
    <n v="0"/>
    <n v="0"/>
    <n v="0"/>
    <x v="0"/>
    <n v="0"/>
    <n v="0"/>
    <m/>
    <n v="61.6"/>
    <m/>
    <m/>
    <n v="0"/>
    <m/>
    <n v="0"/>
    <m/>
    <n v="0"/>
    <m/>
    <n v="0"/>
    <m/>
    <n v="0"/>
  </r>
  <r>
    <x v="1031"/>
    <n v="45796"/>
    <x v="1"/>
    <x v="0"/>
    <x v="1"/>
    <x v="2"/>
    <x v="1"/>
    <n v="1"/>
    <n v="0"/>
    <n v="0"/>
    <n v="0"/>
    <x v="0"/>
    <n v="0"/>
    <n v="0"/>
    <m/>
    <n v="72.2"/>
    <m/>
    <m/>
    <n v="0"/>
    <m/>
    <n v="1"/>
    <m/>
    <n v="0"/>
    <m/>
    <n v="0"/>
    <m/>
    <n v="0"/>
  </r>
  <r>
    <x v="1032"/>
    <n v="45671"/>
    <x v="1"/>
    <x v="0"/>
    <x v="1"/>
    <x v="1"/>
    <x v="0"/>
    <n v="0"/>
    <n v="0"/>
    <n v="0"/>
    <n v="0"/>
    <x v="0"/>
    <n v="0"/>
    <n v="0"/>
    <m/>
    <n v="69.5"/>
    <m/>
    <m/>
    <n v="0"/>
    <m/>
    <n v="0"/>
    <m/>
    <n v="0"/>
    <m/>
    <n v="0"/>
    <m/>
    <n v="0"/>
  </r>
  <r>
    <x v="1033"/>
    <n v="45716"/>
    <x v="1"/>
    <x v="2"/>
    <x v="0"/>
    <x v="1"/>
    <x v="0"/>
    <n v="0"/>
    <n v="0"/>
    <n v="0"/>
    <n v="0"/>
    <x v="0"/>
    <n v="0"/>
    <n v="0"/>
    <m/>
    <n v="59.7"/>
    <m/>
    <m/>
    <n v="0"/>
    <m/>
    <n v="0"/>
    <m/>
    <n v="0"/>
    <m/>
    <n v="0"/>
    <m/>
    <n v="0"/>
  </r>
  <r>
    <x v="1034"/>
    <n v="45795"/>
    <x v="1"/>
    <x v="2"/>
    <x v="2"/>
    <x v="2"/>
    <x v="0"/>
    <n v="1"/>
    <n v="0"/>
    <n v="0"/>
    <n v="0"/>
    <x v="0"/>
    <n v="0"/>
    <n v="0"/>
    <m/>
    <n v="73.900000000000006"/>
    <m/>
    <m/>
    <n v="0"/>
    <m/>
    <n v="1"/>
    <m/>
    <n v="0"/>
    <m/>
    <n v="0"/>
    <m/>
    <n v="0"/>
  </r>
  <r>
    <x v="1035"/>
    <n v="45661"/>
    <x v="1"/>
    <x v="0"/>
    <x v="1"/>
    <x v="4"/>
    <x v="1"/>
    <n v="0"/>
    <n v="0"/>
    <n v="0"/>
    <n v="0"/>
    <x v="0"/>
    <n v="0"/>
    <n v="0"/>
    <m/>
    <n v="41.5"/>
    <m/>
    <m/>
    <n v="0"/>
    <m/>
    <n v="0"/>
    <m/>
    <n v="0"/>
    <m/>
    <n v="0"/>
    <m/>
    <n v="0"/>
  </r>
  <r>
    <x v="1036"/>
    <n v="45673"/>
    <x v="1"/>
    <x v="1"/>
    <x v="1"/>
    <x v="4"/>
    <x v="2"/>
    <n v="1"/>
    <n v="0"/>
    <n v="0"/>
    <n v="0"/>
    <x v="0"/>
    <n v="0"/>
    <n v="0"/>
    <m/>
    <n v="82.8"/>
    <m/>
    <m/>
    <n v="0"/>
    <m/>
    <n v="1"/>
    <m/>
    <n v="0"/>
    <m/>
    <n v="0"/>
    <m/>
    <n v="0"/>
  </r>
  <r>
    <x v="1037"/>
    <n v="45730"/>
    <x v="1"/>
    <x v="1"/>
    <x v="1"/>
    <x v="4"/>
    <x v="2"/>
    <n v="1"/>
    <n v="0"/>
    <n v="0"/>
    <n v="0"/>
    <x v="0"/>
    <n v="3"/>
    <n v="0"/>
    <m/>
    <n v="70.2"/>
    <m/>
    <m/>
    <n v="0"/>
    <m/>
    <n v="1"/>
    <m/>
    <n v="0"/>
    <m/>
    <n v="0"/>
    <m/>
    <n v="3"/>
  </r>
  <r>
    <x v="1038"/>
    <n v="45680"/>
    <x v="1"/>
    <x v="2"/>
    <x v="1"/>
    <x v="2"/>
    <x v="0"/>
    <n v="1"/>
    <n v="0"/>
    <n v="0"/>
    <n v="0"/>
    <x v="0"/>
    <n v="1"/>
    <n v="0"/>
    <m/>
    <n v="69.400000000000006"/>
    <m/>
    <m/>
    <n v="0"/>
    <m/>
    <n v="1"/>
    <m/>
    <n v="0"/>
    <m/>
    <n v="0"/>
    <m/>
    <n v="1"/>
  </r>
  <r>
    <x v="1039"/>
    <n v="45691"/>
    <x v="1"/>
    <x v="0"/>
    <x v="0"/>
    <x v="1"/>
    <x v="0"/>
    <n v="1"/>
    <n v="0"/>
    <n v="0"/>
    <n v="0"/>
    <x v="0"/>
    <n v="0"/>
    <n v="0"/>
    <m/>
    <n v="60.4"/>
    <m/>
    <m/>
    <n v="0"/>
    <m/>
    <n v="1"/>
    <m/>
    <n v="0"/>
    <m/>
    <n v="0"/>
    <m/>
    <n v="0"/>
  </r>
  <r>
    <x v="1040"/>
    <n v="45793"/>
    <x v="1"/>
    <x v="2"/>
    <x v="1"/>
    <x v="3"/>
    <x v="1"/>
    <n v="1"/>
    <n v="0"/>
    <n v="0"/>
    <n v="0"/>
    <x v="0"/>
    <n v="0"/>
    <n v="0"/>
    <m/>
    <n v="45.7"/>
    <m/>
    <m/>
    <n v="0"/>
    <m/>
    <n v="1"/>
    <m/>
    <n v="0"/>
    <m/>
    <n v="0"/>
    <m/>
    <n v="0"/>
  </r>
  <r>
    <x v="1041"/>
    <n v="45668"/>
    <x v="1"/>
    <x v="1"/>
    <x v="1"/>
    <x v="1"/>
    <x v="0"/>
    <n v="0"/>
    <n v="0"/>
    <n v="0"/>
    <n v="0"/>
    <x v="0"/>
    <n v="1"/>
    <n v="0"/>
    <m/>
    <n v="42.2"/>
    <m/>
    <m/>
    <n v="0"/>
    <m/>
    <n v="0"/>
    <m/>
    <n v="0"/>
    <m/>
    <n v="0"/>
    <m/>
    <n v="1"/>
  </r>
  <r>
    <x v="1042"/>
    <n v="45802"/>
    <x v="1"/>
    <x v="0"/>
    <x v="0"/>
    <x v="1"/>
    <x v="1"/>
    <n v="0"/>
    <n v="0"/>
    <n v="0"/>
    <n v="0"/>
    <x v="0"/>
    <n v="2"/>
    <n v="0"/>
    <m/>
    <n v="61.9"/>
    <m/>
    <m/>
    <n v="0"/>
    <m/>
    <n v="0"/>
    <m/>
    <n v="0"/>
    <m/>
    <n v="0"/>
    <m/>
    <n v="2"/>
  </r>
  <r>
    <x v="1043"/>
    <n v="45785"/>
    <x v="1"/>
    <x v="2"/>
    <x v="1"/>
    <x v="2"/>
    <x v="2"/>
    <n v="0"/>
    <n v="0"/>
    <n v="0"/>
    <n v="0"/>
    <x v="0"/>
    <n v="0"/>
    <n v="0"/>
    <m/>
    <n v="44.9"/>
    <m/>
    <m/>
    <n v="0"/>
    <m/>
    <n v="0"/>
    <m/>
    <n v="0"/>
    <m/>
    <n v="0"/>
    <m/>
    <n v="0"/>
  </r>
  <r>
    <x v="1044"/>
    <n v="45714"/>
    <x v="1"/>
    <x v="2"/>
    <x v="0"/>
    <x v="5"/>
    <x v="0"/>
    <n v="1"/>
    <n v="0"/>
    <n v="0"/>
    <n v="0"/>
    <x v="0"/>
    <n v="0"/>
    <n v="0"/>
    <m/>
    <n v="68"/>
    <m/>
    <m/>
    <n v="0"/>
    <m/>
    <n v="1"/>
    <m/>
    <n v="0"/>
    <m/>
    <n v="0"/>
    <m/>
    <n v="0"/>
  </r>
  <r>
    <x v="1045"/>
    <n v="45746"/>
    <x v="1"/>
    <x v="0"/>
    <x v="1"/>
    <x v="2"/>
    <x v="1"/>
    <n v="1"/>
    <n v="0"/>
    <n v="0"/>
    <n v="0"/>
    <x v="0"/>
    <n v="0"/>
    <n v="0"/>
    <m/>
    <n v="61"/>
    <m/>
    <m/>
    <n v="0"/>
    <m/>
    <n v="1"/>
    <m/>
    <n v="0"/>
    <m/>
    <n v="0"/>
    <m/>
    <n v="0"/>
  </r>
  <r>
    <x v="1046"/>
    <n v="45760"/>
    <x v="1"/>
    <x v="1"/>
    <x v="1"/>
    <x v="1"/>
    <x v="0"/>
    <n v="1"/>
    <n v="0"/>
    <n v="0"/>
    <n v="0"/>
    <x v="0"/>
    <n v="0"/>
    <n v="0"/>
    <m/>
    <n v="55"/>
    <m/>
    <m/>
    <n v="0"/>
    <m/>
    <n v="1"/>
    <m/>
    <n v="0"/>
    <m/>
    <n v="0"/>
    <m/>
    <n v="0"/>
  </r>
  <r>
    <x v="1047"/>
    <n v="45708"/>
    <x v="1"/>
    <x v="2"/>
    <x v="3"/>
    <x v="2"/>
    <x v="0"/>
    <n v="1"/>
    <n v="0"/>
    <n v="0"/>
    <n v="0"/>
    <x v="0"/>
    <n v="0"/>
    <n v="0"/>
    <m/>
    <n v="63.1"/>
    <m/>
    <m/>
    <n v="0"/>
    <m/>
    <n v="1"/>
    <m/>
    <n v="0"/>
    <m/>
    <n v="0"/>
    <m/>
    <n v="0"/>
  </r>
  <r>
    <x v="1048"/>
    <n v="45766"/>
    <x v="1"/>
    <x v="1"/>
    <x v="0"/>
    <x v="4"/>
    <x v="1"/>
    <n v="1"/>
    <n v="0"/>
    <n v="0"/>
    <n v="0"/>
    <x v="0"/>
    <n v="0"/>
    <n v="0"/>
    <m/>
    <n v="75.8"/>
    <m/>
    <m/>
    <n v="0"/>
    <m/>
    <n v="1"/>
    <m/>
    <n v="0"/>
    <m/>
    <n v="0"/>
    <m/>
    <n v="0"/>
  </r>
  <r>
    <x v="1049"/>
    <n v="45738"/>
    <x v="1"/>
    <x v="3"/>
    <x v="1"/>
    <x v="2"/>
    <x v="1"/>
    <n v="1"/>
    <n v="1"/>
    <n v="0"/>
    <n v="0"/>
    <x v="0"/>
    <n v="1"/>
    <n v="0"/>
    <m/>
    <n v="43.8"/>
    <m/>
    <m/>
    <n v="0"/>
    <m/>
    <n v="1"/>
    <m/>
    <n v="1"/>
    <m/>
    <n v="0"/>
    <m/>
    <n v="1"/>
  </r>
  <r>
    <x v="1050"/>
    <n v="45716"/>
    <x v="1"/>
    <x v="0"/>
    <x v="1"/>
    <x v="0"/>
    <x v="0"/>
    <n v="1"/>
    <n v="1"/>
    <n v="0"/>
    <n v="0"/>
    <x v="0"/>
    <n v="0"/>
    <n v="0"/>
    <m/>
    <n v="46.8"/>
    <m/>
    <m/>
    <n v="0"/>
    <m/>
    <n v="1"/>
    <m/>
    <n v="1"/>
    <m/>
    <n v="0"/>
    <m/>
    <n v="0"/>
  </r>
  <r>
    <x v="1051"/>
    <n v="45801"/>
    <x v="1"/>
    <x v="2"/>
    <x v="1"/>
    <x v="4"/>
    <x v="1"/>
    <n v="1"/>
    <n v="1"/>
    <n v="1"/>
    <n v="0"/>
    <x v="0"/>
    <n v="0"/>
    <n v="0"/>
    <m/>
    <n v="97.4"/>
    <m/>
    <m/>
    <n v="0"/>
    <m/>
    <n v="1"/>
    <m/>
    <n v="1"/>
    <m/>
    <n v="1"/>
    <m/>
    <n v="0"/>
  </r>
  <r>
    <x v="1052"/>
    <n v="45691"/>
    <x v="1"/>
    <x v="0"/>
    <x v="0"/>
    <x v="0"/>
    <x v="1"/>
    <n v="1"/>
    <n v="1"/>
    <n v="1"/>
    <n v="1"/>
    <x v="49"/>
    <n v="0"/>
    <n v="0"/>
    <n v="14"/>
    <n v="81"/>
    <m/>
    <m/>
    <n v="0"/>
    <m/>
    <n v="1"/>
    <m/>
    <n v="1"/>
    <m/>
    <n v="1"/>
    <m/>
    <n v="0"/>
  </r>
  <r>
    <x v="1053"/>
    <n v="45684"/>
    <x v="1"/>
    <x v="3"/>
    <x v="1"/>
    <x v="1"/>
    <x v="1"/>
    <n v="1"/>
    <n v="0"/>
    <n v="0"/>
    <n v="0"/>
    <x v="0"/>
    <n v="1"/>
    <n v="0"/>
    <m/>
    <n v="58.9"/>
    <m/>
    <m/>
    <n v="1"/>
    <m/>
    <n v="1"/>
    <m/>
    <n v="0"/>
    <m/>
    <n v="0"/>
    <m/>
    <n v="1"/>
  </r>
  <r>
    <x v="1054"/>
    <n v="45764"/>
    <x v="1"/>
    <x v="2"/>
    <x v="1"/>
    <x v="1"/>
    <x v="1"/>
    <n v="1"/>
    <n v="0"/>
    <n v="0"/>
    <n v="0"/>
    <x v="0"/>
    <n v="0"/>
    <n v="0"/>
    <m/>
    <n v="51.9"/>
    <m/>
    <m/>
    <n v="0"/>
    <m/>
    <n v="1"/>
    <m/>
    <n v="0"/>
    <m/>
    <n v="0"/>
    <m/>
    <n v="0"/>
  </r>
  <r>
    <x v="1055"/>
    <n v="45694"/>
    <x v="1"/>
    <x v="1"/>
    <x v="1"/>
    <x v="4"/>
    <x v="1"/>
    <n v="1"/>
    <n v="1"/>
    <n v="0"/>
    <n v="0"/>
    <x v="0"/>
    <n v="0"/>
    <n v="0"/>
    <m/>
    <n v="61.7"/>
    <m/>
    <m/>
    <n v="0"/>
    <m/>
    <n v="1"/>
    <m/>
    <n v="1"/>
    <m/>
    <n v="0"/>
    <m/>
    <n v="0"/>
  </r>
  <r>
    <x v="1056"/>
    <n v="45767"/>
    <x v="1"/>
    <x v="3"/>
    <x v="1"/>
    <x v="2"/>
    <x v="1"/>
    <n v="1"/>
    <n v="0"/>
    <n v="0"/>
    <n v="0"/>
    <x v="0"/>
    <n v="0"/>
    <n v="0"/>
    <m/>
    <n v="44.7"/>
    <m/>
    <m/>
    <n v="0"/>
    <m/>
    <n v="1"/>
    <m/>
    <n v="0"/>
    <m/>
    <n v="0"/>
    <m/>
    <n v="0"/>
  </r>
  <r>
    <x v="1057"/>
    <n v="45783"/>
    <x v="1"/>
    <x v="0"/>
    <x v="1"/>
    <x v="2"/>
    <x v="0"/>
    <n v="0"/>
    <n v="0"/>
    <n v="0"/>
    <n v="0"/>
    <x v="0"/>
    <n v="0"/>
    <n v="0"/>
    <m/>
    <n v="63.2"/>
    <m/>
    <m/>
    <n v="0"/>
    <m/>
    <n v="0"/>
    <m/>
    <n v="0"/>
    <m/>
    <n v="0"/>
    <m/>
    <n v="0"/>
  </r>
  <r>
    <x v="1058"/>
    <n v="45793"/>
    <x v="1"/>
    <x v="3"/>
    <x v="1"/>
    <x v="1"/>
    <x v="1"/>
    <n v="1"/>
    <n v="0"/>
    <n v="0"/>
    <n v="0"/>
    <x v="0"/>
    <n v="0"/>
    <n v="0"/>
    <m/>
    <n v="70.3"/>
    <m/>
    <m/>
    <n v="0"/>
    <m/>
    <n v="1"/>
    <m/>
    <n v="0"/>
    <m/>
    <n v="0"/>
    <m/>
    <n v="0"/>
  </r>
  <r>
    <x v="1059"/>
    <n v="45718"/>
    <x v="1"/>
    <x v="3"/>
    <x v="1"/>
    <x v="2"/>
    <x v="2"/>
    <n v="1"/>
    <n v="1"/>
    <n v="0"/>
    <n v="0"/>
    <x v="0"/>
    <n v="1"/>
    <n v="0"/>
    <m/>
    <n v="83.1"/>
    <m/>
    <m/>
    <n v="0"/>
    <m/>
    <n v="1"/>
    <m/>
    <n v="1"/>
    <m/>
    <n v="0"/>
    <m/>
    <n v="1"/>
  </r>
  <r>
    <x v="1060"/>
    <n v="45756"/>
    <x v="1"/>
    <x v="1"/>
    <x v="1"/>
    <x v="4"/>
    <x v="1"/>
    <n v="0"/>
    <n v="0"/>
    <n v="0"/>
    <n v="0"/>
    <x v="0"/>
    <n v="0"/>
    <n v="0"/>
    <m/>
    <n v="50.3"/>
    <m/>
    <m/>
    <n v="0"/>
    <m/>
    <n v="0"/>
    <m/>
    <n v="0"/>
    <m/>
    <n v="0"/>
    <m/>
    <n v="0"/>
  </r>
  <r>
    <x v="1061"/>
    <n v="45683"/>
    <x v="1"/>
    <x v="2"/>
    <x v="1"/>
    <x v="2"/>
    <x v="1"/>
    <n v="1"/>
    <n v="1"/>
    <n v="1"/>
    <n v="1"/>
    <x v="50"/>
    <n v="2"/>
    <n v="1"/>
    <n v="1"/>
    <n v="58.2"/>
    <m/>
    <m/>
    <n v="0"/>
    <m/>
    <n v="1"/>
    <m/>
    <n v="1"/>
    <m/>
    <n v="1"/>
    <m/>
    <n v="2"/>
  </r>
  <r>
    <x v="1062"/>
    <n v="45713"/>
    <x v="1"/>
    <x v="3"/>
    <x v="1"/>
    <x v="2"/>
    <x v="0"/>
    <n v="1"/>
    <n v="1"/>
    <n v="1"/>
    <n v="0"/>
    <x v="0"/>
    <n v="0"/>
    <n v="0"/>
    <m/>
    <n v="53.2"/>
    <m/>
    <m/>
    <n v="1"/>
    <m/>
    <n v="1"/>
    <m/>
    <n v="1"/>
    <m/>
    <n v="1"/>
    <m/>
    <n v="0"/>
  </r>
  <r>
    <x v="1063"/>
    <n v="45664"/>
    <x v="1"/>
    <x v="2"/>
    <x v="1"/>
    <x v="1"/>
    <x v="2"/>
    <n v="0"/>
    <n v="0"/>
    <n v="0"/>
    <n v="0"/>
    <x v="0"/>
    <n v="0"/>
    <n v="0"/>
    <m/>
    <n v="36.4"/>
    <m/>
    <m/>
    <n v="0"/>
    <m/>
    <n v="0"/>
    <m/>
    <n v="0"/>
    <m/>
    <n v="0"/>
    <m/>
    <n v="0"/>
  </r>
  <r>
    <x v="1064"/>
    <n v="45724"/>
    <x v="1"/>
    <x v="3"/>
    <x v="1"/>
    <x v="4"/>
    <x v="0"/>
    <n v="1"/>
    <n v="1"/>
    <n v="1"/>
    <n v="0"/>
    <x v="0"/>
    <n v="0"/>
    <n v="0"/>
    <m/>
    <n v="72.7"/>
    <m/>
    <m/>
    <n v="0"/>
    <m/>
    <n v="1"/>
    <m/>
    <n v="1"/>
    <m/>
    <n v="1"/>
    <m/>
    <n v="0"/>
  </r>
  <r>
    <x v="1065"/>
    <n v="45799"/>
    <x v="1"/>
    <x v="2"/>
    <x v="1"/>
    <x v="3"/>
    <x v="1"/>
    <n v="1"/>
    <n v="0"/>
    <n v="0"/>
    <n v="0"/>
    <x v="0"/>
    <n v="1"/>
    <n v="0"/>
    <m/>
    <n v="86.7"/>
    <m/>
    <m/>
    <n v="0"/>
    <m/>
    <n v="1"/>
    <m/>
    <n v="0"/>
    <m/>
    <n v="0"/>
    <m/>
    <n v="1"/>
  </r>
  <r>
    <x v="1066"/>
    <n v="45765"/>
    <x v="1"/>
    <x v="2"/>
    <x v="1"/>
    <x v="2"/>
    <x v="2"/>
    <n v="1"/>
    <n v="0"/>
    <n v="0"/>
    <n v="0"/>
    <x v="0"/>
    <n v="0"/>
    <n v="0"/>
    <m/>
    <n v="48.2"/>
    <m/>
    <m/>
    <n v="0"/>
    <m/>
    <n v="1"/>
    <m/>
    <n v="0"/>
    <m/>
    <n v="0"/>
    <m/>
    <n v="0"/>
  </r>
  <r>
    <x v="1067"/>
    <n v="45712"/>
    <x v="1"/>
    <x v="1"/>
    <x v="1"/>
    <x v="3"/>
    <x v="0"/>
    <n v="0"/>
    <n v="0"/>
    <n v="0"/>
    <n v="0"/>
    <x v="0"/>
    <n v="1"/>
    <n v="0"/>
    <m/>
    <n v="57.6"/>
    <m/>
    <m/>
    <n v="0"/>
    <m/>
    <n v="0"/>
    <m/>
    <n v="0"/>
    <m/>
    <n v="0"/>
    <m/>
    <n v="1"/>
  </r>
  <r>
    <x v="1068"/>
    <n v="45699"/>
    <x v="1"/>
    <x v="0"/>
    <x v="1"/>
    <x v="1"/>
    <x v="1"/>
    <n v="1"/>
    <n v="1"/>
    <n v="1"/>
    <n v="0"/>
    <x v="0"/>
    <n v="0"/>
    <n v="0"/>
    <m/>
    <n v="75.7"/>
    <m/>
    <m/>
    <n v="0"/>
    <m/>
    <n v="1"/>
    <m/>
    <n v="1"/>
    <m/>
    <n v="1"/>
    <m/>
    <n v="0"/>
  </r>
  <r>
    <x v="1069"/>
    <n v="45727"/>
    <x v="1"/>
    <x v="1"/>
    <x v="0"/>
    <x v="2"/>
    <x v="1"/>
    <n v="1"/>
    <n v="0"/>
    <n v="0"/>
    <n v="0"/>
    <x v="0"/>
    <n v="2"/>
    <n v="0"/>
    <m/>
    <n v="48.6"/>
    <m/>
    <m/>
    <n v="0"/>
    <m/>
    <n v="1"/>
    <m/>
    <n v="0"/>
    <m/>
    <n v="0"/>
    <m/>
    <n v="2"/>
  </r>
  <r>
    <x v="1070"/>
    <n v="45758"/>
    <x v="1"/>
    <x v="2"/>
    <x v="2"/>
    <x v="3"/>
    <x v="1"/>
    <n v="1"/>
    <n v="1"/>
    <n v="1"/>
    <n v="0"/>
    <x v="0"/>
    <n v="0"/>
    <n v="0"/>
    <m/>
    <n v="72"/>
    <m/>
    <m/>
    <n v="0"/>
    <m/>
    <n v="1"/>
    <m/>
    <n v="1"/>
    <m/>
    <n v="1"/>
    <m/>
    <n v="0"/>
  </r>
  <r>
    <x v="1071"/>
    <n v="45727"/>
    <x v="1"/>
    <x v="0"/>
    <x v="1"/>
    <x v="1"/>
    <x v="1"/>
    <n v="0"/>
    <n v="0"/>
    <n v="0"/>
    <n v="0"/>
    <x v="0"/>
    <n v="0"/>
    <n v="0"/>
    <m/>
    <n v="72.2"/>
    <m/>
    <m/>
    <n v="0"/>
    <m/>
    <n v="0"/>
    <m/>
    <n v="0"/>
    <m/>
    <n v="0"/>
    <m/>
    <n v="0"/>
  </r>
  <r>
    <x v="1072"/>
    <n v="45799"/>
    <x v="1"/>
    <x v="2"/>
    <x v="1"/>
    <x v="3"/>
    <x v="1"/>
    <n v="1"/>
    <n v="0"/>
    <n v="0"/>
    <n v="0"/>
    <x v="0"/>
    <n v="1"/>
    <n v="0"/>
    <m/>
    <m/>
    <m/>
    <m/>
    <n v="0"/>
    <m/>
    <n v="1"/>
    <m/>
    <n v="0"/>
    <m/>
    <n v="0"/>
    <m/>
    <n v="1"/>
  </r>
  <r>
    <x v="1073"/>
    <n v="45710"/>
    <x v="1"/>
    <x v="3"/>
    <x v="0"/>
    <x v="1"/>
    <x v="1"/>
    <n v="1"/>
    <n v="1"/>
    <n v="1"/>
    <n v="1"/>
    <x v="51"/>
    <n v="2"/>
    <n v="0"/>
    <n v="4"/>
    <n v="56.8"/>
    <m/>
    <m/>
    <n v="0"/>
    <m/>
    <n v="1"/>
    <m/>
    <n v="1"/>
    <m/>
    <n v="1"/>
    <m/>
    <n v="2"/>
  </r>
  <r>
    <x v="1074"/>
    <n v="45670"/>
    <x v="1"/>
    <x v="2"/>
    <x v="1"/>
    <x v="2"/>
    <x v="0"/>
    <n v="1"/>
    <n v="0"/>
    <n v="0"/>
    <n v="0"/>
    <x v="0"/>
    <n v="0"/>
    <n v="0"/>
    <m/>
    <n v="62.5"/>
    <m/>
    <m/>
    <n v="1"/>
    <m/>
    <n v="1"/>
    <m/>
    <n v="0"/>
    <m/>
    <n v="0"/>
    <m/>
    <n v="0"/>
  </r>
  <r>
    <x v="1075"/>
    <n v="45796"/>
    <x v="1"/>
    <x v="3"/>
    <x v="1"/>
    <x v="1"/>
    <x v="1"/>
    <n v="1"/>
    <n v="0"/>
    <n v="0"/>
    <n v="0"/>
    <x v="0"/>
    <n v="0"/>
    <n v="0"/>
    <m/>
    <n v="63.4"/>
    <m/>
    <m/>
    <n v="0"/>
    <m/>
    <n v="1"/>
    <m/>
    <n v="0"/>
    <m/>
    <n v="0"/>
    <m/>
    <n v="0"/>
  </r>
  <r>
    <x v="1076"/>
    <n v="45724"/>
    <x v="1"/>
    <x v="0"/>
    <x v="2"/>
    <x v="1"/>
    <x v="0"/>
    <n v="1"/>
    <n v="1"/>
    <n v="1"/>
    <n v="1"/>
    <x v="52"/>
    <n v="0"/>
    <n v="0"/>
    <n v="3"/>
    <n v="46.8"/>
    <m/>
    <m/>
    <n v="0"/>
    <m/>
    <n v="1"/>
    <m/>
    <n v="1"/>
    <m/>
    <n v="1"/>
    <m/>
    <n v="0"/>
  </r>
  <r>
    <x v="1077"/>
    <n v="45767"/>
    <x v="1"/>
    <x v="3"/>
    <x v="1"/>
    <x v="1"/>
    <x v="1"/>
    <n v="1"/>
    <n v="1"/>
    <n v="1"/>
    <n v="1"/>
    <x v="53"/>
    <n v="0"/>
    <n v="0"/>
    <n v="8"/>
    <n v="86.5"/>
    <m/>
    <m/>
    <n v="1"/>
    <m/>
    <n v="1"/>
    <m/>
    <n v="1"/>
    <m/>
    <n v="1"/>
    <m/>
    <n v="0"/>
  </r>
  <r>
    <x v="1078"/>
    <n v="45785"/>
    <x v="1"/>
    <x v="1"/>
    <x v="1"/>
    <x v="0"/>
    <x v="0"/>
    <n v="0"/>
    <n v="0"/>
    <n v="0"/>
    <n v="0"/>
    <x v="0"/>
    <n v="1"/>
    <n v="0"/>
    <m/>
    <n v="75.099999999999994"/>
    <m/>
    <m/>
    <n v="1"/>
    <m/>
    <n v="0"/>
    <m/>
    <n v="0"/>
    <m/>
    <n v="0"/>
    <m/>
    <n v="1"/>
  </r>
  <r>
    <x v="1079"/>
    <n v="45787"/>
    <x v="1"/>
    <x v="3"/>
    <x v="1"/>
    <x v="1"/>
    <x v="0"/>
    <n v="1"/>
    <n v="0"/>
    <n v="0"/>
    <n v="0"/>
    <x v="0"/>
    <n v="0"/>
    <n v="0"/>
    <m/>
    <n v="64.5"/>
    <m/>
    <m/>
    <n v="0"/>
    <m/>
    <n v="1"/>
    <m/>
    <n v="0"/>
    <m/>
    <n v="0"/>
    <m/>
    <n v="0"/>
  </r>
  <r>
    <x v="1080"/>
    <n v="45744"/>
    <x v="1"/>
    <x v="2"/>
    <x v="1"/>
    <x v="1"/>
    <x v="1"/>
    <n v="1"/>
    <n v="0"/>
    <n v="0"/>
    <n v="0"/>
    <x v="0"/>
    <n v="0"/>
    <n v="0"/>
    <m/>
    <n v="54.2"/>
    <m/>
    <m/>
    <n v="0"/>
    <m/>
    <n v="1"/>
    <m/>
    <n v="0"/>
    <m/>
    <n v="0"/>
    <m/>
    <n v="0"/>
  </r>
  <r>
    <x v="1081"/>
    <n v="45777"/>
    <x v="1"/>
    <x v="2"/>
    <x v="1"/>
    <x v="2"/>
    <x v="2"/>
    <n v="1"/>
    <n v="1"/>
    <n v="1"/>
    <n v="0"/>
    <x v="0"/>
    <n v="0"/>
    <n v="0"/>
    <m/>
    <n v="84.1"/>
    <m/>
    <m/>
    <n v="0"/>
    <m/>
    <n v="1"/>
    <m/>
    <n v="1"/>
    <m/>
    <n v="1"/>
    <m/>
    <n v="0"/>
  </r>
  <r>
    <x v="1082"/>
    <n v="45696"/>
    <x v="1"/>
    <x v="0"/>
    <x v="1"/>
    <x v="1"/>
    <x v="0"/>
    <n v="0"/>
    <n v="0"/>
    <n v="0"/>
    <n v="0"/>
    <x v="0"/>
    <n v="1"/>
    <n v="0"/>
    <m/>
    <n v="49.1"/>
    <m/>
    <m/>
    <n v="0"/>
    <m/>
    <n v="0"/>
    <m/>
    <n v="0"/>
    <m/>
    <n v="0"/>
    <m/>
    <n v="1"/>
  </r>
  <r>
    <x v="1083"/>
    <n v="45723"/>
    <x v="1"/>
    <x v="3"/>
    <x v="1"/>
    <x v="3"/>
    <x v="2"/>
    <n v="0"/>
    <n v="0"/>
    <n v="0"/>
    <n v="0"/>
    <x v="0"/>
    <n v="0"/>
    <n v="0"/>
    <m/>
    <n v="92.7"/>
    <m/>
    <m/>
    <n v="0"/>
    <m/>
    <n v="0"/>
    <m/>
    <n v="0"/>
    <m/>
    <n v="0"/>
    <m/>
    <n v="0"/>
  </r>
  <r>
    <x v="1084"/>
    <n v="45798"/>
    <x v="1"/>
    <x v="3"/>
    <x v="1"/>
    <x v="4"/>
    <x v="0"/>
    <n v="1"/>
    <n v="1"/>
    <n v="1"/>
    <n v="0"/>
    <x v="0"/>
    <n v="1"/>
    <n v="0"/>
    <m/>
    <n v="58.7"/>
    <m/>
    <m/>
    <n v="0"/>
    <m/>
    <n v="1"/>
    <m/>
    <n v="1"/>
    <m/>
    <n v="1"/>
    <m/>
    <n v="1"/>
  </r>
  <r>
    <x v="1085"/>
    <n v="45759"/>
    <x v="1"/>
    <x v="3"/>
    <x v="1"/>
    <x v="4"/>
    <x v="1"/>
    <n v="1"/>
    <n v="1"/>
    <n v="1"/>
    <n v="0"/>
    <x v="0"/>
    <n v="0"/>
    <n v="0"/>
    <m/>
    <n v="59.3"/>
    <m/>
    <m/>
    <n v="0"/>
    <m/>
    <n v="1"/>
    <m/>
    <n v="1"/>
    <m/>
    <n v="1"/>
    <m/>
    <n v="0"/>
  </r>
  <r>
    <x v="1086"/>
    <n v="45690"/>
    <x v="1"/>
    <x v="3"/>
    <x v="1"/>
    <x v="2"/>
    <x v="1"/>
    <n v="1"/>
    <n v="0"/>
    <n v="0"/>
    <n v="0"/>
    <x v="0"/>
    <n v="0"/>
    <n v="0"/>
    <m/>
    <n v="62"/>
    <m/>
    <m/>
    <n v="0"/>
    <m/>
    <n v="1"/>
    <m/>
    <n v="0"/>
    <m/>
    <n v="0"/>
    <m/>
    <n v="0"/>
  </r>
  <r>
    <x v="1087"/>
    <n v="45769"/>
    <x v="1"/>
    <x v="0"/>
    <x v="2"/>
    <x v="3"/>
    <x v="1"/>
    <n v="1"/>
    <n v="1"/>
    <n v="1"/>
    <n v="0"/>
    <x v="0"/>
    <n v="1"/>
    <n v="0"/>
    <m/>
    <n v="60.3"/>
    <m/>
    <m/>
    <n v="0"/>
    <m/>
    <n v="1"/>
    <m/>
    <n v="1"/>
    <m/>
    <n v="1"/>
    <m/>
    <n v="1"/>
  </r>
  <r>
    <x v="1088"/>
    <n v="45696"/>
    <x v="1"/>
    <x v="0"/>
    <x v="1"/>
    <x v="4"/>
    <x v="0"/>
    <n v="1"/>
    <n v="0"/>
    <n v="0"/>
    <n v="0"/>
    <x v="0"/>
    <n v="0"/>
    <n v="0"/>
    <m/>
    <n v="70.5"/>
    <m/>
    <m/>
    <n v="0"/>
    <m/>
    <n v="1"/>
    <m/>
    <n v="0"/>
    <m/>
    <n v="0"/>
    <m/>
    <n v="0"/>
  </r>
  <r>
    <x v="1089"/>
    <n v="45681"/>
    <x v="1"/>
    <x v="3"/>
    <x v="0"/>
    <x v="0"/>
    <x v="1"/>
    <n v="1"/>
    <n v="0"/>
    <n v="0"/>
    <n v="0"/>
    <x v="0"/>
    <n v="0"/>
    <n v="0"/>
    <m/>
    <n v="36.799999999999997"/>
    <m/>
    <m/>
    <n v="0"/>
    <m/>
    <n v="1"/>
    <m/>
    <n v="0"/>
    <m/>
    <n v="0"/>
    <m/>
    <n v="0"/>
  </r>
  <r>
    <x v="1090"/>
    <n v="45789"/>
    <x v="1"/>
    <x v="3"/>
    <x v="1"/>
    <x v="2"/>
    <x v="0"/>
    <n v="0"/>
    <n v="0"/>
    <n v="0"/>
    <n v="0"/>
    <x v="0"/>
    <n v="1"/>
    <n v="0"/>
    <m/>
    <n v="73.2"/>
    <m/>
    <m/>
    <n v="0"/>
    <m/>
    <n v="0"/>
    <m/>
    <n v="0"/>
    <m/>
    <n v="0"/>
    <m/>
    <n v="1"/>
  </r>
  <r>
    <x v="1091"/>
    <n v="45746"/>
    <x v="1"/>
    <x v="0"/>
    <x v="1"/>
    <x v="1"/>
    <x v="0"/>
    <n v="0"/>
    <n v="0"/>
    <n v="0"/>
    <n v="0"/>
    <x v="0"/>
    <n v="0"/>
    <n v="0"/>
    <m/>
    <n v="70.099999999999994"/>
    <m/>
    <m/>
    <n v="0"/>
    <m/>
    <n v="0"/>
    <m/>
    <n v="0"/>
    <m/>
    <n v="0"/>
    <m/>
    <n v="0"/>
  </r>
  <r>
    <x v="1092"/>
    <n v="45659"/>
    <x v="1"/>
    <x v="3"/>
    <x v="0"/>
    <x v="2"/>
    <x v="0"/>
    <n v="1"/>
    <n v="0"/>
    <n v="0"/>
    <n v="0"/>
    <x v="0"/>
    <n v="0"/>
    <n v="0"/>
    <m/>
    <n v="76.400000000000006"/>
    <m/>
    <m/>
    <n v="0"/>
    <m/>
    <n v="1"/>
    <m/>
    <n v="0"/>
    <m/>
    <n v="0"/>
    <m/>
    <n v="0"/>
  </r>
  <r>
    <x v="1093"/>
    <n v="45737"/>
    <x v="1"/>
    <x v="3"/>
    <x v="2"/>
    <x v="0"/>
    <x v="0"/>
    <n v="0"/>
    <n v="0"/>
    <n v="0"/>
    <n v="0"/>
    <x v="0"/>
    <n v="0"/>
    <n v="0"/>
    <m/>
    <n v="46.4"/>
    <m/>
    <m/>
    <n v="0"/>
    <m/>
    <n v="0"/>
    <m/>
    <n v="0"/>
    <m/>
    <n v="0"/>
    <m/>
    <n v="0"/>
  </r>
  <r>
    <x v="1094"/>
    <n v="45682"/>
    <x v="1"/>
    <x v="1"/>
    <x v="1"/>
    <x v="1"/>
    <x v="1"/>
    <n v="1"/>
    <n v="1"/>
    <n v="1"/>
    <n v="0"/>
    <x v="0"/>
    <n v="1"/>
    <n v="0"/>
    <m/>
    <n v="81.3"/>
    <m/>
    <m/>
    <n v="0"/>
    <m/>
    <n v="1"/>
    <m/>
    <n v="1"/>
    <m/>
    <n v="1"/>
    <m/>
    <n v="1"/>
  </r>
  <r>
    <x v="1095"/>
    <n v="45669"/>
    <x v="1"/>
    <x v="3"/>
    <x v="2"/>
    <x v="4"/>
    <x v="1"/>
    <n v="1"/>
    <n v="1"/>
    <n v="1"/>
    <n v="0"/>
    <x v="0"/>
    <n v="0"/>
    <n v="0"/>
    <m/>
    <n v="55.3"/>
    <m/>
    <m/>
    <n v="0"/>
    <m/>
    <n v="1"/>
    <m/>
    <n v="1"/>
    <m/>
    <n v="1"/>
    <m/>
    <n v="0"/>
  </r>
  <r>
    <x v="1096"/>
    <n v="45734"/>
    <x v="1"/>
    <x v="2"/>
    <x v="0"/>
    <x v="3"/>
    <x v="1"/>
    <n v="1"/>
    <n v="0"/>
    <n v="0"/>
    <n v="0"/>
    <x v="0"/>
    <n v="0"/>
    <n v="0"/>
    <m/>
    <n v="44.7"/>
    <m/>
    <m/>
    <n v="0"/>
    <m/>
    <n v="1"/>
    <m/>
    <n v="0"/>
    <m/>
    <n v="0"/>
    <m/>
    <n v="0"/>
  </r>
  <r>
    <x v="1097"/>
    <n v="45742"/>
    <x v="1"/>
    <x v="2"/>
    <x v="1"/>
    <x v="2"/>
    <x v="0"/>
    <n v="1"/>
    <n v="0"/>
    <n v="0"/>
    <n v="0"/>
    <x v="0"/>
    <n v="0"/>
    <n v="0"/>
    <m/>
    <n v="67.2"/>
    <m/>
    <m/>
    <n v="0"/>
    <m/>
    <n v="1"/>
    <m/>
    <n v="0"/>
    <m/>
    <n v="0"/>
    <m/>
    <n v="0"/>
  </r>
  <r>
    <x v="1098"/>
    <n v="45766"/>
    <x v="1"/>
    <x v="0"/>
    <x v="1"/>
    <x v="2"/>
    <x v="0"/>
    <n v="1"/>
    <n v="0"/>
    <n v="0"/>
    <n v="0"/>
    <x v="0"/>
    <n v="0"/>
    <n v="0"/>
    <m/>
    <m/>
    <m/>
    <m/>
    <n v="0"/>
    <m/>
    <n v="1"/>
    <m/>
    <n v="0"/>
    <m/>
    <n v="0"/>
    <m/>
    <n v="0"/>
  </r>
  <r>
    <x v="1099"/>
    <n v="45764"/>
    <x v="1"/>
    <x v="2"/>
    <x v="1"/>
    <x v="1"/>
    <x v="2"/>
    <n v="1"/>
    <n v="1"/>
    <n v="1"/>
    <n v="0"/>
    <x v="0"/>
    <n v="1"/>
    <n v="0"/>
    <m/>
    <n v="70.8"/>
    <m/>
    <m/>
    <n v="0"/>
    <m/>
    <n v="1"/>
    <m/>
    <n v="1"/>
    <m/>
    <n v="1"/>
    <m/>
    <n v="1"/>
  </r>
  <r>
    <x v="1100"/>
    <n v="45803"/>
    <x v="1"/>
    <x v="3"/>
    <x v="1"/>
    <x v="2"/>
    <x v="1"/>
    <n v="1"/>
    <n v="0"/>
    <n v="0"/>
    <n v="0"/>
    <x v="0"/>
    <n v="0"/>
    <n v="0"/>
    <m/>
    <n v="71.3"/>
    <m/>
    <m/>
    <n v="0"/>
    <m/>
    <n v="1"/>
    <m/>
    <n v="0"/>
    <m/>
    <n v="0"/>
    <m/>
    <n v="0"/>
  </r>
  <r>
    <x v="1101"/>
    <n v="45761"/>
    <x v="1"/>
    <x v="0"/>
    <x v="1"/>
    <x v="4"/>
    <x v="2"/>
    <n v="1"/>
    <n v="1"/>
    <n v="1"/>
    <n v="0"/>
    <x v="0"/>
    <n v="0"/>
    <n v="0"/>
    <m/>
    <n v="69.400000000000006"/>
    <m/>
    <m/>
    <n v="0"/>
    <m/>
    <n v="1"/>
    <m/>
    <n v="1"/>
    <m/>
    <n v="1"/>
    <m/>
    <n v="0"/>
  </r>
  <r>
    <x v="1102"/>
    <n v="45680"/>
    <x v="1"/>
    <x v="3"/>
    <x v="1"/>
    <x v="1"/>
    <x v="0"/>
    <n v="1"/>
    <n v="1"/>
    <n v="0"/>
    <n v="0"/>
    <x v="0"/>
    <n v="0"/>
    <n v="0"/>
    <m/>
    <n v="58.9"/>
    <m/>
    <m/>
    <n v="0"/>
    <m/>
    <n v="1"/>
    <m/>
    <n v="1"/>
    <m/>
    <n v="0"/>
    <m/>
    <n v="0"/>
  </r>
  <r>
    <x v="1103"/>
    <n v="45663"/>
    <x v="1"/>
    <x v="2"/>
    <x v="1"/>
    <x v="3"/>
    <x v="1"/>
    <n v="0"/>
    <n v="0"/>
    <n v="0"/>
    <n v="0"/>
    <x v="0"/>
    <n v="0"/>
    <n v="0"/>
    <m/>
    <n v="70.7"/>
    <m/>
    <m/>
    <n v="0"/>
    <m/>
    <n v="0"/>
    <m/>
    <n v="0"/>
    <m/>
    <n v="0"/>
    <m/>
    <n v="0"/>
  </r>
  <r>
    <x v="1104"/>
    <n v="45808"/>
    <x v="1"/>
    <x v="1"/>
    <x v="1"/>
    <x v="0"/>
    <x v="0"/>
    <n v="1"/>
    <n v="0"/>
    <n v="0"/>
    <n v="0"/>
    <x v="0"/>
    <n v="0"/>
    <n v="0"/>
    <m/>
    <n v="60.5"/>
    <m/>
    <m/>
    <n v="0"/>
    <m/>
    <n v="1"/>
    <m/>
    <n v="0"/>
    <m/>
    <n v="0"/>
    <m/>
    <n v="0"/>
  </r>
  <r>
    <x v="1105"/>
    <n v="45796"/>
    <x v="1"/>
    <x v="0"/>
    <x v="1"/>
    <x v="1"/>
    <x v="0"/>
    <n v="1"/>
    <n v="1"/>
    <n v="1"/>
    <n v="0"/>
    <x v="0"/>
    <n v="0"/>
    <n v="0"/>
    <m/>
    <n v="77.3"/>
    <m/>
    <m/>
    <n v="0"/>
    <m/>
    <n v="1"/>
    <m/>
    <n v="1"/>
    <m/>
    <n v="1"/>
    <m/>
    <n v="0"/>
  </r>
  <r>
    <x v="1106"/>
    <n v="45713"/>
    <x v="1"/>
    <x v="0"/>
    <x v="1"/>
    <x v="1"/>
    <x v="1"/>
    <n v="0"/>
    <n v="0"/>
    <n v="0"/>
    <n v="0"/>
    <x v="0"/>
    <n v="1"/>
    <n v="0"/>
    <m/>
    <n v="39.5"/>
    <m/>
    <m/>
    <n v="0"/>
    <m/>
    <n v="0"/>
    <m/>
    <n v="0"/>
    <m/>
    <n v="0"/>
    <m/>
    <n v="1"/>
  </r>
  <r>
    <x v="1107"/>
    <n v="45667"/>
    <x v="1"/>
    <x v="3"/>
    <x v="2"/>
    <x v="1"/>
    <x v="0"/>
    <n v="1"/>
    <n v="0"/>
    <n v="0"/>
    <n v="0"/>
    <x v="0"/>
    <n v="0"/>
    <n v="0"/>
    <m/>
    <n v="68.099999999999994"/>
    <m/>
    <m/>
    <n v="0"/>
    <m/>
    <n v="1"/>
    <m/>
    <n v="0"/>
    <m/>
    <n v="0"/>
    <m/>
    <n v="0"/>
  </r>
  <r>
    <x v="1108"/>
    <n v="45790"/>
    <x v="1"/>
    <x v="0"/>
    <x v="2"/>
    <x v="2"/>
    <x v="1"/>
    <n v="0"/>
    <n v="0"/>
    <n v="0"/>
    <n v="0"/>
    <x v="0"/>
    <n v="0"/>
    <n v="0"/>
    <m/>
    <n v="80.3"/>
    <m/>
    <m/>
    <n v="0"/>
    <m/>
    <n v="0"/>
    <m/>
    <n v="0"/>
    <m/>
    <n v="0"/>
    <m/>
    <n v="0"/>
  </r>
  <r>
    <x v="1109"/>
    <n v="45774"/>
    <x v="1"/>
    <x v="1"/>
    <x v="0"/>
    <x v="1"/>
    <x v="2"/>
    <n v="1"/>
    <n v="0"/>
    <n v="0"/>
    <n v="0"/>
    <x v="0"/>
    <n v="0"/>
    <n v="0"/>
    <m/>
    <n v="77.7"/>
    <m/>
    <m/>
    <n v="0"/>
    <m/>
    <n v="1"/>
    <m/>
    <n v="0"/>
    <m/>
    <n v="0"/>
    <m/>
    <n v="0"/>
  </r>
  <r>
    <x v="1110"/>
    <n v="45750"/>
    <x v="1"/>
    <x v="3"/>
    <x v="1"/>
    <x v="1"/>
    <x v="1"/>
    <n v="1"/>
    <n v="0"/>
    <n v="0"/>
    <n v="0"/>
    <x v="0"/>
    <n v="1"/>
    <n v="0"/>
    <m/>
    <n v="66.2"/>
    <m/>
    <m/>
    <n v="0"/>
    <m/>
    <n v="1"/>
    <m/>
    <n v="0"/>
    <m/>
    <n v="0"/>
    <m/>
    <n v="1"/>
  </r>
  <r>
    <x v="1111"/>
    <n v="45742"/>
    <x v="1"/>
    <x v="3"/>
    <x v="1"/>
    <x v="1"/>
    <x v="1"/>
    <n v="1"/>
    <n v="1"/>
    <n v="1"/>
    <n v="0"/>
    <x v="0"/>
    <n v="1"/>
    <n v="0"/>
    <m/>
    <n v="43.9"/>
    <m/>
    <m/>
    <n v="0"/>
    <m/>
    <n v="1"/>
    <m/>
    <n v="1"/>
    <m/>
    <n v="1"/>
    <m/>
    <n v="1"/>
  </r>
  <r>
    <x v="1112"/>
    <n v="45688"/>
    <x v="1"/>
    <x v="3"/>
    <x v="1"/>
    <x v="1"/>
    <x v="0"/>
    <n v="1"/>
    <n v="1"/>
    <n v="1"/>
    <n v="0"/>
    <x v="0"/>
    <n v="2"/>
    <n v="0"/>
    <m/>
    <n v="59.1"/>
    <m/>
    <m/>
    <n v="0"/>
    <m/>
    <n v="1"/>
    <m/>
    <n v="1"/>
    <m/>
    <n v="1"/>
    <m/>
    <n v="2"/>
  </r>
  <r>
    <x v="1113"/>
    <n v="45682"/>
    <x v="1"/>
    <x v="3"/>
    <x v="1"/>
    <x v="4"/>
    <x v="1"/>
    <n v="1"/>
    <n v="1"/>
    <n v="1"/>
    <n v="1"/>
    <x v="54"/>
    <n v="1"/>
    <n v="0"/>
    <n v="11"/>
    <n v="67"/>
    <m/>
    <m/>
    <n v="0"/>
    <m/>
    <n v="1"/>
    <m/>
    <n v="1"/>
    <m/>
    <n v="1"/>
    <m/>
    <n v="1"/>
  </r>
  <r>
    <x v="1114"/>
    <n v="45694"/>
    <x v="1"/>
    <x v="1"/>
    <x v="1"/>
    <x v="3"/>
    <x v="0"/>
    <n v="1"/>
    <n v="0"/>
    <n v="0"/>
    <n v="0"/>
    <x v="0"/>
    <n v="0"/>
    <n v="0"/>
    <m/>
    <n v="47.9"/>
    <m/>
    <m/>
    <n v="1"/>
    <m/>
    <n v="1"/>
    <m/>
    <n v="0"/>
    <m/>
    <n v="0"/>
    <m/>
    <n v="0"/>
  </r>
  <r>
    <x v="1115"/>
    <n v="45726"/>
    <x v="1"/>
    <x v="2"/>
    <x v="1"/>
    <x v="2"/>
    <x v="1"/>
    <n v="1"/>
    <n v="1"/>
    <n v="0"/>
    <n v="0"/>
    <x v="0"/>
    <n v="0"/>
    <n v="0"/>
    <m/>
    <n v="41.5"/>
    <m/>
    <m/>
    <n v="0"/>
    <m/>
    <n v="1"/>
    <m/>
    <n v="1"/>
    <m/>
    <n v="0"/>
    <m/>
    <n v="0"/>
  </r>
  <r>
    <x v="1116"/>
    <n v="45683"/>
    <x v="1"/>
    <x v="1"/>
    <x v="1"/>
    <x v="1"/>
    <x v="0"/>
    <n v="1"/>
    <n v="1"/>
    <n v="1"/>
    <n v="0"/>
    <x v="0"/>
    <n v="3"/>
    <n v="0"/>
    <m/>
    <n v="30.6"/>
    <m/>
    <m/>
    <n v="0"/>
    <m/>
    <n v="1"/>
    <m/>
    <n v="1"/>
    <m/>
    <n v="1"/>
    <m/>
    <n v="3"/>
  </r>
  <r>
    <x v="1117"/>
    <n v="45658"/>
    <x v="1"/>
    <x v="2"/>
    <x v="1"/>
    <x v="2"/>
    <x v="1"/>
    <n v="1"/>
    <n v="1"/>
    <n v="0"/>
    <n v="0"/>
    <x v="0"/>
    <n v="0"/>
    <n v="0"/>
    <m/>
    <n v="91.5"/>
    <m/>
    <m/>
    <n v="0"/>
    <m/>
    <n v="1"/>
    <m/>
    <n v="1"/>
    <m/>
    <n v="0"/>
    <m/>
    <n v="0"/>
  </r>
  <r>
    <x v="1118"/>
    <n v="45775"/>
    <x v="1"/>
    <x v="0"/>
    <x v="0"/>
    <x v="4"/>
    <x v="0"/>
    <n v="1"/>
    <n v="0"/>
    <n v="0"/>
    <n v="0"/>
    <x v="0"/>
    <n v="0"/>
    <n v="0"/>
    <m/>
    <n v="80.8"/>
    <m/>
    <m/>
    <n v="0"/>
    <m/>
    <n v="1"/>
    <m/>
    <n v="0"/>
    <m/>
    <n v="0"/>
    <m/>
    <n v="0"/>
  </r>
  <r>
    <x v="1119"/>
    <n v="45751"/>
    <x v="1"/>
    <x v="0"/>
    <x v="1"/>
    <x v="1"/>
    <x v="2"/>
    <n v="1"/>
    <n v="0"/>
    <n v="0"/>
    <n v="0"/>
    <x v="0"/>
    <n v="0"/>
    <n v="0"/>
    <m/>
    <n v="68.099999999999994"/>
    <m/>
    <m/>
    <n v="0"/>
    <m/>
    <n v="1"/>
    <m/>
    <n v="0"/>
    <m/>
    <n v="0"/>
    <m/>
    <n v="0"/>
  </r>
  <r>
    <x v="1120"/>
    <n v="45718"/>
    <x v="1"/>
    <x v="2"/>
    <x v="1"/>
    <x v="2"/>
    <x v="1"/>
    <n v="1"/>
    <n v="0"/>
    <n v="0"/>
    <n v="0"/>
    <x v="0"/>
    <n v="0"/>
    <n v="0"/>
    <m/>
    <n v="80.3"/>
    <m/>
    <m/>
    <n v="0"/>
    <m/>
    <n v="1"/>
    <m/>
    <n v="0"/>
    <m/>
    <n v="0"/>
    <m/>
    <n v="0"/>
  </r>
  <r>
    <x v="1121"/>
    <n v="45735"/>
    <x v="1"/>
    <x v="3"/>
    <x v="2"/>
    <x v="1"/>
    <x v="0"/>
    <n v="1"/>
    <n v="0"/>
    <n v="0"/>
    <n v="0"/>
    <x v="0"/>
    <n v="0"/>
    <n v="0"/>
    <m/>
    <n v="44.4"/>
    <m/>
    <m/>
    <n v="0"/>
    <m/>
    <n v="1"/>
    <m/>
    <n v="0"/>
    <m/>
    <n v="0"/>
    <m/>
    <n v="0"/>
  </r>
  <r>
    <x v="1122"/>
    <n v="45677"/>
    <x v="1"/>
    <x v="3"/>
    <x v="0"/>
    <x v="1"/>
    <x v="0"/>
    <n v="0"/>
    <n v="0"/>
    <n v="0"/>
    <n v="0"/>
    <x v="0"/>
    <n v="0"/>
    <n v="0"/>
    <m/>
    <n v="51.9"/>
    <m/>
    <m/>
    <n v="0"/>
    <m/>
    <n v="0"/>
    <m/>
    <n v="0"/>
    <m/>
    <n v="0"/>
    <m/>
    <n v="0"/>
  </r>
  <r>
    <x v="1123"/>
    <n v="45750"/>
    <x v="1"/>
    <x v="2"/>
    <x v="1"/>
    <x v="2"/>
    <x v="1"/>
    <n v="1"/>
    <n v="1"/>
    <n v="0"/>
    <n v="0"/>
    <x v="0"/>
    <n v="0"/>
    <n v="0"/>
    <m/>
    <n v="49.8"/>
    <m/>
    <m/>
    <n v="0"/>
    <m/>
    <n v="1"/>
    <m/>
    <n v="1"/>
    <m/>
    <n v="0"/>
    <m/>
    <n v="0"/>
  </r>
  <r>
    <x v="1124"/>
    <n v="45668"/>
    <x v="1"/>
    <x v="2"/>
    <x v="0"/>
    <x v="4"/>
    <x v="1"/>
    <n v="1"/>
    <n v="1"/>
    <n v="1"/>
    <n v="0"/>
    <x v="0"/>
    <n v="3"/>
    <n v="0"/>
    <m/>
    <n v="62.1"/>
    <m/>
    <m/>
    <n v="0"/>
    <m/>
    <n v="1"/>
    <m/>
    <n v="1"/>
    <m/>
    <n v="1"/>
    <m/>
    <n v="3"/>
  </r>
  <r>
    <x v="1125"/>
    <n v="45690"/>
    <x v="1"/>
    <x v="1"/>
    <x v="0"/>
    <x v="4"/>
    <x v="0"/>
    <n v="1"/>
    <n v="0"/>
    <n v="0"/>
    <n v="0"/>
    <x v="0"/>
    <n v="0"/>
    <n v="0"/>
    <m/>
    <n v="91.3"/>
    <m/>
    <m/>
    <n v="0"/>
    <m/>
    <n v="1"/>
    <m/>
    <n v="0"/>
    <m/>
    <n v="0"/>
    <m/>
    <n v="0"/>
  </r>
  <r>
    <x v="1126"/>
    <n v="45748"/>
    <x v="1"/>
    <x v="3"/>
    <x v="1"/>
    <x v="1"/>
    <x v="0"/>
    <n v="1"/>
    <n v="0"/>
    <n v="0"/>
    <n v="0"/>
    <x v="0"/>
    <n v="0"/>
    <n v="0"/>
    <m/>
    <n v="66.400000000000006"/>
    <m/>
    <m/>
    <n v="0"/>
    <m/>
    <n v="1"/>
    <m/>
    <n v="0"/>
    <m/>
    <n v="0"/>
    <m/>
    <n v="0"/>
  </r>
  <r>
    <x v="1127"/>
    <n v="45799"/>
    <x v="1"/>
    <x v="2"/>
    <x v="1"/>
    <x v="1"/>
    <x v="0"/>
    <n v="1"/>
    <n v="0"/>
    <n v="0"/>
    <n v="0"/>
    <x v="0"/>
    <n v="0"/>
    <n v="0"/>
    <m/>
    <n v="41.5"/>
    <m/>
    <m/>
    <n v="0"/>
    <m/>
    <n v="1"/>
    <m/>
    <n v="0"/>
    <m/>
    <n v="0"/>
    <m/>
    <n v="0"/>
  </r>
  <r>
    <x v="1128"/>
    <n v="45708"/>
    <x v="1"/>
    <x v="1"/>
    <x v="1"/>
    <x v="1"/>
    <x v="0"/>
    <n v="0"/>
    <n v="0"/>
    <n v="0"/>
    <n v="0"/>
    <x v="0"/>
    <n v="0"/>
    <n v="0"/>
    <m/>
    <n v="77.099999999999994"/>
    <m/>
    <m/>
    <n v="0"/>
    <m/>
    <n v="0"/>
    <m/>
    <n v="0"/>
    <m/>
    <n v="0"/>
    <m/>
    <n v="0"/>
  </r>
  <r>
    <x v="1129"/>
    <n v="45737"/>
    <x v="1"/>
    <x v="1"/>
    <x v="1"/>
    <x v="1"/>
    <x v="1"/>
    <n v="1"/>
    <n v="0"/>
    <n v="0"/>
    <n v="0"/>
    <x v="0"/>
    <n v="0"/>
    <n v="0"/>
    <m/>
    <n v="63.2"/>
    <m/>
    <m/>
    <n v="0"/>
    <m/>
    <n v="1"/>
    <m/>
    <n v="0"/>
    <m/>
    <n v="0"/>
    <m/>
    <n v="0"/>
  </r>
  <r>
    <x v="1130"/>
    <n v="45778"/>
    <x v="1"/>
    <x v="1"/>
    <x v="0"/>
    <x v="3"/>
    <x v="1"/>
    <n v="1"/>
    <n v="1"/>
    <n v="1"/>
    <n v="0"/>
    <x v="0"/>
    <n v="3"/>
    <n v="0"/>
    <m/>
    <n v="75.7"/>
    <m/>
    <m/>
    <n v="0"/>
    <m/>
    <n v="1"/>
    <m/>
    <n v="1"/>
    <m/>
    <n v="1"/>
    <m/>
    <n v="3"/>
  </r>
  <r>
    <x v="1131"/>
    <n v="45663"/>
    <x v="1"/>
    <x v="1"/>
    <x v="1"/>
    <x v="2"/>
    <x v="0"/>
    <n v="0"/>
    <n v="0"/>
    <n v="0"/>
    <n v="0"/>
    <x v="0"/>
    <n v="0"/>
    <n v="0"/>
    <m/>
    <n v="62.9"/>
    <m/>
    <m/>
    <n v="0"/>
    <m/>
    <n v="0"/>
    <m/>
    <n v="0"/>
    <m/>
    <n v="0"/>
    <m/>
    <n v="0"/>
  </r>
  <r>
    <x v="1132"/>
    <n v="45759"/>
    <x v="1"/>
    <x v="0"/>
    <x v="0"/>
    <x v="2"/>
    <x v="2"/>
    <n v="1"/>
    <n v="0"/>
    <n v="0"/>
    <n v="0"/>
    <x v="0"/>
    <n v="3"/>
    <n v="0"/>
    <m/>
    <n v="64.599999999999994"/>
    <m/>
    <m/>
    <n v="0"/>
    <m/>
    <n v="1"/>
    <m/>
    <n v="0"/>
    <m/>
    <n v="0"/>
    <m/>
    <n v="3"/>
  </r>
  <r>
    <x v="1133"/>
    <n v="45765"/>
    <x v="1"/>
    <x v="0"/>
    <x v="1"/>
    <x v="5"/>
    <x v="0"/>
    <n v="1"/>
    <n v="0"/>
    <n v="0"/>
    <n v="0"/>
    <x v="0"/>
    <n v="0"/>
    <n v="0"/>
    <m/>
    <n v="76.599999999999994"/>
    <m/>
    <m/>
    <n v="0"/>
    <m/>
    <n v="1"/>
    <m/>
    <n v="0"/>
    <m/>
    <n v="0"/>
    <m/>
    <n v="0"/>
  </r>
  <r>
    <x v="1134"/>
    <n v="45740"/>
    <x v="1"/>
    <x v="2"/>
    <x v="1"/>
    <x v="4"/>
    <x v="0"/>
    <n v="1"/>
    <n v="0"/>
    <n v="0"/>
    <n v="0"/>
    <x v="0"/>
    <n v="0"/>
    <n v="0"/>
    <m/>
    <n v="74.8"/>
    <m/>
    <m/>
    <n v="0"/>
    <m/>
    <n v="1"/>
    <m/>
    <n v="0"/>
    <m/>
    <n v="0"/>
    <m/>
    <n v="0"/>
  </r>
  <r>
    <x v="1135"/>
    <n v="45734"/>
    <x v="1"/>
    <x v="2"/>
    <x v="0"/>
    <x v="0"/>
    <x v="2"/>
    <n v="1"/>
    <n v="0"/>
    <n v="0"/>
    <n v="0"/>
    <x v="0"/>
    <n v="2"/>
    <n v="0"/>
    <m/>
    <n v="38.1"/>
    <m/>
    <m/>
    <n v="0"/>
    <m/>
    <n v="1"/>
    <m/>
    <n v="0"/>
    <m/>
    <n v="0"/>
    <m/>
    <n v="2"/>
  </r>
  <r>
    <x v="1136"/>
    <n v="45777"/>
    <x v="1"/>
    <x v="3"/>
    <x v="2"/>
    <x v="2"/>
    <x v="0"/>
    <n v="1"/>
    <n v="1"/>
    <n v="0"/>
    <n v="0"/>
    <x v="0"/>
    <n v="0"/>
    <n v="0"/>
    <m/>
    <n v="60.2"/>
    <m/>
    <m/>
    <n v="0"/>
    <m/>
    <n v="1"/>
    <m/>
    <n v="1"/>
    <m/>
    <n v="0"/>
    <m/>
    <n v="0"/>
  </r>
  <r>
    <x v="1137"/>
    <n v="45682"/>
    <x v="1"/>
    <x v="1"/>
    <x v="1"/>
    <x v="0"/>
    <x v="1"/>
    <n v="1"/>
    <n v="1"/>
    <n v="0"/>
    <n v="0"/>
    <x v="0"/>
    <n v="0"/>
    <n v="0"/>
    <m/>
    <n v="73.5"/>
    <m/>
    <m/>
    <n v="0"/>
    <m/>
    <n v="1"/>
    <m/>
    <n v="1"/>
    <m/>
    <n v="0"/>
    <m/>
    <n v="0"/>
  </r>
  <r>
    <x v="1138"/>
    <n v="45757"/>
    <x v="1"/>
    <x v="3"/>
    <x v="1"/>
    <x v="1"/>
    <x v="1"/>
    <n v="1"/>
    <n v="0"/>
    <n v="0"/>
    <n v="0"/>
    <x v="0"/>
    <n v="0"/>
    <n v="0"/>
    <m/>
    <n v="70.900000000000006"/>
    <m/>
    <m/>
    <n v="0"/>
    <m/>
    <n v="1"/>
    <m/>
    <n v="0"/>
    <m/>
    <n v="0"/>
    <m/>
    <n v="0"/>
  </r>
  <r>
    <x v="1139"/>
    <n v="45667"/>
    <x v="1"/>
    <x v="1"/>
    <x v="1"/>
    <x v="4"/>
    <x v="1"/>
    <n v="1"/>
    <n v="0"/>
    <n v="0"/>
    <n v="0"/>
    <x v="0"/>
    <n v="0"/>
    <n v="0"/>
    <m/>
    <n v="63.7"/>
    <m/>
    <m/>
    <n v="0"/>
    <m/>
    <n v="1"/>
    <m/>
    <n v="0"/>
    <m/>
    <n v="0"/>
    <m/>
    <n v="0"/>
  </r>
  <r>
    <x v="1140"/>
    <n v="45699"/>
    <x v="1"/>
    <x v="3"/>
    <x v="1"/>
    <x v="2"/>
    <x v="1"/>
    <n v="1"/>
    <n v="0"/>
    <n v="0"/>
    <n v="0"/>
    <x v="0"/>
    <n v="0"/>
    <n v="0"/>
    <m/>
    <n v="86.5"/>
    <m/>
    <m/>
    <n v="0"/>
    <m/>
    <n v="1"/>
    <m/>
    <n v="0"/>
    <m/>
    <n v="0"/>
    <m/>
    <n v="0"/>
  </r>
  <r>
    <x v="1141"/>
    <n v="45778"/>
    <x v="1"/>
    <x v="2"/>
    <x v="1"/>
    <x v="4"/>
    <x v="0"/>
    <n v="1"/>
    <n v="1"/>
    <n v="1"/>
    <n v="1"/>
    <x v="55"/>
    <n v="3"/>
    <n v="0"/>
    <n v="7"/>
    <n v="74.599999999999994"/>
    <m/>
    <m/>
    <n v="0"/>
    <m/>
    <n v="1"/>
    <m/>
    <n v="1"/>
    <m/>
    <n v="1"/>
    <m/>
    <n v="3"/>
  </r>
  <r>
    <x v="1142"/>
    <n v="45675"/>
    <x v="1"/>
    <x v="2"/>
    <x v="1"/>
    <x v="1"/>
    <x v="1"/>
    <n v="1"/>
    <n v="0"/>
    <n v="0"/>
    <n v="0"/>
    <x v="0"/>
    <n v="0"/>
    <n v="0"/>
    <m/>
    <n v="46.6"/>
    <m/>
    <m/>
    <n v="1"/>
    <m/>
    <n v="1"/>
    <m/>
    <n v="0"/>
    <m/>
    <n v="0"/>
    <m/>
    <n v="0"/>
  </r>
  <r>
    <x v="1143"/>
    <n v="45659"/>
    <x v="1"/>
    <x v="0"/>
    <x v="1"/>
    <x v="2"/>
    <x v="1"/>
    <n v="0"/>
    <n v="0"/>
    <n v="0"/>
    <n v="0"/>
    <x v="0"/>
    <n v="0"/>
    <n v="0"/>
    <m/>
    <n v="61.2"/>
    <m/>
    <m/>
    <n v="0"/>
    <m/>
    <n v="0"/>
    <m/>
    <n v="0"/>
    <m/>
    <n v="0"/>
    <m/>
    <n v="0"/>
  </r>
  <r>
    <x v="1144"/>
    <n v="45788"/>
    <x v="1"/>
    <x v="1"/>
    <x v="1"/>
    <x v="1"/>
    <x v="1"/>
    <n v="1"/>
    <n v="1"/>
    <n v="1"/>
    <n v="1"/>
    <x v="56"/>
    <n v="0"/>
    <n v="0"/>
    <n v="4"/>
    <n v="54.4"/>
    <m/>
    <m/>
    <n v="0"/>
    <m/>
    <n v="1"/>
    <m/>
    <n v="1"/>
    <m/>
    <n v="1"/>
    <m/>
    <n v="0"/>
  </r>
  <r>
    <x v="1145"/>
    <n v="45738"/>
    <x v="1"/>
    <x v="0"/>
    <x v="1"/>
    <x v="3"/>
    <x v="1"/>
    <n v="1"/>
    <n v="1"/>
    <n v="1"/>
    <n v="0"/>
    <x v="0"/>
    <n v="0"/>
    <n v="0"/>
    <m/>
    <n v="72"/>
    <m/>
    <m/>
    <n v="1"/>
    <m/>
    <n v="1"/>
    <m/>
    <n v="1"/>
    <m/>
    <n v="1"/>
    <m/>
    <n v="0"/>
  </r>
  <r>
    <x v="1146"/>
    <n v="45779"/>
    <x v="1"/>
    <x v="3"/>
    <x v="1"/>
    <x v="4"/>
    <x v="2"/>
    <n v="1"/>
    <n v="1"/>
    <n v="1"/>
    <n v="1"/>
    <x v="57"/>
    <n v="0"/>
    <n v="0"/>
    <n v="8"/>
    <n v="88.6"/>
    <m/>
    <m/>
    <n v="0"/>
    <m/>
    <n v="1"/>
    <m/>
    <n v="1"/>
    <m/>
    <n v="1"/>
    <m/>
    <n v="0"/>
  </r>
  <r>
    <x v="1147"/>
    <n v="45803"/>
    <x v="1"/>
    <x v="2"/>
    <x v="0"/>
    <x v="5"/>
    <x v="0"/>
    <n v="1"/>
    <n v="0"/>
    <n v="0"/>
    <n v="0"/>
    <x v="0"/>
    <n v="0"/>
    <n v="0"/>
    <m/>
    <n v="77.599999999999994"/>
    <m/>
    <m/>
    <n v="1"/>
    <m/>
    <n v="1"/>
    <m/>
    <n v="0"/>
    <m/>
    <n v="0"/>
    <m/>
    <n v="0"/>
  </r>
  <r>
    <x v="1148"/>
    <n v="45729"/>
    <x v="1"/>
    <x v="3"/>
    <x v="1"/>
    <x v="1"/>
    <x v="0"/>
    <n v="1"/>
    <n v="0"/>
    <n v="0"/>
    <n v="0"/>
    <x v="0"/>
    <n v="1"/>
    <n v="0"/>
    <m/>
    <n v="44.3"/>
    <m/>
    <m/>
    <n v="0"/>
    <m/>
    <n v="1"/>
    <m/>
    <n v="0"/>
    <m/>
    <n v="0"/>
    <m/>
    <n v="1"/>
  </r>
  <r>
    <x v="1149"/>
    <n v="45794"/>
    <x v="1"/>
    <x v="3"/>
    <x v="0"/>
    <x v="2"/>
    <x v="1"/>
    <n v="1"/>
    <n v="1"/>
    <n v="0"/>
    <n v="0"/>
    <x v="0"/>
    <n v="0"/>
    <n v="0"/>
    <m/>
    <n v="49"/>
    <m/>
    <m/>
    <n v="0"/>
    <m/>
    <n v="1"/>
    <m/>
    <n v="1"/>
    <m/>
    <n v="0"/>
    <m/>
    <n v="0"/>
  </r>
  <r>
    <x v="1150"/>
    <n v="45729"/>
    <x v="1"/>
    <x v="0"/>
    <x v="0"/>
    <x v="3"/>
    <x v="2"/>
    <n v="1"/>
    <n v="0"/>
    <n v="0"/>
    <n v="0"/>
    <x v="0"/>
    <n v="0"/>
    <n v="0"/>
    <m/>
    <n v="53.9"/>
    <m/>
    <m/>
    <n v="0"/>
    <m/>
    <n v="1"/>
    <m/>
    <n v="0"/>
    <m/>
    <n v="0"/>
    <m/>
    <n v="0"/>
  </r>
  <r>
    <x v="1151"/>
    <n v="45699"/>
    <x v="1"/>
    <x v="2"/>
    <x v="0"/>
    <x v="1"/>
    <x v="0"/>
    <n v="1"/>
    <n v="0"/>
    <n v="0"/>
    <n v="0"/>
    <x v="0"/>
    <n v="1"/>
    <n v="0"/>
    <m/>
    <n v="69"/>
    <m/>
    <m/>
    <n v="0"/>
    <m/>
    <n v="1"/>
    <m/>
    <n v="0"/>
    <m/>
    <n v="0"/>
    <m/>
    <n v="1"/>
  </r>
  <r>
    <x v="1152"/>
    <n v="45717"/>
    <x v="1"/>
    <x v="1"/>
    <x v="1"/>
    <x v="4"/>
    <x v="1"/>
    <n v="0"/>
    <n v="0"/>
    <n v="0"/>
    <n v="0"/>
    <x v="0"/>
    <n v="0"/>
    <n v="0"/>
    <m/>
    <n v="37.4"/>
    <m/>
    <m/>
    <n v="0"/>
    <m/>
    <n v="0"/>
    <m/>
    <n v="0"/>
    <m/>
    <n v="0"/>
    <m/>
    <n v="0"/>
  </r>
  <r>
    <x v="1153"/>
    <n v="45762"/>
    <x v="1"/>
    <x v="1"/>
    <x v="1"/>
    <x v="1"/>
    <x v="0"/>
    <n v="0"/>
    <n v="0"/>
    <n v="0"/>
    <n v="0"/>
    <x v="0"/>
    <n v="0"/>
    <n v="0"/>
    <m/>
    <n v="59"/>
    <m/>
    <m/>
    <n v="0"/>
    <m/>
    <n v="0"/>
    <m/>
    <n v="0"/>
    <m/>
    <n v="0"/>
    <m/>
    <n v="0"/>
  </r>
  <r>
    <x v="1154"/>
    <n v="45690"/>
    <x v="1"/>
    <x v="2"/>
    <x v="1"/>
    <x v="1"/>
    <x v="2"/>
    <n v="1"/>
    <n v="0"/>
    <n v="0"/>
    <n v="0"/>
    <x v="0"/>
    <n v="0"/>
    <n v="0"/>
    <m/>
    <n v="60.8"/>
    <m/>
    <m/>
    <n v="0"/>
    <m/>
    <n v="1"/>
    <m/>
    <n v="0"/>
    <m/>
    <n v="0"/>
    <m/>
    <n v="0"/>
  </r>
  <r>
    <x v="1155"/>
    <n v="45796"/>
    <x v="1"/>
    <x v="3"/>
    <x v="1"/>
    <x v="0"/>
    <x v="1"/>
    <n v="1"/>
    <n v="0"/>
    <n v="0"/>
    <n v="0"/>
    <x v="0"/>
    <n v="0"/>
    <n v="0"/>
    <m/>
    <n v="57.5"/>
    <m/>
    <m/>
    <n v="0"/>
    <m/>
    <n v="1"/>
    <m/>
    <n v="0"/>
    <m/>
    <n v="0"/>
    <m/>
    <n v="0"/>
  </r>
  <r>
    <x v="1156"/>
    <n v="45662"/>
    <x v="1"/>
    <x v="1"/>
    <x v="1"/>
    <x v="3"/>
    <x v="1"/>
    <n v="0"/>
    <n v="0"/>
    <n v="0"/>
    <n v="0"/>
    <x v="0"/>
    <n v="0"/>
    <n v="0"/>
    <m/>
    <n v="84.2"/>
    <m/>
    <m/>
    <n v="0"/>
    <m/>
    <n v="0"/>
    <m/>
    <n v="0"/>
    <m/>
    <n v="0"/>
    <m/>
    <n v="0"/>
  </r>
  <r>
    <x v="1157"/>
    <n v="45724"/>
    <x v="1"/>
    <x v="3"/>
    <x v="1"/>
    <x v="2"/>
    <x v="1"/>
    <n v="1"/>
    <n v="1"/>
    <n v="0"/>
    <n v="0"/>
    <x v="0"/>
    <n v="0"/>
    <n v="0"/>
    <m/>
    <n v="27.4"/>
    <m/>
    <m/>
    <n v="0"/>
    <m/>
    <n v="1"/>
    <m/>
    <n v="1"/>
    <m/>
    <n v="0"/>
    <m/>
    <n v="0"/>
  </r>
  <r>
    <x v="1158"/>
    <n v="45728"/>
    <x v="1"/>
    <x v="1"/>
    <x v="1"/>
    <x v="0"/>
    <x v="0"/>
    <n v="1"/>
    <n v="0"/>
    <n v="0"/>
    <n v="0"/>
    <x v="0"/>
    <n v="1"/>
    <n v="0"/>
    <m/>
    <n v="67.599999999999994"/>
    <m/>
    <m/>
    <n v="0"/>
    <m/>
    <n v="1"/>
    <m/>
    <n v="0"/>
    <m/>
    <n v="0"/>
    <m/>
    <n v="1"/>
  </r>
  <r>
    <x v="1159"/>
    <n v="45681"/>
    <x v="1"/>
    <x v="1"/>
    <x v="1"/>
    <x v="1"/>
    <x v="1"/>
    <n v="0"/>
    <n v="0"/>
    <n v="0"/>
    <n v="0"/>
    <x v="0"/>
    <n v="0"/>
    <n v="0"/>
    <m/>
    <n v="68.400000000000006"/>
    <m/>
    <m/>
    <n v="0"/>
    <m/>
    <n v="0"/>
    <m/>
    <n v="0"/>
    <m/>
    <n v="0"/>
    <m/>
    <n v="0"/>
  </r>
  <r>
    <x v="1160"/>
    <n v="45799"/>
    <x v="1"/>
    <x v="3"/>
    <x v="1"/>
    <x v="2"/>
    <x v="0"/>
    <n v="1"/>
    <n v="1"/>
    <n v="1"/>
    <n v="0"/>
    <x v="0"/>
    <n v="0"/>
    <n v="0"/>
    <m/>
    <n v="66.5"/>
    <m/>
    <m/>
    <n v="0"/>
    <m/>
    <n v="1"/>
    <m/>
    <n v="1"/>
    <m/>
    <n v="1"/>
    <m/>
    <n v="0"/>
  </r>
  <r>
    <x v="1161"/>
    <n v="45743"/>
    <x v="1"/>
    <x v="3"/>
    <x v="1"/>
    <x v="2"/>
    <x v="1"/>
    <n v="1"/>
    <n v="0"/>
    <n v="0"/>
    <n v="0"/>
    <x v="0"/>
    <n v="0"/>
    <n v="0"/>
    <m/>
    <n v="38.200000000000003"/>
    <m/>
    <m/>
    <n v="0"/>
    <m/>
    <n v="1"/>
    <m/>
    <n v="0"/>
    <m/>
    <n v="0"/>
    <m/>
    <n v="0"/>
  </r>
  <r>
    <x v="1162"/>
    <n v="45659"/>
    <x v="1"/>
    <x v="1"/>
    <x v="1"/>
    <x v="4"/>
    <x v="1"/>
    <n v="0"/>
    <n v="0"/>
    <n v="0"/>
    <n v="0"/>
    <x v="0"/>
    <n v="1"/>
    <n v="0"/>
    <m/>
    <n v="66.7"/>
    <m/>
    <m/>
    <n v="0"/>
    <m/>
    <n v="0"/>
    <m/>
    <n v="0"/>
    <m/>
    <n v="0"/>
    <m/>
    <n v="1"/>
  </r>
  <r>
    <x v="1163"/>
    <n v="45712"/>
    <x v="1"/>
    <x v="0"/>
    <x v="1"/>
    <x v="2"/>
    <x v="1"/>
    <n v="0"/>
    <n v="0"/>
    <n v="0"/>
    <n v="0"/>
    <x v="0"/>
    <n v="1"/>
    <n v="0"/>
    <m/>
    <n v="73.7"/>
    <m/>
    <m/>
    <n v="0"/>
    <m/>
    <n v="0"/>
    <m/>
    <n v="0"/>
    <m/>
    <n v="0"/>
    <m/>
    <n v="1"/>
  </r>
  <r>
    <x v="1164"/>
    <n v="45717"/>
    <x v="1"/>
    <x v="1"/>
    <x v="0"/>
    <x v="1"/>
    <x v="0"/>
    <n v="1"/>
    <n v="1"/>
    <n v="1"/>
    <n v="0"/>
    <x v="0"/>
    <n v="0"/>
    <n v="0"/>
    <m/>
    <n v="63.9"/>
    <m/>
    <m/>
    <n v="0"/>
    <m/>
    <n v="1"/>
    <m/>
    <n v="1"/>
    <m/>
    <n v="1"/>
    <m/>
    <n v="0"/>
  </r>
  <r>
    <x v="1165"/>
    <n v="45742"/>
    <x v="1"/>
    <x v="3"/>
    <x v="2"/>
    <x v="1"/>
    <x v="0"/>
    <n v="1"/>
    <n v="0"/>
    <n v="0"/>
    <n v="0"/>
    <x v="0"/>
    <n v="1"/>
    <n v="0"/>
    <m/>
    <n v="82.6"/>
    <m/>
    <m/>
    <n v="0"/>
    <m/>
    <n v="1"/>
    <m/>
    <n v="0"/>
    <m/>
    <n v="0"/>
    <m/>
    <n v="1"/>
  </r>
  <r>
    <x v="1166"/>
    <n v="45802"/>
    <x v="1"/>
    <x v="2"/>
    <x v="1"/>
    <x v="2"/>
    <x v="1"/>
    <n v="0"/>
    <n v="0"/>
    <n v="0"/>
    <n v="0"/>
    <x v="0"/>
    <n v="1"/>
    <n v="0"/>
    <m/>
    <n v="58.3"/>
    <m/>
    <m/>
    <n v="0"/>
    <m/>
    <n v="0"/>
    <m/>
    <n v="0"/>
    <m/>
    <n v="0"/>
    <m/>
    <n v="1"/>
  </r>
  <r>
    <x v="1167"/>
    <n v="45713"/>
    <x v="1"/>
    <x v="1"/>
    <x v="1"/>
    <x v="3"/>
    <x v="2"/>
    <n v="1"/>
    <n v="1"/>
    <n v="1"/>
    <n v="1"/>
    <x v="58"/>
    <n v="0"/>
    <n v="1"/>
    <n v="2"/>
    <n v="72.900000000000006"/>
    <m/>
    <m/>
    <n v="0"/>
    <m/>
    <n v="1"/>
    <m/>
    <n v="1"/>
    <m/>
    <n v="1"/>
    <m/>
    <n v="0"/>
  </r>
  <r>
    <x v="1168"/>
    <n v="45739"/>
    <x v="1"/>
    <x v="3"/>
    <x v="1"/>
    <x v="4"/>
    <x v="1"/>
    <n v="1"/>
    <n v="1"/>
    <n v="1"/>
    <n v="0"/>
    <x v="0"/>
    <n v="2"/>
    <n v="0"/>
    <m/>
    <n v="53.5"/>
    <m/>
    <m/>
    <n v="1"/>
    <m/>
    <n v="1"/>
    <m/>
    <n v="1"/>
    <m/>
    <n v="1"/>
    <m/>
    <n v="2"/>
  </r>
  <r>
    <x v="1169"/>
    <n v="45768"/>
    <x v="1"/>
    <x v="1"/>
    <x v="1"/>
    <x v="3"/>
    <x v="1"/>
    <n v="1"/>
    <n v="0"/>
    <n v="0"/>
    <n v="0"/>
    <x v="0"/>
    <n v="0"/>
    <n v="0"/>
    <m/>
    <n v="54.8"/>
    <m/>
    <m/>
    <n v="0"/>
    <m/>
    <n v="1"/>
    <m/>
    <n v="0"/>
    <m/>
    <n v="0"/>
    <m/>
    <n v="0"/>
  </r>
  <r>
    <x v="1170"/>
    <n v="45798"/>
    <x v="1"/>
    <x v="0"/>
    <x v="1"/>
    <x v="1"/>
    <x v="2"/>
    <n v="1"/>
    <n v="0"/>
    <n v="0"/>
    <n v="0"/>
    <x v="0"/>
    <n v="0"/>
    <n v="0"/>
    <m/>
    <n v="69.5"/>
    <m/>
    <m/>
    <n v="0"/>
    <m/>
    <n v="1"/>
    <m/>
    <n v="0"/>
    <m/>
    <n v="0"/>
    <m/>
    <n v="0"/>
  </r>
  <r>
    <x v="1171"/>
    <n v="45772"/>
    <x v="1"/>
    <x v="0"/>
    <x v="0"/>
    <x v="4"/>
    <x v="1"/>
    <n v="1"/>
    <n v="0"/>
    <n v="0"/>
    <n v="0"/>
    <x v="0"/>
    <n v="1"/>
    <n v="0"/>
    <m/>
    <n v="71.3"/>
    <m/>
    <m/>
    <n v="0"/>
    <m/>
    <n v="1"/>
    <m/>
    <n v="0"/>
    <m/>
    <n v="0"/>
    <m/>
    <n v="1"/>
  </r>
  <r>
    <x v="1172"/>
    <n v="45800"/>
    <x v="1"/>
    <x v="1"/>
    <x v="1"/>
    <x v="3"/>
    <x v="0"/>
    <n v="1"/>
    <n v="0"/>
    <n v="0"/>
    <n v="0"/>
    <x v="0"/>
    <n v="1"/>
    <n v="0"/>
    <m/>
    <n v="57.5"/>
    <m/>
    <m/>
    <n v="0"/>
    <m/>
    <n v="1"/>
    <m/>
    <n v="0"/>
    <m/>
    <n v="0"/>
    <m/>
    <n v="1"/>
  </r>
  <r>
    <x v="1173"/>
    <n v="45734"/>
    <x v="1"/>
    <x v="3"/>
    <x v="1"/>
    <x v="0"/>
    <x v="1"/>
    <n v="1"/>
    <n v="0"/>
    <n v="0"/>
    <n v="0"/>
    <x v="0"/>
    <n v="4"/>
    <n v="0"/>
    <m/>
    <n v="50.9"/>
    <m/>
    <m/>
    <n v="0"/>
    <m/>
    <n v="1"/>
    <m/>
    <n v="0"/>
    <m/>
    <n v="0"/>
    <m/>
    <n v="4"/>
  </r>
  <r>
    <x v="1174"/>
    <n v="45660"/>
    <x v="1"/>
    <x v="3"/>
    <x v="2"/>
    <x v="1"/>
    <x v="1"/>
    <n v="1"/>
    <n v="1"/>
    <n v="1"/>
    <n v="0"/>
    <x v="0"/>
    <n v="0"/>
    <n v="0"/>
    <m/>
    <n v="69.3"/>
    <m/>
    <m/>
    <n v="0"/>
    <m/>
    <n v="1"/>
    <m/>
    <n v="1"/>
    <m/>
    <n v="1"/>
    <m/>
    <n v="0"/>
  </r>
  <r>
    <x v="1175"/>
    <n v="45696"/>
    <x v="1"/>
    <x v="1"/>
    <x v="0"/>
    <x v="1"/>
    <x v="1"/>
    <n v="1"/>
    <n v="0"/>
    <n v="0"/>
    <n v="0"/>
    <x v="0"/>
    <n v="0"/>
    <n v="0"/>
    <m/>
    <n v="50.1"/>
    <m/>
    <m/>
    <n v="0"/>
    <m/>
    <n v="1"/>
    <m/>
    <n v="0"/>
    <m/>
    <n v="0"/>
    <m/>
    <n v="0"/>
  </r>
  <r>
    <x v="1176"/>
    <n v="45692"/>
    <x v="1"/>
    <x v="2"/>
    <x v="3"/>
    <x v="2"/>
    <x v="0"/>
    <n v="0"/>
    <n v="0"/>
    <n v="0"/>
    <n v="0"/>
    <x v="0"/>
    <n v="0"/>
    <n v="0"/>
    <m/>
    <n v="69.7"/>
    <m/>
    <m/>
    <n v="0"/>
    <m/>
    <n v="0"/>
    <m/>
    <n v="0"/>
    <m/>
    <n v="0"/>
    <m/>
    <n v="0"/>
  </r>
  <r>
    <x v="1177"/>
    <n v="45673"/>
    <x v="1"/>
    <x v="0"/>
    <x v="1"/>
    <x v="2"/>
    <x v="1"/>
    <n v="0"/>
    <n v="0"/>
    <n v="0"/>
    <n v="0"/>
    <x v="0"/>
    <n v="0"/>
    <n v="0"/>
    <m/>
    <n v="63.5"/>
    <m/>
    <m/>
    <n v="0"/>
    <m/>
    <n v="0"/>
    <m/>
    <n v="0"/>
    <m/>
    <n v="0"/>
    <m/>
    <n v="0"/>
  </r>
  <r>
    <x v="1178"/>
    <n v="45751"/>
    <x v="1"/>
    <x v="1"/>
    <x v="0"/>
    <x v="2"/>
    <x v="1"/>
    <n v="1"/>
    <n v="1"/>
    <n v="1"/>
    <n v="1"/>
    <x v="59"/>
    <n v="1"/>
    <n v="0"/>
    <n v="8"/>
    <n v="80.400000000000006"/>
    <m/>
    <m/>
    <n v="0"/>
    <m/>
    <n v="1"/>
    <m/>
    <n v="1"/>
    <m/>
    <n v="1"/>
    <m/>
    <n v="1"/>
  </r>
  <r>
    <x v="1179"/>
    <n v="45680"/>
    <x v="1"/>
    <x v="0"/>
    <x v="0"/>
    <x v="2"/>
    <x v="1"/>
    <n v="0"/>
    <n v="0"/>
    <n v="0"/>
    <n v="0"/>
    <x v="0"/>
    <n v="0"/>
    <n v="0"/>
    <m/>
    <n v="58.9"/>
    <m/>
    <m/>
    <n v="1"/>
    <m/>
    <n v="0"/>
    <m/>
    <n v="0"/>
    <m/>
    <n v="0"/>
    <m/>
    <n v="0"/>
  </r>
  <r>
    <x v="1180"/>
    <n v="45738"/>
    <x v="1"/>
    <x v="3"/>
    <x v="0"/>
    <x v="2"/>
    <x v="1"/>
    <n v="1"/>
    <n v="0"/>
    <n v="0"/>
    <n v="0"/>
    <x v="0"/>
    <n v="0"/>
    <n v="0"/>
    <m/>
    <n v="56.8"/>
    <m/>
    <m/>
    <n v="0"/>
    <m/>
    <n v="1"/>
    <m/>
    <n v="0"/>
    <m/>
    <n v="0"/>
    <m/>
    <n v="0"/>
  </r>
  <r>
    <x v="1181"/>
    <n v="45690"/>
    <x v="1"/>
    <x v="2"/>
    <x v="2"/>
    <x v="4"/>
    <x v="2"/>
    <n v="0"/>
    <n v="0"/>
    <n v="0"/>
    <n v="0"/>
    <x v="0"/>
    <n v="0"/>
    <n v="0"/>
    <m/>
    <n v="73.900000000000006"/>
    <m/>
    <m/>
    <n v="0"/>
    <m/>
    <n v="0"/>
    <m/>
    <n v="0"/>
    <m/>
    <n v="0"/>
    <m/>
    <n v="0"/>
  </r>
  <r>
    <x v="1182"/>
    <n v="45688"/>
    <x v="1"/>
    <x v="0"/>
    <x v="0"/>
    <x v="2"/>
    <x v="1"/>
    <n v="0"/>
    <n v="0"/>
    <n v="0"/>
    <n v="0"/>
    <x v="0"/>
    <n v="0"/>
    <n v="0"/>
    <m/>
    <n v="76.3"/>
    <m/>
    <m/>
    <n v="0"/>
    <m/>
    <n v="0"/>
    <m/>
    <n v="0"/>
    <m/>
    <n v="0"/>
    <m/>
    <n v="0"/>
  </r>
  <r>
    <x v="1183"/>
    <n v="45804"/>
    <x v="1"/>
    <x v="1"/>
    <x v="1"/>
    <x v="1"/>
    <x v="0"/>
    <n v="1"/>
    <n v="0"/>
    <n v="0"/>
    <n v="0"/>
    <x v="0"/>
    <n v="0"/>
    <n v="0"/>
    <m/>
    <n v="56.9"/>
    <m/>
    <m/>
    <n v="0"/>
    <m/>
    <n v="1"/>
    <m/>
    <n v="0"/>
    <m/>
    <n v="0"/>
    <m/>
    <n v="0"/>
  </r>
  <r>
    <x v="1184"/>
    <n v="45784"/>
    <x v="1"/>
    <x v="0"/>
    <x v="1"/>
    <x v="1"/>
    <x v="2"/>
    <n v="1"/>
    <n v="0"/>
    <n v="0"/>
    <n v="0"/>
    <x v="0"/>
    <n v="2"/>
    <n v="0"/>
    <m/>
    <n v="49.4"/>
    <m/>
    <m/>
    <n v="0"/>
    <m/>
    <n v="1"/>
    <m/>
    <n v="0"/>
    <m/>
    <n v="0"/>
    <m/>
    <n v="2"/>
  </r>
  <r>
    <x v="1185"/>
    <n v="45785"/>
    <x v="1"/>
    <x v="0"/>
    <x v="0"/>
    <x v="2"/>
    <x v="0"/>
    <n v="1"/>
    <n v="0"/>
    <n v="0"/>
    <n v="0"/>
    <x v="0"/>
    <n v="0"/>
    <n v="0"/>
    <m/>
    <n v="86.7"/>
    <m/>
    <m/>
    <n v="0"/>
    <m/>
    <n v="1"/>
    <m/>
    <n v="0"/>
    <m/>
    <n v="0"/>
    <m/>
    <n v="0"/>
  </r>
  <r>
    <x v="1186"/>
    <n v="45672"/>
    <x v="1"/>
    <x v="1"/>
    <x v="0"/>
    <x v="0"/>
    <x v="1"/>
    <n v="1"/>
    <n v="0"/>
    <n v="0"/>
    <n v="0"/>
    <x v="0"/>
    <n v="3"/>
    <n v="0"/>
    <m/>
    <n v="69"/>
    <m/>
    <m/>
    <n v="0"/>
    <m/>
    <n v="1"/>
    <m/>
    <n v="0"/>
    <m/>
    <n v="0"/>
    <m/>
    <n v="3"/>
  </r>
  <r>
    <x v="1187"/>
    <n v="45675"/>
    <x v="1"/>
    <x v="0"/>
    <x v="1"/>
    <x v="2"/>
    <x v="1"/>
    <n v="0"/>
    <n v="0"/>
    <n v="0"/>
    <n v="0"/>
    <x v="0"/>
    <n v="0"/>
    <n v="0"/>
    <m/>
    <n v="84.5"/>
    <m/>
    <m/>
    <n v="0"/>
    <m/>
    <n v="0"/>
    <m/>
    <n v="0"/>
    <m/>
    <n v="0"/>
    <m/>
    <n v="0"/>
  </r>
  <r>
    <x v="1188"/>
    <n v="45763"/>
    <x v="1"/>
    <x v="2"/>
    <x v="3"/>
    <x v="3"/>
    <x v="1"/>
    <n v="1"/>
    <n v="0"/>
    <n v="0"/>
    <n v="0"/>
    <x v="0"/>
    <n v="0"/>
    <n v="0"/>
    <m/>
    <n v="66.3"/>
    <m/>
    <m/>
    <n v="0"/>
    <m/>
    <n v="1"/>
    <m/>
    <n v="0"/>
    <m/>
    <n v="0"/>
    <m/>
    <n v="0"/>
  </r>
  <r>
    <x v="1189"/>
    <n v="45704"/>
    <x v="1"/>
    <x v="2"/>
    <x v="0"/>
    <x v="2"/>
    <x v="1"/>
    <n v="0"/>
    <n v="0"/>
    <n v="0"/>
    <n v="0"/>
    <x v="0"/>
    <n v="0"/>
    <n v="0"/>
    <m/>
    <n v="52.2"/>
    <m/>
    <m/>
    <n v="0"/>
    <m/>
    <n v="0"/>
    <m/>
    <n v="0"/>
    <m/>
    <n v="0"/>
    <m/>
    <n v="0"/>
  </r>
  <r>
    <x v="1190"/>
    <n v="45764"/>
    <x v="1"/>
    <x v="3"/>
    <x v="0"/>
    <x v="3"/>
    <x v="2"/>
    <n v="1"/>
    <n v="1"/>
    <n v="1"/>
    <n v="0"/>
    <x v="0"/>
    <n v="0"/>
    <n v="0"/>
    <m/>
    <n v="81.2"/>
    <m/>
    <m/>
    <n v="0"/>
    <m/>
    <n v="1"/>
    <m/>
    <n v="1"/>
    <m/>
    <n v="1"/>
    <m/>
    <n v="0"/>
  </r>
  <r>
    <x v="1191"/>
    <n v="45777"/>
    <x v="1"/>
    <x v="3"/>
    <x v="1"/>
    <x v="1"/>
    <x v="0"/>
    <n v="0"/>
    <n v="0"/>
    <n v="0"/>
    <n v="0"/>
    <x v="0"/>
    <n v="0"/>
    <n v="0"/>
    <m/>
    <n v="53.9"/>
    <m/>
    <m/>
    <n v="0"/>
    <m/>
    <n v="0"/>
    <m/>
    <n v="0"/>
    <m/>
    <n v="0"/>
    <m/>
    <n v="0"/>
  </r>
  <r>
    <x v="1192"/>
    <n v="45686"/>
    <x v="1"/>
    <x v="1"/>
    <x v="1"/>
    <x v="4"/>
    <x v="2"/>
    <n v="0"/>
    <n v="0"/>
    <n v="0"/>
    <n v="0"/>
    <x v="0"/>
    <n v="0"/>
    <n v="0"/>
    <m/>
    <n v="39.1"/>
    <m/>
    <m/>
    <n v="0"/>
    <m/>
    <n v="0"/>
    <m/>
    <n v="0"/>
    <m/>
    <n v="0"/>
    <m/>
    <n v="0"/>
  </r>
  <r>
    <x v="1193"/>
    <n v="45668"/>
    <x v="1"/>
    <x v="0"/>
    <x v="1"/>
    <x v="4"/>
    <x v="0"/>
    <n v="0"/>
    <n v="0"/>
    <n v="0"/>
    <n v="0"/>
    <x v="0"/>
    <n v="0"/>
    <n v="0"/>
    <m/>
    <n v="57.3"/>
    <m/>
    <m/>
    <n v="0"/>
    <m/>
    <n v="0"/>
    <m/>
    <n v="0"/>
    <m/>
    <n v="0"/>
    <m/>
    <n v="0"/>
  </r>
  <r>
    <x v="1194"/>
    <n v="45755"/>
    <x v="1"/>
    <x v="2"/>
    <x v="0"/>
    <x v="2"/>
    <x v="2"/>
    <n v="1"/>
    <n v="0"/>
    <n v="0"/>
    <n v="0"/>
    <x v="0"/>
    <n v="1"/>
    <n v="0"/>
    <m/>
    <n v="65.900000000000006"/>
    <m/>
    <m/>
    <n v="0"/>
    <m/>
    <n v="1"/>
    <m/>
    <n v="0"/>
    <m/>
    <n v="0"/>
    <m/>
    <n v="1"/>
  </r>
  <r>
    <x v="1195"/>
    <n v="45710"/>
    <x v="1"/>
    <x v="0"/>
    <x v="3"/>
    <x v="4"/>
    <x v="1"/>
    <n v="1"/>
    <n v="0"/>
    <n v="0"/>
    <n v="0"/>
    <x v="0"/>
    <n v="1"/>
    <n v="0"/>
    <m/>
    <n v="34.200000000000003"/>
    <m/>
    <m/>
    <n v="0"/>
    <m/>
    <n v="1"/>
    <m/>
    <n v="0"/>
    <m/>
    <n v="0"/>
    <m/>
    <n v="1"/>
  </r>
  <r>
    <x v="1196"/>
    <n v="45739"/>
    <x v="1"/>
    <x v="3"/>
    <x v="1"/>
    <x v="1"/>
    <x v="1"/>
    <n v="0"/>
    <n v="0"/>
    <n v="0"/>
    <n v="0"/>
    <x v="0"/>
    <n v="0"/>
    <n v="0"/>
    <m/>
    <n v="47.2"/>
    <m/>
    <m/>
    <n v="0"/>
    <m/>
    <n v="0"/>
    <m/>
    <n v="0"/>
    <m/>
    <n v="0"/>
    <m/>
    <n v="0"/>
  </r>
  <r>
    <x v="1197"/>
    <n v="45800"/>
    <x v="1"/>
    <x v="3"/>
    <x v="2"/>
    <x v="2"/>
    <x v="1"/>
    <n v="1"/>
    <n v="0"/>
    <n v="0"/>
    <n v="0"/>
    <x v="0"/>
    <n v="1"/>
    <n v="0"/>
    <m/>
    <n v="55"/>
    <m/>
    <m/>
    <n v="0"/>
    <m/>
    <n v="1"/>
    <m/>
    <n v="0"/>
    <m/>
    <n v="0"/>
    <m/>
    <n v="1"/>
  </r>
  <r>
    <x v="1198"/>
    <n v="45774"/>
    <x v="1"/>
    <x v="1"/>
    <x v="1"/>
    <x v="3"/>
    <x v="0"/>
    <n v="1"/>
    <n v="1"/>
    <n v="1"/>
    <n v="0"/>
    <x v="0"/>
    <n v="0"/>
    <n v="0"/>
    <m/>
    <n v="76.400000000000006"/>
    <m/>
    <m/>
    <n v="0"/>
    <m/>
    <n v="1"/>
    <m/>
    <n v="1"/>
    <m/>
    <n v="1"/>
    <m/>
    <n v="0"/>
  </r>
  <r>
    <x v="1199"/>
    <n v="45803"/>
    <x v="1"/>
    <x v="0"/>
    <x v="1"/>
    <x v="3"/>
    <x v="1"/>
    <n v="1"/>
    <n v="0"/>
    <n v="0"/>
    <n v="0"/>
    <x v="0"/>
    <n v="0"/>
    <n v="0"/>
    <m/>
    <n v="70.8"/>
    <m/>
    <m/>
    <n v="0"/>
    <m/>
    <n v="1"/>
    <m/>
    <n v="0"/>
    <m/>
    <n v="0"/>
    <m/>
    <n v="0"/>
  </r>
  <r>
    <x v="1200"/>
    <n v="45722"/>
    <x v="1"/>
    <x v="2"/>
    <x v="1"/>
    <x v="2"/>
    <x v="0"/>
    <n v="1"/>
    <n v="1"/>
    <n v="0"/>
    <n v="0"/>
    <x v="0"/>
    <n v="1"/>
    <n v="0"/>
    <m/>
    <n v="58"/>
    <m/>
    <m/>
    <n v="0"/>
    <m/>
    <n v="1"/>
    <m/>
    <n v="1"/>
    <m/>
    <n v="0"/>
    <m/>
    <n v="1"/>
  </r>
  <r>
    <x v="1201"/>
    <n v="45750"/>
    <x v="1"/>
    <x v="1"/>
    <x v="1"/>
    <x v="1"/>
    <x v="0"/>
    <n v="1"/>
    <n v="1"/>
    <n v="1"/>
    <n v="0"/>
    <x v="0"/>
    <n v="1"/>
    <n v="0"/>
    <m/>
    <n v="70.8"/>
    <m/>
    <m/>
    <n v="0"/>
    <m/>
    <n v="1"/>
    <m/>
    <n v="1"/>
    <m/>
    <n v="1"/>
    <m/>
    <n v="1"/>
  </r>
  <r>
    <x v="1202"/>
    <n v="45689"/>
    <x v="1"/>
    <x v="2"/>
    <x v="0"/>
    <x v="2"/>
    <x v="1"/>
    <n v="1"/>
    <n v="0"/>
    <n v="0"/>
    <n v="0"/>
    <x v="0"/>
    <n v="3"/>
    <n v="0"/>
    <m/>
    <n v="60"/>
    <m/>
    <m/>
    <n v="0"/>
    <m/>
    <n v="1"/>
    <m/>
    <n v="0"/>
    <m/>
    <n v="0"/>
    <m/>
    <n v="3"/>
  </r>
  <r>
    <x v="1203"/>
    <n v="45778"/>
    <x v="1"/>
    <x v="1"/>
    <x v="1"/>
    <x v="3"/>
    <x v="2"/>
    <n v="1"/>
    <n v="1"/>
    <n v="1"/>
    <n v="0"/>
    <x v="0"/>
    <n v="3"/>
    <n v="0"/>
    <m/>
    <n v="58.1"/>
    <m/>
    <m/>
    <n v="0"/>
    <m/>
    <n v="1"/>
    <m/>
    <n v="1"/>
    <m/>
    <n v="1"/>
    <m/>
    <n v="3"/>
  </r>
  <r>
    <x v="1204"/>
    <n v="45760"/>
    <x v="1"/>
    <x v="0"/>
    <x v="1"/>
    <x v="4"/>
    <x v="2"/>
    <n v="0"/>
    <n v="0"/>
    <n v="0"/>
    <n v="0"/>
    <x v="0"/>
    <n v="0"/>
    <n v="0"/>
    <m/>
    <n v="59.7"/>
    <m/>
    <m/>
    <n v="0"/>
    <m/>
    <n v="0"/>
    <m/>
    <n v="0"/>
    <m/>
    <n v="0"/>
    <m/>
    <n v="0"/>
  </r>
  <r>
    <x v="1205"/>
    <n v="45682"/>
    <x v="1"/>
    <x v="2"/>
    <x v="1"/>
    <x v="4"/>
    <x v="1"/>
    <n v="0"/>
    <n v="0"/>
    <n v="0"/>
    <n v="0"/>
    <x v="0"/>
    <n v="0"/>
    <n v="0"/>
    <m/>
    <n v="47.7"/>
    <m/>
    <m/>
    <n v="0"/>
    <m/>
    <n v="0"/>
    <m/>
    <n v="0"/>
    <m/>
    <n v="0"/>
    <m/>
    <n v="0"/>
  </r>
  <r>
    <x v="1206"/>
    <n v="45733"/>
    <x v="1"/>
    <x v="0"/>
    <x v="1"/>
    <x v="1"/>
    <x v="1"/>
    <n v="0"/>
    <n v="0"/>
    <n v="0"/>
    <n v="0"/>
    <x v="0"/>
    <n v="0"/>
    <n v="0"/>
    <m/>
    <n v="59.1"/>
    <m/>
    <m/>
    <n v="0"/>
    <m/>
    <n v="0"/>
    <m/>
    <n v="0"/>
    <m/>
    <n v="0"/>
    <m/>
    <n v="0"/>
  </r>
  <r>
    <x v="1207"/>
    <n v="45709"/>
    <x v="1"/>
    <x v="1"/>
    <x v="0"/>
    <x v="4"/>
    <x v="0"/>
    <n v="1"/>
    <n v="0"/>
    <n v="0"/>
    <n v="0"/>
    <x v="0"/>
    <n v="1"/>
    <n v="0"/>
    <m/>
    <n v="68.7"/>
    <m/>
    <m/>
    <n v="0"/>
    <m/>
    <n v="1"/>
    <m/>
    <n v="0"/>
    <m/>
    <n v="0"/>
    <m/>
    <n v="1"/>
  </r>
  <r>
    <x v="1208"/>
    <n v="45755"/>
    <x v="1"/>
    <x v="2"/>
    <x v="2"/>
    <x v="1"/>
    <x v="0"/>
    <n v="0"/>
    <n v="0"/>
    <n v="0"/>
    <n v="0"/>
    <x v="0"/>
    <n v="0"/>
    <n v="0"/>
    <m/>
    <n v="34.700000000000003"/>
    <m/>
    <m/>
    <n v="0"/>
    <m/>
    <n v="0"/>
    <m/>
    <n v="0"/>
    <m/>
    <n v="0"/>
    <m/>
    <n v="0"/>
  </r>
  <r>
    <x v="1209"/>
    <n v="45712"/>
    <x v="1"/>
    <x v="1"/>
    <x v="1"/>
    <x v="1"/>
    <x v="0"/>
    <n v="1"/>
    <n v="0"/>
    <n v="0"/>
    <n v="0"/>
    <x v="0"/>
    <n v="0"/>
    <n v="0"/>
    <m/>
    <n v="62"/>
    <m/>
    <m/>
    <n v="0"/>
    <m/>
    <n v="1"/>
    <m/>
    <n v="0"/>
    <m/>
    <n v="0"/>
    <m/>
    <n v="0"/>
  </r>
  <r>
    <x v="1210"/>
    <n v="45806"/>
    <x v="1"/>
    <x v="3"/>
    <x v="1"/>
    <x v="1"/>
    <x v="1"/>
    <n v="1"/>
    <n v="1"/>
    <n v="0"/>
    <n v="0"/>
    <x v="0"/>
    <n v="0"/>
    <n v="0"/>
    <m/>
    <n v="56"/>
    <m/>
    <m/>
    <n v="0"/>
    <m/>
    <n v="1"/>
    <m/>
    <n v="1"/>
    <m/>
    <n v="0"/>
    <m/>
    <n v="0"/>
  </r>
  <r>
    <x v="1211"/>
    <n v="45807"/>
    <x v="1"/>
    <x v="0"/>
    <x v="1"/>
    <x v="0"/>
    <x v="0"/>
    <n v="1"/>
    <n v="0"/>
    <n v="0"/>
    <n v="0"/>
    <x v="0"/>
    <n v="1"/>
    <n v="0"/>
    <m/>
    <n v="65.8"/>
    <m/>
    <m/>
    <n v="0"/>
    <m/>
    <n v="1"/>
    <m/>
    <n v="0"/>
    <m/>
    <n v="0"/>
    <m/>
    <n v="1"/>
  </r>
  <r>
    <x v="1212"/>
    <n v="45681"/>
    <x v="1"/>
    <x v="0"/>
    <x v="0"/>
    <x v="1"/>
    <x v="2"/>
    <n v="0"/>
    <n v="0"/>
    <n v="0"/>
    <n v="0"/>
    <x v="0"/>
    <n v="0"/>
    <n v="0"/>
    <m/>
    <n v="54.7"/>
    <m/>
    <m/>
    <n v="0"/>
    <m/>
    <n v="0"/>
    <m/>
    <n v="0"/>
    <m/>
    <n v="0"/>
    <m/>
    <n v="0"/>
  </r>
  <r>
    <x v="1213"/>
    <n v="45789"/>
    <x v="1"/>
    <x v="3"/>
    <x v="1"/>
    <x v="1"/>
    <x v="0"/>
    <n v="1"/>
    <n v="1"/>
    <n v="0"/>
    <n v="0"/>
    <x v="0"/>
    <n v="0"/>
    <n v="0"/>
    <m/>
    <n v="64.099999999999994"/>
    <m/>
    <m/>
    <n v="0"/>
    <m/>
    <n v="1"/>
    <m/>
    <n v="1"/>
    <m/>
    <n v="0"/>
    <m/>
    <n v="0"/>
  </r>
  <r>
    <x v="1214"/>
    <n v="45744"/>
    <x v="1"/>
    <x v="3"/>
    <x v="1"/>
    <x v="1"/>
    <x v="0"/>
    <n v="1"/>
    <n v="1"/>
    <n v="1"/>
    <n v="0"/>
    <x v="0"/>
    <n v="0"/>
    <n v="0"/>
    <m/>
    <n v="71.599999999999994"/>
    <m/>
    <m/>
    <n v="0"/>
    <m/>
    <n v="1"/>
    <m/>
    <n v="1"/>
    <m/>
    <n v="1"/>
    <m/>
    <n v="0"/>
  </r>
  <r>
    <x v="1215"/>
    <n v="45761"/>
    <x v="1"/>
    <x v="0"/>
    <x v="1"/>
    <x v="3"/>
    <x v="0"/>
    <n v="1"/>
    <n v="0"/>
    <n v="0"/>
    <n v="0"/>
    <x v="0"/>
    <n v="0"/>
    <n v="0"/>
    <m/>
    <n v="78.400000000000006"/>
    <m/>
    <m/>
    <n v="0"/>
    <m/>
    <n v="1"/>
    <m/>
    <n v="0"/>
    <m/>
    <n v="0"/>
    <m/>
    <n v="0"/>
  </r>
  <r>
    <x v="1216"/>
    <n v="45685"/>
    <x v="1"/>
    <x v="2"/>
    <x v="2"/>
    <x v="3"/>
    <x v="0"/>
    <n v="0"/>
    <n v="0"/>
    <n v="0"/>
    <n v="0"/>
    <x v="0"/>
    <n v="0"/>
    <n v="0"/>
    <m/>
    <n v="49.3"/>
    <m/>
    <m/>
    <n v="0"/>
    <m/>
    <n v="0"/>
    <m/>
    <n v="0"/>
    <m/>
    <n v="0"/>
    <m/>
    <n v="0"/>
  </r>
  <r>
    <x v="1217"/>
    <n v="45798"/>
    <x v="1"/>
    <x v="0"/>
    <x v="1"/>
    <x v="1"/>
    <x v="0"/>
    <n v="0"/>
    <n v="0"/>
    <n v="0"/>
    <n v="0"/>
    <x v="0"/>
    <n v="0"/>
    <n v="0"/>
    <m/>
    <n v="52.8"/>
    <m/>
    <m/>
    <n v="0"/>
    <m/>
    <n v="0"/>
    <m/>
    <n v="0"/>
    <m/>
    <n v="0"/>
    <m/>
    <n v="0"/>
  </r>
  <r>
    <x v="1218"/>
    <n v="45788"/>
    <x v="1"/>
    <x v="1"/>
    <x v="0"/>
    <x v="1"/>
    <x v="1"/>
    <n v="0"/>
    <n v="0"/>
    <n v="0"/>
    <n v="0"/>
    <x v="0"/>
    <n v="0"/>
    <n v="0"/>
    <m/>
    <n v="58.5"/>
    <m/>
    <m/>
    <n v="0"/>
    <m/>
    <n v="0"/>
    <m/>
    <n v="0"/>
    <m/>
    <n v="0"/>
    <m/>
    <n v="0"/>
  </r>
  <r>
    <x v="1219"/>
    <n v="45690"/>
    <x v="1"/>
    <x v="3"/>
    <x v="1"/>
    <x v="2"/>
    <x v="1"/>
    <n v="1"/>
    <n v="0"/>
    <n v="0"/>
    <n v="0"/>
    <x v="0"/>
    <n v="0"/>
    <n v="0"/>
    <m/>
    <n v="55.9"/>
    <m/>
    <m/>
    <n v="0"/>
    <m/>
    <n v="1"/>
    <m/>
    <n v="0"/>
    <m/>
    <n v="0"/>
    <m/>
    <n v="0"/>
  </r>
  <r>
    <x v="1220"/>
    <n v="45714"/>
    <x v="1"/>
    <x v="0"/>
    <x v="1"/>
    <x v="4"/>
    <x v="1"/>
    <n v="1"/>
    <n v="1"/>
    <n v="1"/>
    <n v="1"/>
    <x v="60"/>
    <n v="1"/>
    <n v="0"/>
    <n v="6"/>
    <n v="74.900000000000006"/>
    <m/>
    <m/>
    <n v="0"/>
    <m/>
    <n v="1"/>
    <m/>
    <n v="1"/>
    <m/>
    <n v="1"/>
    <m/>
    <n v="1"/>
  </r>
  <r>
    <x v="1221"/>
    <n v="45715"/>
    <x v="1"/>
    <x v="3"/>
    <x v="0"/>
    <x v="3"/>
    <x v="1"/>
    <n v="1"/>
    <n v="1"/>
    <n v="1"/>
    <n v="1"/>
    <x v="61"/>
    <n v="0"/>
    <n v="0"/>
    <n v="4"/>
    <n v="58.5"/>
    <m/>
    <m/>
    <n v="1"/>
    <m/>
    <n v="1"/>
    <m/>
    <n v="1"/>
    <m/>
    <n v="1"/>
    <m/>
    <n v="0"/>
  </r>
  <r>
    <x v="1222"/>
    <n v="45725"/>
    <x v="1"/>
    <x v="1"/>
    <x v="1"/>
    <x v="1"/>
    <x v="1"/>
    <n v="0"/>
    <n v="0"/>
    <n v="0"/>
    <n v="0"/>
    <x v="0"/>
    <n v="0"/>
    <n v="0"/>
    <m/>
    <n v="63.5"/>
    <m/>
    <m/>
    <n v="1"/>
    <m/>
    <n v="0"/>
    <m/>
    <n v="0"/>
    <m/>
    <n v="0"/>
    <m/>
    <n v="0"/>
  </r>
  <r>
    <x v="1223"/>
    <n v="45695"/>
    <x v="1"/>
    <x v="0"/>
    <x v="1"/>
    <x v="2"/>
    <x v="0"/>
    <n v="1"/>
    <n v="0"/>
    <n v="0"/>
    <n v="0"/>
    <x v="0"/>
    <n v="1"/>
    <n v="0"/>
    <m/>
    <n v="64.8"/>
    <m/>
    <m/>
    <n v="0"/>
    <m/>
    <n v="1"/>
    <m/>
    <n v="0"/>
    <m/>
    <n v="0"/>
    <m/>
    <n v="1"/>
  </r>
  <r>
    <x v="1224"/>
    <n v="45688"/>
    <x v="1"/>
    <x v="1"/>
    <x v="1"/>
    <x v="4"/>
    <x v="1"/>
    <n v="0"/>
    <n v="0"/>
    <n v="0"/>
    <n v="0"/>
    <x v="0"/>
    <n v="0"/>
    <n v="0"/>
    <m/>
    <n v="63.3"/>
    <m/>
    <m/>
    <n v="0"/>
    <m/>
    <n v="0"/>
    <m/>
    <n v="0"/>
    <m/>
    <n v="0"/>
    <m/>
    <n v="0"/>
  </r>
  <r>
    <x v="1225"/>
    <n v="45702"/>
    <x v="1"/>
    <x v="0"/>
    <x v="2"/>
    <x v="2"/>
    <x v="0"/>
    <n v="1"/>
    <n v="1"/>
    <n v="1"/>
    <n v="1"/>
    <x v="62"/>
    <n v="0"/>
    <n v="0"/>
    <n v="8"/>
    <n v="83.7"/>
    <m/>
    <m/>
    <n v="0"/>
    <m/>
    <n v="1"/>
    <m/>
    <n v="1"/>
    <m/>
    <n v="1"/>
    <m/>
    <n v="0"/>
  </r>
  <r>
    <x v="1226"/>
    <n v="45700"/>
    <x v="1"/>
    <x v="3"/>
    <x v="0"/>
    <x v="4"/>
    <x v="0"/>
    <n v="0"/>
    <n v="0"/>
    <n v="0"/>
    <n v="0"/>
    <x v="0"/>
    <n v="0"/>
    <n v="0"/>
    <m/>
    <n v="88.7"/>
    <m/>
    <m/>
    <n v="1"/>
    <m/>
    <n v="0"/>
    <m/>
    <n v="0"/>
    <m/>
    <n v="0"/>
    <m/>
    <n v="0"/>
  </r>
  <r>
    <x v="1227"/>
    <n v="45739"/>
    <x v="1"/>
    <x v="2"/>
    <x v="3"/>
    <x v="2"/>
    <x v="1"/>
    <n v="1"/>
    <n v="0"/>
    <n v="0"/>
    <n v="0"/>
    <x v="0"/>
    <n v="1"/>
    <n v="0"/>
    <m/>
    <n v="61.5"/>
    <m/>
    <m/>
    <n v="0"/>
    <m/>
    <n v="1"/>
    <m/>
    <n v="0"/>
    <m/>
    <n v="0"/>
    <m/>
    <n v="1"/>
  </r>
  <r>
    <x v="1228"/>
    <n v="45734"/>
    <x v="1"/>
    <x v="1"/>
    <x v="1"/>
    <x v="2"/>
    <x v="1"/>
    <n v="0"/>
    <n v="0"/>
    <n v="0"/>
    <n v="0"/>
    <x v="0"/>
    <n v="0"/>
    <n v="0"/>
    <m/>
    <n v="45.3"/>
    <m/>
    <m/>
    <n v="0"/>
    <m/>
    <n v="0"/>
    <m/>
    <n v="0"/>
    <m/>
    <n v="0"/>
    <m/>
    <n v="0"/>
  </r>
  <r>
    <x v="1229"/>
    <n v="45794"/>
    <x v="1"/>
    <x v="0"/>
    <x v="1"/>
    <x v="4"/>
    <x v="1"/>
    <n v="1"/>
    <n v="0"/>
    <n v="0"/>
    <n v="0"/>
    <x v="0"/>
    <n v="0"/>
    <n v="0"/>
    <m/>
    <n v="37.299999999999997"/>
    <m/>
    <m/>
    <n v="0"/>
    <m/>
    <n v="1"/>
    <m/>
    <n v="0"/>
    <m/>
    <n v="0"/>
    <m/>
    <n v="0"/>
  </r>
  <r>
    <x v="1230"/>
    <n v="45742"/>
    <x v="1"/>
    <x v="1"/>
    <x v="0"/>
    <x v="4"/>
    <x v="2"/>
    <n v="1"/>
    <n v="0"/>
    <n v="0"/>
    <n v="0"/>
    <x v="0"/>
    <n v="1"/>
    <n v="0"/>
    <m/>
    <n v="76.099999999999994"/>
    <m/>
    <m/>
    <n v="0"/>
    <m/>
    <n v="1"/>
    <m/>
    <n v="0"/>
    <m/>
    <n v="0"/>
    <m/>
    <n v="1"/>
  </r>
  <r>
    <x v="1231"/>
    <n v="45746"/>
    <x v="1"/>
    <x v="2"/>
    <x v="1"/>
    <x v="1"/>
    <x v="1"/>
    <n v="1"/>
    <n v="1"/>
    <n v="1"/>
    <n v="0"/>
    <x v="0"/>
    <n v="1"/>
    <n v="0"/>
    <m/>
    <n v="72.5"/>
    <m/>
    <m/>
    <n v="0"/>
    <m/>
    <n v="1"/>
    <m/>
    <n v="1"/>
    <m/>
    <n v="1"/>
    <m/>
    <n v="1"/>
  </r>
  <r>
    <x v="1232"/>
    <n v="45713"/>
    <x v="1"/>
    <x v="2"/>
    <x v="0"/>
    <x v="1"/>
    <x v="1"/>
    <n v="1"/>
    <n v="0"/>
    <n v="0"/>
    <n v="0"/>
    <x v="0"/>
    <n v="0"/>
    <n v="0"/>
    <m/>
    <n v="62.3"/>
    <m/>
    <m/>
    <n v="0"/>
    <m/>
    <n v="1"/>
    <m/>
    <n v="0"/>
    <m/>
    <n v="0"/>
    <m/>
    <n v="0"/>
  </r>
  <r>
    <x v="1233"/>
    <n v="45717"/>
    <x v="1"/>
    <x v="2"/>
    <x v="0"/>
    <x v="4"/>
    <x v="1"/>
    <n v="0"/>
    <n v="0"/>
    <n v="0"/>
    <n v="0"/>
    <x v="0"/>
    <n v="0"/>
    <n v="0"/>
    <m/>
    <n v="62.7"/>
    <m/>
    <m/>
    <n v="0"/>
    <m/>
    <n v="0"/>
    <m/>
    <n v="0"/>
    <m/>
    <n v="0"/>
    <m/>
    <n v="0"/>
  </r>
  <r>
    <x v="1234"/>
    <n v="45804"/>
    <x v="1"/>
    <x v="0"/>
    <x v="1"/>
    <x v="2"/>
    <x v="0"/>
    <n v="0"/>
    <n v="0"/>
    <n v="0"/>
    <n v="0"/>
    <x v="0"/>
    <n v="0"/>
    <n v="0"/>
    <m/>
    <n v="82.4"/>
    <m/>
    <m/>
    <n v="0"/>
    <m/>
    <n v="0"/>
    <m/>
    <n v="0"/>
    <m/>
    <n v="0"/>
    <m/>
    <n v="0"/>
  </r>
  <r>
    <x v="1235"/>
    <n v="45693"/>
    <x v="1"/>
    <x v="1"/>
    <x v="1"/>
    <x v="5"/>
    <x v="2"/>
    <n v="1"/>
    <n v="0"/>
    <n v="0"/>
    <n v="0"/>
    <x v="0"/>
    <n v="0"/>
    <n v="0"/>
    <m/>
    <n v="78.900000000000006"/>
    <m/>
    <m/>
    <n v="0"/>
    <m/>
    <n v="1"/>
    <m/>
    <n v="0"/>
    <m/>
    <n v="0"/>
    <m/>
    <n v="0"/>
  </r>
  <r>
    <x v="1236"/>
    <n v="45682"/>
    <x v="1"/>
    <x v="1"/>
    <x v="0"/>
    <x v="0"/>
    <x v="1"/>
    <n v="1"/>
    <n v="1"/>
    <n v="1"/>
    <n v="1"/>
    <x v="63"/>
    <n v="0"/>
    <n v="0"/>
    <n v="4"/>
    <n v="67.8"/>
    <m/>
    <m/>
    <n v="0"/>
    <m/>
    <n v="1"/>
    <m/>
    <n v="1"/>
    <m/>
    <n v="1"/>
    <m/>
    <n v="0"/>
  </r>
  <r>
    <x v="1237"/>
    <n v="45757"/>
    <x v="1"/>
    <x v="2"/>
    <x v="1"/>
    <x v="1"/>
    <x v="2"/>
    <n v="1"/>
    <n v="0"/>
    <n v="0"/>
    <n v="0"/>
    <x v="0"/>
    <n v="0"/>
    <n v="0"/>
    <m/>
    <n v="68.8"/>
    <m/>
    <m/>
    <n v="1"/>
    <m/>
    <n v="1"/>
    <m/>
    <n v="0"/>
    <m/>
    <n v="0"/>
    <m/>
    <n v="0"/>
  </r>
  <r>
    <x v="1238"/>
    <n v="45667"/>
    <x v="1"/>
    <x v="2"/>
    <x v="1"/>
    <x v="1"/>
    <x v="2"/>
    <n v="1"/>
    <n v="0"/>
    <n v="0"/>
    <n v="0"/>
    <x v="0"/>
    <n v="0"/>
    <n v="0"/>
    <m/>
    <n v="67.7"/>
    <m/>
    <m/>
    <n v="0"/>
    <m/>
    <n v="1"/>
    <m/>
    <n v="0"/>
    <m/>
    <n v="0"/>
    <m/>
    <n v="0"/>
  </r>
  <r>
    <x v="1239"/>
    <n v="45711"/>
    <x v="1"/>
    <x v="2"/>
    <x v="1"/>
    <x v="5"/>
    <x v="1"/>
    <n v="0"/>
    <n v="0"/>
    <n v="0"/>
    <n v="0"/>
    <x v="0"/>
    <n v="0"/>
    <n v="0"/>
    <m/>
    <n v="88"/>
    <m/>
    <m/>
    <n v="0"/>
    <m/>
    <n v="0"/>
    <m/>
    <n v="0"/>
    <m/>
    <n v="0"/>
    <m/>
    <n v="0"/>
  </r>
  <r>
    <x v="1240"/>
    <n v="45800"/>
    <x v="1"/>
    <x v="1"/>
    <x v="0"/>
    <x v="1"/>
    <x v="0"/>
    <n v="1"/>
    <n v="1"/>
    <n v="0"/>
    <n v="0"/>
    <x v="0"/>
    <n v="0"/>
    <n v="0"/>
    <m/>
    <n v="80.099999999999994"/>
    <m/>
    <m/>
    <n v="0"/>
    <m/>
    <n v="1"/>
    <m/>
    <n v="1"/>
    <m/>
    <n v="0"/>
    <m/>
    <n v="0"/>
  </r>
  <r>
    <x v="1241"/>
    <n v="45724"/>
    <x v="1"/>
    <x v="0"/>
    <x v="2"/>
    <x v="0"/>
    <x v="0"/>
    <n v="0"/>
    <n v="0"/>
    <n v="0"/>
    <n v="0"/>
    <x v="0"/>
    <n v="1"/>
    <n v="0"/>
    <m/>
    <n v="48.2"/>
    <m/>
    <m/>
    <n v="0"/>
    <m/>
    <n v="0"/>
    <m/>
    <n v="0"/>
    <m/>
    <n v="0"/>
    <m/>
    <n v="1"/>
  </r>
  <r>
    <x v="1242"/>
    <n v="45798"/>
    <x v="1"/>
    <x v="2"/>
    <x v="1"/>
    <x v="1"/>
    <x v="0"/>
    <n v="1"/>
    <n v="0"/>
    <n v="0"/>
    <n v="0"/>
    <x v="0"/>
    <n v="0"/>
    <n v="0"/>
    <m/>
    <n v="52.7"/>
    <m/>
    <m/>
    <n v="0"/>
    <m/>
    <n v="1"/>
    <m/>
    <n v="0"/>
    <m/>
    <n v="0"/>
    <m/>
    <n v="0"/>
  </r>
  <r>
    <x v="1243"/>
    <n v="45769"/>
    <x v="1"/>
    <x v="0"/>
    <x v="1"/>
    <x v="0"/>
    <x v="0"/>
    <n v="1"/>
    <n v="1"/>
    <n v="0"/>
    <n v="0"/>
    <x v="0"/>
    <n v="0"/>
    <n v="0"/>
    <m/>
    <n v="59.9"/>
    <m/>
    <m/>
    <n v="0"/>
    <m/>
    <n v="1"/>
    <m/>
    <n v="1"/>
    <m/>
    <n v="0"/>
    <m/>
    <n v="0"/>
  </r>
  <r>
    <x v="1244"/>
    <n v="45763"/>
    <x v="1"/>
    <x v="0"/>
    <x v="1"/>
    <x v="0"/>
    <x v="2"/>
    <n v="1"/>
    <n v="0"/>
    <n v="0"/>
    <n v="0"/>
    <x v="0"/>
    <n v="0"/>
    <n v="0"/>
    <m/>
    <n v="49.5"/>
    <m/>
    <m/>
    <n v="0"/>
    <m/>
    <n v="1"/>
    <m/>
    <n v="0"/>
    <m/>
    <n v="0"/>
    <m/>
    <n v="0"/>
  </r>
  <r>
    <x v="1245"/>
    <n v="45785"/>
    <x v="1"/>
    <x v="0"/>
    <x v="2"/>
    <x v="1"/>
    <x v="1"/>
    <n v="1"/>
    <n v="0"/>
    <n v="0"/>
    <n v="0"/>
    <x v="0"/>
    <n v="0"/>
    <n v="0"/>
    <m/>
    <n v="41.5"/>
    <m/>
    <m/>
    <n v="0"/>
    <m/>
    <n v="1"/>
    <m/>
    <n v="0"/>
    <m/>
    <n v="0"/>
    <m/>
    <n v="0"/>
  </r>
  <r>
    <x v="1246"/>
    <n v="45799"/>
    <x v="1"/>
    <x v="0"/>
    <x v="1"/>
    <x v="2"/>
    <x v="0"/>
    <n v="1"/>
    <n v="0"/>
    <n v="0"/>
    <n v="0"/>
    <x v="0"/>
    <n v="0"/>
    <n v="0"/>
    <m/>
    <n v="71.2"/>
    <m/>
    <m/>
    <n v="0"/>
    <m/>
    <n v="1"/>
    <m/>
    <n v="0"/>
    <m/>
    <n v="0"/>
    <m/>
    <n v="0"/>
  </r>
  <r>
    <x v="1247"/>
    <n v="45737"/>
    <x v="1"/>
    <x v="0"/>
    <x v="1"/>
    <x v="3"/>
    <x v="0"/>
    <n v="1"/>
    <n v="1"/>
    <n v="1"/>
    <n v="0"/>
    <x v="0"/>
    <n v="0"/>
    <n v="0"/>
    <m/>
    <n v="65.8"/>
    <m/>
    <m/>
    <n v="0"/>
    <m/>
    <n v="1"/>
    <m/>
    <n v="1"/>
    <m/>
    <n v="1"/>
    <m/>
    <n v="0"/>
  </r>
  <r>
    <x v="1248"/>
    <n v="45738"/>
    <x v="1"/>
    <x v="2"/>
    <x v="1"/>
    <x v="1"/>
    <x v="0"/>
    <n v="1"/>
    <n v="0"/>
    <n v="0"/>
    <n v="0"/>
    <x v="0"/>
    <n v="1"/>
    <n v="0"/>
    <m/>
    <n v="55.1"/>
    <m/>
    <m/>
    <n v="0"/>
    <m/>
    <n v="1"/>
    <m/>
    <n v="0"/>
    <m/>
    <n v="0"/>
    <m/>
    <n v="1"/>
  </r>
  <r>
    <x v="1249"/>
    <n v="45667"/>
    <x v="1"/>
    <x v="1"/>
    <x v="0"/>
    <x v="4"/>
    <x v="1"/>
    <n v="1"/>
    <n v="0"/>
    <n v="0"/>
    <n v="0"/>
    <x v="0"/>
    <n v="0"/>
    <n v="0"/>
    <m/>
    <n v="54.6"/>
    <m/>
    <m/>
    <n v="0"/>
    <m/>
    <n v="1"/>
    <m/>
    <n v="0"/>
    <m/>
    <n v="0"/>
    <m/>
    <n v="0"/>
  </r>
  <r>
    <x v="1250"/>
    <n v="45689"/>
    <x v="1"/>
    <x v="2"/>
    <x v="1"/>
    <x v="1"/>
    <x v="0"/>
    <n v="1"/>
    <n v="1"/>
    <n v="1"/>
    <n v="1"/>
    <x v="64"/>
    <n v="0"/>
    <n v="0"/>
    <n v="4"/>
    <n v="81.900000000000006"/>
    <m/>
    <m/>
    <n v="0"/>
    <m/>
    <n v="1"/>
    <m/>
    <n v="1"/>
    <m/>
    <n v="1"/>
    <m/>
    <n v="0"/>
  </r>
  <r>
    <x v="1251"/>
    <n v="45747"/>
    <x v="1"/>
    <x v="3"/>
    <x v="1"/>
    <x v="2"/>
    <x v="0"/>
    <n v="1"/>
    <n v="1"/>
    <n v="0"/>
    <n v="0"/>
    <x v="0"/>
    <n v="3"/>
    <n v="0"/>
    <m/>
    <n v="63.2"/>
    <m/>
    <m/>
    <n v="1"/>
    <m/>
    <n v="1"/>
    <m/>
    <n v="1"/>
    <m/>
    <n v="0"/>
    <m/>
    <n v="3"/>
  </r>
  <r>
    <x v="1252"/>
    <n v="45772"/>
    <x v="1"/>
    <x v="0"/>
    <x v="1"/>
    <x v="2"/>
    <x v="1"/>
    <n v="1"/>
    <n v="0"/>
    <n v="0"/>
    <n v="0"/>
    <x v="0"/>
    <n v="0"/>
    <n v="0"/>
    <m/>
    <n v="55.4"/>
    <m/>
    <m/>
    <n v="0"/>
    <m/>
    <n v="1"/>
    <m/>
    <n v="0"/>
    <m/>
    <n v="0"/>
    <m/>
    <n v="0"/>
  </r>
  <r>
    <x v="1253"/>
    <n v="45779"/>
    <x v="1"/>
    <x v="1"/>
    <x v="1"/>
    <x v="4"/>
    <x v="0"/>
    <n v="0"/>
    <n v="0"/>
    <n v="0"/>
    <n v="0"/>
    <x v="0"/>
    <n v="0"/>
    <n v="0"/>
    <m/>
    <n v="87.5"/>
    <m/>
    <m/>
    <n v="0"/>
    <m/>
    <n v="0"/>
    <m/>
    <n v="0"/>
    <m/>
    <n v="0"/>
    <m/>
    <n v="0"/>
  </r>
  <r>
    <x v="1254"/>
    <n v="45724"/>
    <x v="1"/>
    <x v="3"/>
    <x v="0"/>
    <x v="4"/>
    <x v="0"/>
    <n v="1"/>
    <n v="0"/>
    <n v="0"/>
    <n v="0"/>
    <x v="0"/>
    <n v="0"/>
    <n v="0"/>
    <m/>
    <n v="48.5"/>
    <m/>
    <m/>
    <n v="0"/>
    <m/>
    <n v="1"/>
    <m/>
    <n v="0"/>
    <m/>
    <n v="0"/>
    <m/>
    <n v="0"/>
  </r>
  <r>
    <x v="1255"/>
    <n v="45684"/>
    <x v="1"/>
    <x v="2"/>
    <x v="0"/>
    <x v="5"/>
    <x v="1"/>
    <n v="1"/>
    <n v="1"/>
    <n v="1"/>
    <n v="1"/>
    <x v="65"/>
    <n v="0"/>
    <n v="0"/>
    <n v="6"/>
    <n v="58.4"/>
    <m/>
    <m/>
    <n v="0"/>
    <m/>
    <n v="1"/>
    <m/>
    <n v="1"/>
    <m/>
    <n v="1"/>
    <m/>
    <n v="0"/>
  </r>
  <r>
    <x v="1256"/>
    <n v="45774"/>
    <x v="1"/>
    <x v="1"/>
    <x v="1"/>
    <x v="2"/>
    <x v="1"/>
    <n v="0"/>
    <n v="0"/>
    <n v="0"/>
    <n v="0"/>
    <x v="0"/>
    <n v="0"/>
    <n v="0"/>
    <m/>
    <n v="59.5"/>
    <m/>
    <m/>
    <n v="1"/>
    <m/>
    <n v="0"/>
    <m/>
    <n v="0"/>
    <m/>
    <n v="0"/>
    <m/>
    <n v="0"/>
  </r>
  <r>
    <x v="1257"/>
    <n v="45673"/>
    <x v="1"/>
    <x v="1"/>
    <x v="0"/>
    <x v="2"/>
    <x v="0"/>
    <n v="1"/>
    <n v="0"/>
    <n v="0"/>
    <n v="0"/>
    <x v="0"/>
    <n v="0"/>
    <n v="0"/>
    <m/>
    <n v="93.2"/>
    <m/>
    <m/>
    <n v="0"/>
    <m/>
    <n v="1"/>
    <m/>
    <n v="0"/>
    <m/>
    <n v="0"/>
    <m/>
    <n v="0"/>
  </r>
  <r>
    <x v="1258"/>
    <n v="45675"/>
    <x v="1"/>
    <x v="1"/>
    <x v="0"/>
    <x v="2"/>
    <x v="0"/>
    <n v="1"/>
    <n v="0"/>
    <n v="0"/>
    <n v="0"/>
    <x v="0"/>
    <n v="0"/>
    <n v="0"/>
    <m/>
    <n v="59"/>
    <m/>
    <m/>
    <n v="0"/>
    <m/>
    <n v="1"/>
    <m/>
    <n v="0"/>
    <m/>
    <n v="0"/>
    <m/>
    <n v="0"/>
  </r>
  <r>
    <x v="1259"/>
    <n v="45737"/>
    <x v="1"/>
    <x v="0"/>
    <x v="1"/>
    <x v="1"/>
    <x v="1"/>
    <n v="1"/>
    <n v="0"/>
    <n v="0"/>
    <n v="0"/>
    <x v="0"/>
    <n v="0"/>
    <n v="0"/>
    <m/>
    <n v="37"/>
    <m/>
    <m/>
    <n v="0"/>
    <m/>
    <n v="1"/>
    <m/>
    <n v="0"/>
    <m/>
    <n v="0"/>
    <m/>
    <n v="0"/>
  </r>
  <r>
    <x v="1260"/>
    <n v="45749"/>
    <x v="1"/>
    <x v="0"/>
    <x v="0"/>
    <x v="2"/>
    <x v="1"/>
    <n v="1"/>
    <n v="0"/>
    <n v="0"/>
    <n v="0"/>
    <x v="0"/>
    <n v="0"/>
    <n v="0"/>
    <m/>
    <n v="47.5"/>
    <m/>
    <m/>
    <n v="0"/>
    <m/>
    <n v="1"/>
    <m/>
    <n v="0"/>
    <m/>
    <n v="0"/>
    <m/>
    <n v="0"/>
  </r>
  <r>
    <x v="1261"/>
    <n v="45704"/>
    <x v="1"/>
    <x v="1"/>
    <x v="0"/>
    <x v="1"/>
    <x v="1"/>
    <n v="1"/>
    <n v="1"/>
    <n v="1"/>
    <n v="0"/>
    <x v="0"/>
    <n v="0"/>
    <n v="0"/>
    <m/>
    <n v="78.7"/>
    <m/>
    <m/>
    <n v="0"/>
    <m/>
    <n v="1"/>
    <m/>
    <n v="1"/>
    <m/>
    <n v="1"/>
    <m/>
    <n v="0"/>
  </r>
  <r>
    <x v="1262"/>
    <n v="45706"/>
    <x v="1"/>
    <x v="0"/>
    <x v="1"/>
    <x v="4"/>
    <x v="1"/>
    <n v="1"/>
    <n v="0"/>
    <n v="0"/>
    <n v="0"/>
    <x v="0"/>
    <n v="0"/>
    <n v="0"/>
    <m/>
    <n v="49.6"/>
    <m/>
    <m/>
    <n v="0"/>
    <m/>
    <n v="1"/>
    <m/>
    <n v="0"/>
    <m/>
    <n v="0"/>
    <m/>
    <n v="0"/>
  </r>
  <r>
    <x v="1263"/>
    <n v="45666"/>
    <x v="1"/>
    <x v="2"/>
    <x v="1"/>
    <x v="1"/>
    <x v="1"/>
    <n v="1"/>
    <n v="0"/>
    <n v="0"/>
    <n v="0"/>
    <x v="0"/>
    <n v="0"/>
    <n v="0"/>
    <m/>
    <n v="58"/>
    <m/>
    <m/>
    <n v="0"/>
    <m/>
    <n v="1"/>
    <m/>
    <n v="0"/>
    <m/>
    <n v="0"/>
    <m/>
    <n v="0"/>
  </r>
  <r>
    <x v="1264"/>
    <n v="45706"/>
    <x v="1"/>
    <x v="0"/>
    <x v="0"/>
    <x v="2"/>
    <x v="1"/>
    <n v="1"/>
    <n v="0"/>
    <n v="0"/>
    <n v="0"/>
    <x v="0"/>
    <n v="1"/>
    <n v="0"/>
    <m/>
    <n v="54.4"/>
    <m/>
    <m/>
    <n v="0"/>
    <m/>
    <n v="1"/>
    <m/>
    <n v="0"/>
    <m/>
    <n v="0"/>
    <m/>
    <n v="1"/>
  </r>
  <r>
    <x v="1265"/>
    <n v="45667"/>
    <x v="1"/>
    <x v="2"/>
    <x v="1"/>
    <x v="3"/>
    <x v="1"/>
    <n v="0"/>
    <n v="0"/>
    <n v="0"/>
    <n v="0"/>
    <x v="0"/>
    <n v="0"/>
    <n v="0"/>
    <m/>
    <n v="33.700000000000003"/>
    <m/>
    <m/>
    <n v="0"/>
    <m/>
    <n v="0"/>
    <m/>
    <n v="0"/>
    <m/>
    <n v="0"/>
    <m/>
    <n v="0"/>
  </r>
  <r>
    <x v="1266"/>
    <n v="45724"/>
    <x v="1"/>
    <x v="1"/>
    <x v="1"/>
    <x v="0"/>
    <x v="1"/>
    <n v="1"/>
    <n v="0"/>
    <n v="0"/>
    <n v="0"/>
    <x v="0"/>
    <n v="0"/>
    <n v="0"/>
    <m/>
    <n v="72.7"/>
    <m/>
    <m/>
    <n v="0"/>
    <m/>
    <n v="1"/>
    <m/>
    <n v="0"/>
    <m/>
    <n v="0"/>
    <m/>
    <n v="0"/>
  </r>
  <r>
    <x v="1267"/>
    <n v="45763"/>
    <x v="1"/>
    <x v="2"/>
    <x v="0"/>
    <x v="2"/>
    <x v="0"/>
    <n v="0"/>
    <n v="0"/>
    <n v="0"/>
    <n v="0"/>
    <x v="0"/>
    <n v="0"/>
    <n v="0"/>
    <m/>
    <n v="64.7"/>
    <m/>
    <m/>
    <n v="0"/>
    <m/>
    <n v="0"/>
    <m/>
    <n v="0"/>
    <m/>
    <n v="0"/>
    <m/>
    <n v="0"/>
  </r>
  <r>
    <x v="1268"/>
    <n v="45707"/>
    <x v="1"/>
    <x v="1"/>
    <x v="0"/>
    <x v="2"/>
    <x v="2"/>
    <n v="0"/>
    <n v="0"/>
    <n v="0"/>
    <n v="0"/>
    <x v="0"/>
    <n v="1"/>
    <n v="0"/>
    <m/>
    <n v="48.6"/>
    <m/>
    <m/>
    <n v="0"/>
    <m/>
    <n v="0"/>
    <m/>
    <n v="0"/>
    <m/>
    <n v="0"/>
    <m/>
    <n v="1"/>
  </r>
  <r>
    <x v="1269"/>
    <n v="45732"/>
    <x v="1"/>
    <x v="2"/>
    <x v="0"/>
    <x v="4"/>
    <x v="1"/>
    <n v="1"/>
    <n v="1"/>
    <n v="0"/>
    <n v="0"/>
    <x v="0"/>
    <n v="0"/>
    <n v="0"/>
    <m/>
    <n v="66.2"/>
    <m/>
    <m/>
    <n v="0"/>
    <m/>
    <n v="1"/>
    <m/>
    <n v="1"/>
    <m/>
    <n v="0"/>
    <m/>
    <n v="0"/>
  </r>
  <r>
    <x v="1270"/>
    <n v="45691"/>
    <x v="1"/>
    <x v="1"/>
    <x v="3"/>
    <x v="3"/>
    <x v="0"/>
    <n v="1"/>
    <n v="0"/>
    <n v="0"/>
    <n v="0"/>
    <x v="0"/>
    <n v="1"/>
    <n v="0"/>
    <m/>
    <n v="60.7"/>
    <m/>
    <m/>
    <n v="0"/>
    <m/>
    <n v="1"/>
    <m/>
    <n v="0"/>
    <m/>
    <n v="0"/>
    <m/>
    <n v="1"/>
  </r>
  <r>
    <x v="1271"/>
    <n v="45728"/>
    <x v="1"/>
    <x v="1"/>
    <x v="1"/>
    <x v="2"/>
    <x v="0"/>
    <n v="1"/>
    <n v="0"/>
    <n v="0"/>
    <n v="0"/>
    <x v="0"/>
    <n v="0"/>
    <n v="0"/>
    <m/>
    <n v="36.5"/>
    <m/>
    <m/>
    <n v="0"/>
    <m/>
    <n v="1"/>
    <m/>
    <n v="0"/>
    <m/>
    <n v="0"/>
    <m/>
    <n v="0"/>
  </r>
  <r>
    <x v="1272"/>
    <n v="45786"/>
    <x v="1"/>
    <x v="1"/>
    <x v="1"/>
    <x v="4"/>
    <x v="1"/>
    <n v="1"/>
    <n v="1"/>
    <n v="1"/>
    <n v="0"/>
    <x v="0"/>
    <n v="3"/>
    <n v="0"/>
    <m/>
    <n v="69.7"/>
    <m/>
    <m/>
    <n v="0"/>
    <m/>
    <n v="1"/>
    <m/>
    <n v="1"/>
    <m/>
    <n v="1"/>
    <m/>
    <n v="3"/>
  </r>
  <r>
    <x v="1273"/>
    <n v="45676"/>
    <x v="1"/>
    <x v="3"/>
    <x v="0"/>
    <x v="4"/>
    <x v="2"/>
    <n v="1"/>
    <n v="0"/>
    <n v="0"/>
    <n v="0"/>
    <x v="0"/>
    <n v="0"/>
    <n v="0"/>
    <m/>
    <n v="81.8"/>
    <m/>
    <m/>
    <n v="0"/>
    <m/>
    <n v="1"/>
    <m/>
    <n v="0"/>
    <m/>
    <n v="0"/>
    <m/>
    <n v="0"/>
  </r>
  <r>
    <x v="1274"/>
    <n v="45681"/>
    <x v="1"/>
    <x v="1"/>
    <x v="1"/>
    <x v="3"/>
    <x v="1"/>
    <n v="1"/>
    <n v="1"/>
    <n v="1"/>
    <n v="0"/>
    <x v="0"/>
    <n v="1"/>
    <n v="0"/>
    <m/>
    <n v="78.3"/>
    <m/>
    <m/>
    <n v="0"/>
    <m/>
    <n v="1"/>
    <m/>
    <n v="1"/>
    <m/>
    <n v="1"/>
    <m/>
    <n v="1"/>
  </r>
  <r>
    <x v="1275"/>
    <n v="45719"/>
    <x v="1"/>
    <x v="2"/>
    <x v="1"/>
    <x v="3"/>
    <x v="1"/>
    <n v="1"/>
    <n v="1"/>
    <n v="0"/>
    <n v="0"/>
    <x v="0"/>
    <n v="0"/>
    <n v="0"/>
    <m/>
    <n v="79.400000000000006"/>
    <m/>
    <m/>
    <n v="0"/>
    <m/>
    <n v="1"/>
    <m/>
    <n v="1"/>
    <m/>
    <n v="0"/>
    <m/>
    <n v="0"/>
  </r>
  <r>
    <x v="1276"/>
    <n v="45804"/>
    <x v="1"/>
    <x v="0"/>
    <x v="0"/>
    <x v="3"/>
    <x v="1"/>
    <n v="1"/>
    <n v="1"/>
    <n v="1"/>
    <n v="0"/>
    <x v="0"/>
    <n v="0"/>
    <n v="0"/>
    <m/>
    <n v="54.9"/>
    <m/>
    <m/>
    <n v="0"/>
    <m/>
    <n v="1"/>
    <m/>
    <n v="1"/>
    <m/>
    <n v="1"/>
    <m/>
    <n v="0"/>
  </r>
  <r>
    <x v="1277"/>
    <n v="45770"/>
    <x v="1"/>
    <x v="1"/>
    <x v="0"/>
    <x v="1"/>
    <x v="0"/>
    <n v="1"/>
    <n v="0"/>
    <n v="0"/>
    <n v="0"/>
    <x v="0"/>
    <n v="0"/>
    <n v="0"/>
    <m/>
    <n v="54.9"/>
    <m/>
    <m/>
    <n v="0"/>
    <m/>
    <n v="1"/>
    <m/>
    <n v="0"/>
    <m/>
    <n v="0"/>
    <m/>
    <n v="0"/>
  </r>
  <r>
    <x v="1278"/>
    <n v="45698"/>
    <x v="1"/>
    <x v="2"/>
    <x v="0"/>
    <x v="4"/>
    <x v="1"/>
    <n v="0"/>
    <n v="0"/>
    <n v="0"/>
    <n v="0"/>
    <x v="0"/>
    <n v="0"/>
    <n v="0"/>
    <m/>
    <n v="28.7"/>
    <m/>
    <m/>
    <n v="0"/>
    <m/>
    <n v="0"/>
    <m/>
    <n v="0"/>
    <m/>
    <n v="0"/>
    <m/>
    <n v="0"/>
  </r>
  <r>
    <x v="1279"/>
    <n v="45699"/>
    <x v="1"/>
    <x v="0"/>
    <x v="1"/>
    <x v="1"/>
    <x v="1"/>
    <n v="0"/>
    <n v="0"/>
    <n v="0"/>
    <n v="0"/>
    <x v="0"/>
    <n v="0"/>
    <n v="0"/>
    <m/>
    <n v="68.8"/>
    <m/>
    <m/>
    <n v="0"/>
    <m/>
    <n v="0"/>
    <m/>
    <n v="0"/>
    <m/>
    <n v="0"/>
    <m/>
    <n v="0"/>
  </r>
  <r>
    <x v="1280"/>
    <n v="45678"/>
    <x v="1"/>
    <x v="2"/>
    <x v="0"/>
    <x v="2"/>
    <x v="1"/>
    <n v="1"/>
    <n v="1"/>
    <n v="1"/>
    <n v="0"/>
    <x v="0"/>
    <n v="0"/>
    <n v="0"/>
    <m/>
    <n v="43.5"/>
    <m/>
    <m/>
    <n v="0"/>
    <m/>
    <n v="1"/>
    <m/>
    <n v="1"/>
    <m/>
    <n v="1"/>
    <m/>
    <n v="0"/>
  </r>
  <r>
    <x v="1281"/>
    <n v="45690"/>
    <x v="1"/>
    <x v="1"/>
    <x v="0"/>
    <x v="4"/>
    <x v="1"/>
    <n v="1"/>
    <n v="1"/>
    <n v="0"/>
    <n v="0"/>
    <x v="0"/>
    <n v="0"/>
    <n v="0"/>
    <m/>
    <n v="62.6"/>
    <m/>
    <m/>
    <n v="0"/>
    <m/>
    <n v="1"/>
    <m/>
    <n v="1"/>
    <m/>
    <n v="0"/>
    <m/>
    <n v="0"/>
  </r>
  <r>
    <x v="1282"/>
    <n v="45690"/>
    <x v="1"/>
    <x v="1"/>
    <x v="1"/>
    <x v="1"/>
    <x v="1"/>
    <n v="0"/>
    <n v="0"/>
    <n v="0"/>
    <n v="0"/>
    <x v="0"/>
    <n v="1"/>
    <n v="0"/>
    <m/>
    <n v="54.1"/>
    <m/>
    <m/>
    <n v="0"/>
    <m/>
    <n v="0"/>
    <m/>
    <n v="0"/>
    <m/>
    <n v="0"/>
    <m/>
    <n v="1"/>
  </r>
  <r>
    <x v="1283"/>
    <n v="45714"/>
    <x v="1"/>
    <x v="1"/>
    <x v="2"/>
    <x v="4"/>
    <x v="1"/>
    <n v="1"/>
    <n v="1"/>
    <n v="1"/>
    <n v="0"/>
    <x v="0"/>
    <n v="0"/>
    <n v="0"/>
    <m/>
    <n v="80.099999999999994"/>
    <m/>
    <m/>
    <n v="0"/>
    <m/>
    <n v="1"/>
    <m/>
    <n v="1"/>
    <m/>
    <n v="1"/>
    <m/>
    <n v="0"/>
  </r>
  <r>
    <x v="1284"/>
    <n v="45769"/>
    <x v="1"/>
    <x v="0"/>
    <x v="1"/>
    <x v="4"/>
    <x v="2"/>
    <n v="1"/>
    <n v="0"/>
    <n v="0"/>
    <n v="0"/>
    <x v="0"/>
    <n v="0"/>
    <n v="0"/>
    <m/>
    <n v="69.5"/>
    <m/>
    <m/>
    <n v="0"/>
    <m/>
    <n v="1"/>
    <m/>
    <n v="0"/>
    <m/>
    <n v="0"/>
    <m/>
    <n v="0"/>
  </r>
  <r>
    <x v="1285"/>
    <n v="45727"/>
    <x v="1"/>
    <x v="0"/>
    <x v="0"/>
    <x v="1"/>
    <x v="0"/>
    <n v="0"/>
    <n v="0"/>
    <n v="0"/>
    <n v="0"/>
    <x v="0"/>
    <n v="2"/>
    <n v="0"/>
    <m/>
    <n v="46.6"/>
    <m/>
    <m/>
    <n v="0"/>
    <m/>
    <n v="0"/>
    <m/>
    <n v="0"/>
    <m/>
    <n v="0"/>
    <m/>
    <n v="2"/>
  </r>
  <r>
    <x v="1286"/>
    <n v="45785"/>
    <x v="1"/>
    <x v="3"/>
    <x v="1"/>
    <x v="1"/>
    <x v="2"/>
    <n v="1"/>
    <n v="0"/>
    <n v="0"/>
    <n v="0"/>
    <x v="0"/>
    <n v="1"/>
    <n v="0"/>
    <m/>
    <n v="54.9"/>
    <m/>
    <m/>
    <n v="0"/>
    <m/>
    <n v="1"/>
    <m/>
    <n v="0"/>
    <m/>
    <n v="0"/>
    <m/>
    <n v="1"/>
  </r>
  <r>
    <x v="1287"/>
    <n v="45726"/>
    <x v="1"/>
    <x v="2"/>
    <x v="0"/>
    <x v="1"/>
    <x v="1"/>
    <n v="0"/>
    <n v="0"/>
    <n v="0"/>
    <n v="0"/>
    <x v="0"/>
    <n v="0"/>
    <n v="0"/>
    <m/>
    <n v="100"/>
    <m/>
    <m/>
    <n v="0"/>
    <m/>
    <n v="0"/>
    <m/>
    <n v="0"/>
    <m/>
    <n v="0"/>
    <m/>
    <n v="0"/>
  </r>
  <r>
    <x v="1288"/>
    <n v="45763"/>
    <x v="1"/>
    <x v="2"/>
    <x v="0"/>
    <x v="2"/>
    <x v="1"/>
    <n v="1"/>
    <n v="1"/>
    <n v="1"/>
    <n v="0"/>
    <x v="0"/>
    <n v="1"/>
    <n v="0"/>
    <m/>
    <n v="80.5"/>
    <m/>
    <m/>
    <n v="0"/>
    <m/>
    <n v="1"/>
    <m/>
    <n v="1"/>
    <m/>
    <n v="1"/>
    <m/>
    <n v="1"/>
  </r>
  <r>
    <x v="1289"/>
    <n v="45717"/>
    <x v="1"/>
    <x v="1"/>
    <x v="2"/>
    <x v="1"/>
    <x v="0"/>
    <n v="1"/>
    <n v="0"/>
    <n v="0"/>
    <n v="0"/>
    <x v="0"/>
    <n v="0"/>
    <n v="0"/>
    <m/>
    <n v="51.2"/>
    <m/>
    <m/>
    <n v="0"/>
    <m/>
    <n v="1"/>
    <m/>
    <n v="0"/>
    <m/>
    <n v="0"/>
    <m/>
    <n v="0"/>
  </r>
  <r>
    <x v="1290"/>
    <n v="45675"/>
    <x v="1"/>
    <x v="3"/>
    <x v="0"/>
    <x v="1"/>
    <x v="2"/>
    <n v="1"/>
    <n v="0"/>
    <n v="0"/>
    <n v="0"/>
    <x v="0"/>
    <n v="0"/>
    <n v="0"/>
    <m/>
    <n v="42.5"/>
    <m/>
    <m/>
    <n v="0"/>
    <m/>
    <n v="1"/>
    <m/>
    <n v="0"/>
    <m/>
    <n v="0"/>
    <m/>
    <n v="0"/>
  </r>
  <r>
    <x v="1291"/>
    <n v="45746"/>
    <x v="1"/>
    <x v="0"/>
    <x v="1"/>
    <x v="2"/>
    <x v="1"/>
    <n v="0"/>
    <n v="0"/>
    <n v="0"/>
    <n v="0"/>
    <x v="0"/>
    <n v="0"/>
    <n v="0"/>
    <m/>
    <n v="72.5"/>
    <m/>
    <m/>
    <n v="0"/>
    <m/>
    <n v="0"/>
    <m/>
    <n v="0"/>
    <m/>
    <n v="0"/>
    <m/>
    <n v="0"/>
  </r>
  <r>
    <x v="1292"/>
    <n v="45803"/>
    <x v="1"/>
    <x v="1"/>
    <x v="1"/>
    <x v="4"/>
    <x v="2"/>
    <n v="0"/>
    <n v="0"/>
    <n v="0"/>
    <n v="0"/>
    <x v="0"/>
    <n v="0"/>
    <n v="0"/>
    <m/>
    <n v="74.400000000000006"/>
    <m/>
    <m/>
    <n v="0"/>
    <m/>
    <n v="0"/>
    <m/>
    <n v="0"/>
    <m/>
    <n v="0"/>
    <m/>
    <n v="0"/>
  </r>
  <r>
    <x v="1293"/>
    <n v="45735"/>
    <x v="1"/>
    <x v="2"/>
    <x v="0"/>
    <x v="4"/>
    <x v="1"/>
    <n v="0"/>
    <n v="0"/>
    <n v="0"/>
    <n v="0"/>
    <x v="0"/>
    <n v="0"/>
    <n v="0"/>
    <m/>
    <n v="78.400000000000006"/>
    <m/>
    <m/>
    <n v="0"/>
    <m/>
    <n v="0"/>
    <m/>
    <n v="0"/>
    <m/>
    <n v="0"/>
    <m/>
    <n v="0"/>
  </r>
  <r>
    <x v="1294"/>
    <n v="45744"/>
    <x v="1"/>
    <x v="0"/>
    <x v="0"/>
    <x v="3"/>
    <x v="1"/>
    <n v="1"/>
    <n v="0"/>
    <n v="0"/>
    <n v="0"/>
    <x v="0"/>
    <n v="0"/>
    <n v="0"/>
    <m/>
    <n v="71.5"/>
    <m/>
    <m/>
    <n v="0"/>
    <m/>
    <n v="1"/>
    <m/>
    <n v="0"/>
    <m/>
    <n v="0"/>
    <m/>
    <n v="0"/>
  </r>
  <r>
    <x v="1295"/>
    <n v="45805"/>
    <x v="1"/>
    <x v="3"/>
    <x v="0"/>
    <x v="4"/>
    <x v="1"/>
    <n v="1"/>
    <n v="0"/>
    <n v="0"/>
    <n v="0"/>
    <x v="0"/>
    <n v="0"/>
    <n v="0"/>
    <m/>
    <n v="66.7"/>
    <m/>
    <m/>
    <n v="0"/>
    <m/>
    <n v="1"/>
    <m/>
    <n v="0"/>
    <m/>
    <n v="0"/>
    <m/>
    <n v="0"/>
  </r>
  <r>
    <x v="1296"/>
    <n v="45808"/>
    <x v="1"/>
    <x v="3"/>
    <x v="0"/>
    <x v="3"/>
    <x v="2"/>
    <n v="1"/>
    <n v="1"/>
    <n v="1"/>
    <n v="1"/>
    <x v="66"/>
    <n v="0"/>
    <n v="0"/>
    <n v="7"/>
    <n v="60.4"/>
    <m/>
    <m/>
    <n v="0"/>
    <m/>
    <n v="1"/>
    <m/>
    <n v="1"/>
    <m/>
    <n v="1"/>
    <m/>
    <n v="0"/>
  </r>
  <r>
    <x v="1297"/>
    <n v="45787"/>
    <x v="1"/>
    <x v="0"/>
    <x v="1"/>
    <x v="3"/>
    <x v="1"/>
    <n v="0"/>
    <n v="0"/>
    <n v="0"/>
    <n v="0"/>
    <x v="0"/>
    <n v="1"/>
    <n v="0"/>
    <m/>
    <n v="72.900000000000006"/>
    <m/>
    <m/>
    <n v="1"/>
    <m/>
    <n v="0"/>
    <m/>
    <n v="0"/>
    <m/>
    <n v="0"/>
    <m/>
    <n v="1"/>
  </r>
  <r>
    <x v="1298"/>
    <n v="45794"/>
    <x v="1"/>
    <x v="1"/>
    <x v="1"/>
    <x v="1"/>
    <x v="1"/>
    <n v="0"/>
    <n v="0"/>
    <n v="0"/>
    <n v="0"/>
    <x v="0"/>
    <n v="3"/>
    <n v="0"/>
    <m/>
    <m/>
    <m/>
    <m/>
    <n v="0"/>
    <m/>
    <n v="0"/>
    <m/>
    <n v="0"/>
    <m/>
    <n v="0"/>
    <m/>
    <n v="3"/>
  </r>
  <r>
    <x v="1299"/>
    <n v="45675"/>
    <x v="1"/>
    <x v="3"/>
    <x v="1"/>
    <x v="1"/>
    <x v="2"/>
    <n v="1"/>
    <n v="0"/>
    <n v="0"/>
    <n v="0"/>
    <x v="0"/>
    <n v="0"/>
    <n v="0"/>
    <m/>
    <n v="55.2"/>
    <m/>
    <m/>
    <n v="0"/>
    <m/>
    <n v="1"/>
    <m/>
    <n v="0"/>
    <m/>
    <n v="0"/>
    <m/>
    <n v="0"/>
  </r>
  <r>
    <x v="1300"/>
    <n v="45781"/>
    <x v="1"/>
    <x v="1"/>
    <x v="1"/>
    <x v="4"/>
    <x v="1"/>
    <n v="1"/>
    <n v="0"/>
    <n v="0"/>
    <n v="0"/>
    <x v="0"/>
    <n v="0"/>
    <n v="0"/>
    <m/>
    <n v="67.8"/>
    <m/>
    <m/>
    <n v="0"/>
    <m/>
    <n v="1"/>
    <m/>
    <n v="0"/>
    <m/>
    <n v="0"/>
    <m/>
    <n v="0"/>
  </r>
  <r>
    <x v="1301"/>
    <n v="45741"/>
    <x v="1"/>
    <x v="0"/>
    <x v="1"/>
    <x v="1"/>
    <x v="1"/>
    <n v="1"/>
    <n v="0"/>
    <n v="0"/>
    <n v="0"/>
    <x v="0"/>
    <n v="2"/>
    <n v="0"/>
    <m/>
    <n v="70"/>
    <m/>
    <m/>
    <n v="0"/>
    <m/>
    <n v="1"/>
    <m/>
    <n v="0"/>
    <m/>
    <n v="0"/>
    <m/>
    <n v="2"/>
  </r>
  <r>
    <x v="1302"/>
    <n v="45715"/>
    <x v="1"/>
    <x v="0"/>
    <x v="1"/>
    <x v="4"/>
    <x v="0"/>
    <n v="1"/>
    <n v="1"/>
    <n v="1"/>
    <n v="0"/>
    <x v="0"/>
    <n v="0"/>
    <n v="0"/>
    <m/>
    <n v="51.1"/>
    <m/>
    <m/>
    <n v="0"/>
    <m/>
    <n v="1"/>
    <m/>
    <n v="1"/>
    <m/>
    <n v="1"/>
    <m/>
    <n v="0"/>
  </r>
  <r>
    <x v="1303"/>
    <n v="45671"/>
    <x v="1"/>
    <x v="1"/>
    <x v="1"/>
    <x v="2"/>
    <x v="0"/>
    <n v="1"/>
    <n v="1"/>
    <n v="1"/>
    <n v="0"/>
    <x v="0"/>
    <n v="0"/>
    <n v="0"/>
    <m/>
    <n v="57"/>
    <m/>
    <m/>
    <n v="0"/>
    <m/>
    <n v="1"/>
    <m/>
    <n v="1"/>
    <m/>
    <n v="1"/>
    <m/>
    <n v="0"/>
  </r>
  <r>
    <x v="1304"/>
    <n v="45758"/>
    <x v="1"/>
    <x v="2"/>
    <x v="1"/>
    <x v="4"/>
    <x v="1"/>
    <n v="0"/>
    <n v="0"/>
    <n v="0"/>
    <n v="0"/>
    <x v="0"/>
    <n v="1"/>
    <n v="0"/>
    <m/>
    <n v="47.1"/>
    <m/>
    <m/>
    <n v="0"/>
    <m/>
    <n v="0"/>
    <m/>
    <n v="0"/>
    <m/>
    <n v="0"/>
    <m/>
    <n v="1"/>
  </r>
  <r>
    <x v="1305"/>
    <n v="45742"/>
    <x v="1"/>
    <x v="2"/>
    <x v="0"/>
    <x v="4"/>
    <x v="0"/>
    <n v="0"/>
    <n v="0"/>
    <n v="0"/>
    <n v="0"/>
    <x v="0"/>
    <n v="0"/>
    <n v="0"/>
    <m/>
    <n v="30.7"/>
    <m/>
    <m/>
    <n v="0"/>
    <m/>
    <n v="0"/>
    <m/>
    <n v="0"/>
    <m/>
    <n v="0"/>
    <m/>
    <n v="0"/>
  </r>
  <r>
    <x v="1306"/>
    <n v="45700"/>
    <x v="1"/>
    <x v="1"/>
    <x v="0"/>
    <x v="4"/>
    <x v="1"/>
    <n v="1"/>
    <n v="0"/>
    <n v="0"/>
    <n v="0"/>
    <x v="0"/>
    <n v="0"/>
    <n v="0"/>
    <m/>
    <n v="57.3"/>
    <m/>
    <m/>
    <n v="0"/>
    <m/>
    <n v="1"/>
    <m/>
    <n v="0"/>
    <m/>
    <n v="0"/>
    <m/>
    <n v="0"/>
  </r>
  <r>
    <x v="1307"/>
    <n v="45706"/>
    <x v="1"/>
    <x v="1"/>
    <x v="2"/>
    <x v="2"/>
    <x v="0"/>
    <n v="1"/>
    <n v="0"/>
    <n v="0"/>
    <n v="0"/>
    <x v="0"/>
    <n v="0"/>
    <n v="0"/>
    <m/>
    <n v="70"/>
    <m/>
    <m/>
    <n v="0"/>
    <m/>
    <n v="1"/>
    <m/>
    <n v="0"/>
    <m/>
    <n v="0"/>
    <m/>
    <n v="0"/>
  </r>
  <r>
    <x v="1308"/>
    <n v="45802"/>
    <x v="1"/>
    <x v="2"/>
    <x v="0"/>
    <x v="4"/>
    <x v="1"/>
    <n v="1"/>
    <n v="1"/>
    <n v="1"/>
    <n v="0"/>
    <x v="0"/>
    <n v="0"/>
    <n v="0"/>
    <m/>
    <n v="59.7"/>
    <m/>
    <m/>
    <n v="0"/>
    <m/>
    <n v="1"/>
    <m/>
    <n v="1"/>
    <m/>
    <n v="1"/>
    <m/>
    <n v="0"/>
  </r>
  <r>
    <x v="1309"/>
    <n v="45800"/>
    <x v="1"/>
    <x v="2"/>
    <x v="0"/>
    <x v="2"/>
    <x v="0"/>
    <n v="1"/>
    <n v="0"/>
    <n v="0"/>
    <n v="0"/>
    <x v="0"/>
    <n v="0"/>
    <n v="0"/>
    <m/>
    <n v="68.8"/>
    <m/>
    <m/>
    <n v="0"/>
    <m/>
    <n v="1"/>
    <m/>
    <n v="0"/>
    <m/>
    <n v="0"/>
    <m/>
    <n v="0"/>
  </r>
  <r>
    <x v="1310"/>
    <n v="45673"/>
    <x v="1"/>
    <x v="0"/>
    <x v="0"/>
    <x v="1"/>
    <x v="1"/>
    <n v="1"/>
    <n v="1"/>
    <n v="1"/>
    <n v="1"/>
    <x v="67"/>
    <n v="0"/>
    <n v="0"/>
    <n v="9"/>
    <n v="88.3"/>
    <m/>
    <m/>
    <n v="0"/>
    <m/>
    <n v="1"/>
    <m/>
    <n v="1"/>
    <m/>
    <n v="1"/>
    <m/>
    <n v="0"/>
  </r>
  <r>
    <x v="1311"/>
    <n v="45676"/>
    <x v="1"/>
    <x v="1"/>
    <x v="0"/>
    <x v="0"/>
    <x v="0"/>
    <n v="0"/>
    <n v="0"/>
    <n v="0"/>
    <n v="0"/>
    <x v="0"/>
    <n v="0"/>
    <n v="0"/>
    <m/>
    <n v="83.4"/>
    <m/>
    <m/>
    <n v="1"/>
    <m/>
    <n v="0"/>
    <m/>
    <n v="0"/>
    <m/>
    <n v="0"/>
    <m/>
    <n v="0"/>
  </r>
  <r>
    <x v="1312"/>
    <n v="45795"/>
    <x v="1"/>
    <x v="3"/>
    <x v="1"/>
    <x v="3"/>
    <x v="1"/>
    <n v="0"/>
    <n v="0"/>
    <n v="0"/>
    <n v="0"/>
    <x v="0"/>
    <n v="1"/>
    <n v="0"/>
    <m/>
    <n v="81.599999999999994"/>
    <m/>
    <m/>
    <n v="0"/>
    <m/>
    <n v="0"/>
    <m/>
    <n v="0"/>
    <m/>
    <n v="0"/>
    <m/>
    <n v="1"/>
  </r>
  <r>
    <x v="1313"/>
    <n v="45680"/>
    <x v="1"/>
    <x v="2"/>
    <x v="2"/>
    <x v="4"/>
    <x v="2"/>
    <n v="1"/>
    <n v="0"/>
    <n v="0"/>
    <n v="0"/>
    <x v="0"/>
    <n v="0"/>
    <n v="0"/>
    <m/>
    <n v="91.6"/>
    <m/>
    <m/>
    <n v="0"/>
    <m/>
    <n v="1"/>
    <m/>
    <n v="0"/>
    <m/>
    <n v="0"/>
    <m/>
    <n v="0"/>
  </r>
  <r>
    <x v="1314"/>
    <n v="45665"/>
    <x v="1"/>
    <x v="2"/>
    <x v="2"/>
    <x v="5"/>
    <x v="2"/>
    <n v="1"/>
    <n v="1"/>
    <n v="1"/>
    <n v="0"/>
    <x v="0"/>
    <n v="1"/>
    <n v="0"/>
    <m/>
    <n v="61.5"/>
    <m/>
    <m/>
    <n v="0"/>
    <m/>
    <n v="1"/>
    <m/>
    <n v="1"/>
    <m/>
    <n v="1"/>
    <m/>
    <n v="1"/>
  </r>
  <r>
    <x v="1315"/>
    <n v="45707"/>
    <x v="1"/>
    <x v="0"/>
    <x v="1"/>
    <x v="1"/>
    <x v="2"/>
    <n v="0"/>
    <n v="0"/>
    <n v="0"/>
    <n v="0"/>
    <x v="0"/>
    <n v="0"/>
    <n v="0"/>
    <m/>
    <m/>
    <m/>
    <m/>
    <n v="0"/>
    <m/>
    <n v="0"/>
    <m/>
    <n v="0"/>
    <m/>
    <n v="0"/>
    <m/>
    <n v="0"/>
  </r>
  <r>
    <x v="1316"/>
    <n v="45698"/>
    <x v="1"/>
    <x v="3"/>
    <x v="1"/>
    <x v="1"/>
    <x v="1"/>
    <n v="1"/>
    <n v="0"/>
    <n v="0"/>
    <n v="0"/>
    <x v="0"/>
    <n v="0"/>
    <n v="0"/>
    <m/>
    <n v="32.6"/>
    <m/>
    <m/>
    <n v="0"/>
    <m/>
    <n v="1"/>
    <m/>
    <n v="0"/>
    <m/>
    <n v="0"/>
    <m/>
    <n v="0"/>
  </r>
  <r>
    <x v="1317"/>
    <n v="45760"/>
    <x v="1"/>
    <x v="3"/>
    <x v="1"/>
    <x v="2"/>
    <x v="1"/>
    <n v="1"/>
    <n v="0"/>
    <n v="0"/>
    <n v="0"/>
    <x v="0"/>
    <n v="0"/>
    <n v="0"/>
    <m/>
    <n v="73.900000000000006"/>
    <m/>
    <m/>
    <n v="0"/>
    <m/>
    <n v="1"/>
    <m/>
    <n v="0"/>
    <m/>
    <n v="0"/>
    <m/>
    <n v="0"/>
  </r>
  <r>
    <x v="1318"/>
    <n v="45797"/>
    <x v="1"/>
    <x v="2"/>
    <x v="1"/>
    <x v="1"/>
    <x v="1"/>
    <n v="1"/>
    <n v="1"/>
    <n v="1"/>
    <n v="1"/>
    <x v="68"/>
    <n v="0"/>
    <n v="0"/>
    <n v="9"/>
    <n v="99.9"/>
    <m/>
    <m/>
    <n v="0"/>
    <m/>
    <n v="1"/>
    <m/>
    <n v="1"/>
    <m/>
    <n v="1"/>
    <m/>
    <n v="0"/>
  </r>
  <r>
    <x v="1319"/>
    <n v="45790"/>
    <x v="1"/>
    <x v="3"/>
    <x v="1"/>
    <x v="2"/>
    <x v="0"/>
    <n v="1"/>
    <n v="1"/>
    <n v="0"/>
    <n v="0"/>
    <x v="0"/>
    <n v="1"/>
    <n v="0"/>
    <m/>
    <n v="62.4"/>
    <m/>
    <m/>
    <n v="1"/>
    <m/>
    <n v="1"/>
    <m/>
    <n v="1"/>
    <m/>
    <n v="0"/>
    <m/>
    <n v="1"/>
  </r>
  <r>
    <x v="1320"/>
    <n v="45805"/>
    <x v="1"/>
    <x v="3"/>
    <x v="0"/>
    <x v="2"/>
    <x v="0"/>
    <n v="1"/>
    <n v="0"/>
    <n v="0"/>
    <n v="0"/>
    <x v="0"/>
    <n v="0"/>
    <n v="0"/>
    <m/>
    <n v="46.1"/>
    <m/>
    <m/>
    <n v="0"/>
    <m/>
    <n v="1"/>
    <m/>
    <n v="0"/>
    <m/>
    <n v="0"/>
    <m/>
    <n v="0"/>
  </r>
  <r>
    <x v="1321"/>
    <n v="45735"/>
    <x v="1"/>
    <x v="1"/>
    <x v="1"/>
    <x v="1"/>
    <x v="1"/>
    <n v="1"/>
    <n v="1"/>
    <n v="1"/>
    <n v="1"/>
    <x v="69"/>
    <n v="0"/>
    <n v="0"/>
    <n v="3"/>
    <n v="73.900000000000006"/>
    <m/>
    <m/>
    <n v="0"/>
    <m/>
    <n v="1"/>
    <m/>
    <n v="1"/>
    <m/>
    <n v="1"/>
    <m/>
    <n v="0"/>
  </r>
  <r>
    <x v="1322"/>
    <n v="45691"/>
    <x v="1"/>
    <x v="0"/>
    <x v="1"/>
    <x v="0"/>
    <x v="2"/>
    <n v="0"/>
    <n v="0"/>
    <n v="0"/>
    <n v="0"/>
    <x v="0"/>
    <n v="0"/>
    <n v="0"/>
    <m/>
    <n v="90"/>
    <m/>
    <m/>
    <n v="1"/>
    <m/>
    <n v="0"/>
    <m/>
    <n v="0"/>
    <m/>
    <n v="0"/>
    <m/>
    <n v="0"/>
  </r>
  <r>
    <x v="1323"/>
    <n v="45714"/>
    <x v="1"/>
    <x v="3"/>
    <x v="1"/>
    <x v="0"/>
    <x v="0"/>
    <n v="1"/>
    <n v="0"/>
    <n v="0"/>
    <n v="0"/>
    <x v="0"/>
    <n v="1"/>
    <n v="0"/>
    <m/>
    <n v="68.8"/>
    <m/>
    <m/>
    <n v="0"/>
    <m/>
    <n v="1"/>
    <m/>
    <n v="0"/>
    <m/>
    <n v="0"/>
    <m/>
    <n v="1"/>
  </r>
  <r>
    <x v="1324"/>
    <n v="45683"/>
    <x v="1"/>
    <x v="1"/>
    <x v="1"/>
    <x v="2"/>
    <x v="1"/>
    <n v="1"/>
    <n v="0"/>
    <n v="0"/>
    <n v="0"/>
    <x v="0"/>
    <n v="0"/>
    <n v="0"/>
    <m/>
    <n v="66.599999999999994"/>
    <m/>
    <m/>
    <n v="0"/>
    <m/>
    <n v="1"/>
    <m/>
    <n v="0"/>
    <m/>
    <n v="0"/>
    <m/>
    <n v="0"/>
  </r>
  <r>
    <x v="1325"/>
    <n v="45790"/>
    <x v="1"/>
    <x v="0"/>
    <x v="1"/>
    <x v="1"/>
    <x v="2"/>
    <n v="1"/>
    <n v="0"/>
    <n v="0"/>
    <n v="0"/>
    <x v="0"/>
    <n v="0"/>
    <n v="0"/>
    <m/>
    <n v="49.7"/>
    <m/>
    <m/>
    <n v="0"/>
    <m/>
    <n v="1"/>
    <m/>
    <n v="0"/>
    <m/>
    <n v="0"/>
    <m/>
    <n v="0"/>
  </r>
  <r>
    <x v="1326"/>
    <n v="45690"/>
    <x v="1"/>
    <x v="3"/>
    <x v="1"/>
    <x v="2"/>
    <x v="0"/>
    <n v="0"/>
    <n v="0"/>
    <n v="0"/>
    <n v="0"/>
    <x v="0"/>
    <n v="0"/>
    <n v="0"/>
    <m/>
    <n v="67.900000000000006"/>
    <m/>
    <m/>
    <n v="0"/>
    <m/>
    <n v="0"/>
    <m/>
    <n v="0"/>
    <m/>
    <n v="0"/>
    <m/>
    <n v="0"/>
  </r>
  <r>
    <x v="1327"/>
    <n v="45777"/>
    <x v="1"/>
    <x v="1"/>
    <x v="1"/>
    <x v="5"/>
    <x v="0"/>
    <n v="0"/>
    <n v="0"/>
    <n v="0"/>
    <n v="0"/>
    <x v="0"/>
    <n v="0"/>
    <n v="0"/>
    <m/>
    <n v="66.900000000000006"/>
    <m/>
    <m/>
    <n v="0"/>
    <m/>
    <n v="0"/>
    <m/>
    <n v="0"/>
    <m/>
    <n v="0"/>
    <m/>
    <n v="0"/>
  </r>
  <r>
    <x v="1328"/>
    <n v="45745"/>
    <x v="1"/>
    <x v="2"/>
    <x v="1"/>
    <x v="1"/>
    <x v="1"/>
    <n v="0"/>
    <n v="0"/>
    <n v="0"/>
    <n v="0"/>
    <x v="0"/>
    <n v="0"/>
    <n v="0"/>
    <m/>
    <n v="46.1"/>
    <m/>
    <m/>
    <n v="0"/>
    <m/>
    <n v="0"/>
    <m/>
    <n v="0"/>
    <m/>
    <n v="0"/>
    <m/>
    <n v="0"/>
  </r>
  <r>
    <x v="1329"/>
    <n v="45756"/>
    <x v="1"/>
    <x v="1"/>
    <x v="0"/>
    <x v="3"/>
    <x v="2"/>
    <n v="1"/>
    <n v="0"/>
    <n v="0"/>
    <n v="0"/>
    <x v="0"/>
    <n v="0"/>
    <n v="0"/>
    <m/>
    <n v="85.6"/>
    <m/>
    <m/>
    <n v="0"/>
    <m/>
    <n v="1"/>
    <m/>
    <n v="0"/>
    <m/>
    <n v="0"/>
    <m/>
    <n v="0"/>
  </r>
  <r>
    <x v="1330"/>
    <n v="45679"/>
    <x v="1"/>
    <x v="3"/>
    <x v="2"/>
    <x v="1"/>
    <x v="1"/>
    <n v="0"/>
    <n v="0"/>
    <n v="0"/>
    <n v="0"/>
    <x v="0"/>
    <n v="0"/>
    <n v="0"/>
    <m/>
    <n v="39.6"/>
    <m/>
    <m/>
    <n v="0"/>
    <m/>
    <n v="0"/>
    <m/>
    <n v="0"/>
    <m/>
    <n v="0"/>
    <m/>
    <n v="0"/>
  </r>
  <r>
    <x v="1331"/>
    <n v="45684"/>
    <x v="1"/>
    <x v="3"/>
    <x v="1"/>
    <x v="1"/>
    <x v="0"/>
    <n v="1"/>
    <n v="0"/>
    <n v="0"/>
    <n v="0"/>
    <x v="0"/>
    <n v="0"/>
    <n v="0"/>
    <m/>
    <n v="52.5"/>
    <m/>
    <m/>
    <n v="0"/>
    <m/>
    <n v="1"/>
    <m/>
    <n v="0"/>
    <m/>
    <n v="0"/>
    <m/>
    <n v="0"/>
  </r>
  <r>
    <x v="1332"/>
    <n v="45679"/>
    <x v="1"/>
    <x v="2"/>
    <x v="1"/>
    <x v="4"/>
    <x v="2"/>
    <n v="1"/>
    <n v="0"/>
    <n v="0"/>
    <n v="0"/>
    <x v="0"/>
    <n v="0"/>
    <n v="0"/>
    <m/>
    <n v="73.5"/>
    <m/>
    <m/>
    <n v="0"/>
    <m/>
    <n v="1"/>
    <m/>
    <n v="0"/>
    <m/>
    <n v="0"/>
    <m/>
    <n v="0"/>
  </r>
  <r>
    <x v="1333"/>
    <n v="45663"/>
    <x v="1"/>
    <x v="1"/>
    <x v="0"/>
    <x v="2"/>
    <x v="1"/>
    <n v="0"/>
    <n v="0"/>
    <n v="0"/>
    <n v="0"/>
    <x v="0"/>
    <n v="0"/>
    <n v="0"/>
    <m/>
    <n v="62.5"/>
    <m/>
    <m/>
    <n v="0"/>
    <m/>
    <n v="0"/>
    <m/>
    <n v="0"/>
    <m/>
    <n v="0"/>
    <m/>
    <n v="0"/>
  </r>
  <r>
    <x v="1334"/>
    <n v="45763"/>
    <x v="1"/>
    <x v="3"/>
    <x v="3"/>
    <x v="1"/>
    <x v="1"/>
    <n v="1"/>
    <n v="0"/>
    <n v="0"/>
    <n v="0"/>
    <x v="0"/>
    <n v="0"/>
    <n v="0"/>
    <m/>
    <n v="76.900000000000006"/>
    <m/>
    <m/>
    <n v="0"/>
    <m/>
    <n v="1"/>
    <m/>
    <n v="0"/>
    <m/>
    <n v="0"/>
    <m/>
    <n v="0"/>
  </r>
  <r>
    <x v="1335"/>
    <n v="45761"/>
    <x v="1"/>
    <x v="3"/>
    <x v="1"/>
    <x v="1"/>
    <x v="1"/>
    <n v="1"/>
    <n v="0"/>
    <n v="0"/>
    <n v="0"/>
    <x v="0"/>
    <n v="0"/>
    <n v="0"/>
    <m/>
    <n v="51.4"/>
    <m/>
    <m/>
    <n v="0"/>
    <m/>
    <n v="1"/>
    <m/>
    <n v="0"/>
    <m/>
    <n v="0"/>
    <m/>
    <n v="0"/>
  </r>
  <r>
    <x v="1336"/>
    <n v="45710"/>
    <x v="1"/>
    <x v="1"/>
    <x v="1"/>
    <x v="2"/>
    <x v="0"/>
    <n v="1"/>
    <n v="0"/>
    <n v="0"/>
    <n v="0"/>
    <x v="0"/>
    <n v="0"/>
    <n v="0"/>
    <m/>
    <n v="59.3"/>
    <m/>
    <m/>
    <n v="0"/>
    <m/>
    <n v="1"/>
    <m/>
    <n v="0"/>
    <m/>
    <n v="0"/>
    <m/>
    <n v="0"/>
  </r>
  <r>
    <x v="1337"/>
    <n v="45725"/>
    <x v="1"/>
    <x v="0"/>
    <x v="1"/>
    <x v="1"/>
    <x v="0"/>
    <n v="0"/>
    <n v="0"/>
    <n v="0"/>
    <n v="0"/>
    <x v="0"/>
    <n v="0"/>
    <n v="0"/>
    <m/>
    <n v="74.900000000000006"/>
    <m/>
    <m/>
    <n v="0"/>
    <m/>
    <n v="0"/>
    <m/>
    <n v="0"/>
    <m/>
    <n v="0"/>
    <m/>
    <n v="0"/>
  </r>
  <r>
    <x v="1338"/>
    <n v="45767"/>
    <x v="1"/>
    <x v="1"/>
    <x v="0"/>
    <x v="1"/>
    <x v="1"/>
    <n v="1"/>
    <n v="0"/>
    <n v="0"/>
    <n v="0"/>
    <x v="0"/>
    <n v="0"/>
    <n v="0"/>
    <m/>
    <n v="67"/>
    <m/>
    <m/>
    <n v="0"/>
    <m/>
    <n v="1"/>
    <m/>
    <n v="0"/>
    <m/>
    <n v="0"/>
    <m/>
    <n v="0"/>
  </r>
  <r>
    <x v="1339"/>
    <n v="45726"/>
    <x v="1"/>
    <x v="3"/>
    <x v="1"/>
    <x v="0"/>
    <x v="1"/>
    <n v="0"/>
    <n v="0"/>
    <n v="0"/>
    <n v="0"/>
    <x v="0"/>
    <n v="0"/>
    <n v="0"/>
    <m/>
    <n v="63.6"/>
    <m/>
    <m/>
    <n v="0"/>
    <m/>
    <n v="0"/>
    <m/>
    <n v="0"/>
    <m/>
    <n v="0"/>
    <m/>
    <n v="0"/>
  </r>
  <r>
    <x v="1340"/>
    <n v="45709"/>
    <x v="1"/>
    <x v="3"/>
    <x v="1"/>
    <x v="0"/>
    <x v="1"/>
    <n v="1"/>
    <n v="1"/>
    <n v="0"/>
    <n v="0"/>
    <x v="0"/>
    <n v="1"/>
    <n v="0"/>
    <m/>
    <n v="58.4"/>
    <m/>
    <m/>
    <n v="0"/>
    <m/>
    <n v="1"/>
    <m/>
    <n v="1"/>
    <m/>
    <n v="0"/>
    <m/>
    <n v="1"/>
  </r>
  <r>
    <x v="1341"/>
    <n v="45663"/>
    <x v="1"/>
    <x v="0"/>
    <x v="0"/>
    <x v="4"/>
    <x v="1"/>
    <n v="1"/>
    <n v="0"/>
    <n v="0"/>
    <n v="0"/>
    <x v="0"/>
    <n v="0"/>
    <n v="0"/>
    <m/>
    <n v="36.799999999999997"/>
    <m/>
    <m/>
    <n v="0"/>
    <m/>
    <n v="1"/>
    <m/>
    <n v="0"/>
    <m/>
    <n v="0"/>
    <m/>
    <n v="0"/>
  </r>
  <r>
    <x v="1342"/>
    <n v="45764"/>
    <x v="1"/>
    <x v="3"/>
    <x v="1"/>
    <x v="1"/>
    <x v="2"/>
    <n v="1"/>
    <n v="0"/>
    <n v="0"/>
    <n v="0"/>
    <x v="0"/>
    <n v="0"/>
    <n v="0"/>
    <m/>
    <n v="71.599999999999994"/>
    <m/>
    <m/>
    <n v="0"/>
    <m/>
    <n v="1"/>
    <m/>
    <n v="0"/>
    <m/>
    <n v="0"/>
    <m/>
    <n v="0"/>
  </r>
  <r>
    <x v="1343"/>
    <n v="45800"/>
    <x v="1"/>
    <x v="3"/>
    <x v="1"/>
    <x v="0"/>
    <x v="0"/>
    <n v="1"/>
    <n v="1"/>
    <n v="0"/>
    <n v="0"/>
    <x v="0"/>
    <n v="1"/>
    <n v="0"/>
    <m/>
    <n v="79.7"/>
    <m/>
    <m/>
    <n v="0"/>
    <m/>
    <n v="1"/>
    <m/>
    <n v="1"/>
    <m/>
    <n v="0"/>
    <m/>
    <n v="1"/>
  </r>
  <r>
    <x v="1344"/>
    <n v="45730"/>
    <x v="1"/>
    <x v="1"/>
    <x v="0"/>
    <x v="1"/>
    <x v="0"/>
    <n v="1"/>
    <n v="0"/>
    <n v="0"/>
    <n v="0"/>
    <x v="0"/>
    <n v="1"/>
    <n v="0"/>
    <m/>
    <n v="56.5"/>
    <m/>
    <m/>
    <n v="0"/>
    <m/>
    <n v="1"/>
    <m/>
    <n v="0"/>
    <m/>
    <n v="0"/>
    <m/>
    <n v="1"/>
  </r>
  <r>
    <x v="1345"/>
    <n v="45768"/>
    <x v="1"/>
    <x v="0"/>
    <x v="1"/>
    <x v="4"/>
    <x v="2"/>
    <n v="1"/>
    <n v="0"/>
    <n v="0"/>
    <n v="0"/>
    <x v="0"/>
    <n v="0"/>
    <n v="0"/>
    <m/>
    <n v="44.7"/>
    <m/>
    <m/>
    <n v="0"/>
    <m/>
    <n v="1"/>
    <m/>
    <n v="0"/>
    <m/>
    <n v="0"/>
    <m/>
    <n v="0"/>
  </r>
  <r>
    <x v="1346"/>
    <n v="45660"/>
    <x v="1"/>
    <x v="3"/>
    <x v="1"/>
    <x v="4"/>
    <x v="1"/>
    <n v="1"/>
    <n v="1"/>
    <n v="1"/>
    <n v="0"/>
    <x v="0"/>
    <n v="1"/>
    <n v="0"/>
    <m/>
    <n v="66"/>
    <m/>
    <m/>
    <n v="0"/>
    <m/>
    <n v="1"/>
    <m/>
    <n v="1"/>
    <m/>
    <n v="1"/>
    <m/>
    <n v="1"/>
  </r>
  <r>
    <x v="1347"/>
    <n v="45786"/>
    <x v="1"/>
    <x v="0"/>
    <x v="0"/>
    <x v="1"/>
    <x v="0"/>
    <n v="1"/>
    <n v="0"/>
    <n v="0"/>
    <n v="0"/>
    <x v="0"/>
    <n v="0"/>
    <n v="0"/>
    <m/>
    <n v="73"/>
    <m/>
    <m/>
    <n v="0"/>
    <m/>
    <n v="1"/>
    <m/>
    <n v="0"/>
    <m/>
    <n v="0"/>
    <m/>
    <n v="0"/>
  </r>
  <r>
    <x v="1348"/>
    <n v="45799"/>
    <x v="1"/>
    <x v="3"/>
    <x v="1"/>
    <x v="1"/>
    <x v="0"/>
    <n v="1"/>
    <n v="1"/>
    <n v="1"/>
    <n v="0"/>
    <x v="0"/>
    <n v="1"/>
    <n v="0"/>
    <m/>
    <n v="72.5"/>
    <m/>
    <m/>
    <n v="0"/>
    <m/>
    <n v="1"/>
    <m/>
    <n v="1"/>
    <m/>
    <n v="1"/>
    <m/>
    <n v="1"/>
  </r>
  <r>
    <x v="1349"/>
    <n v="45784"/>
    <x v="1"/>
    <x v="3"/>
    <x v="0"/>
    <x v="2"/>
    <x v="1"/>
    <n v="1"/>
    <n v="1"/>
    <n v="1"/>
    <n v="1"/>
    <x v="70"/>
    <n v="0"/>
    <n v="0"/>
    <n v="6"/>
    <n v="100"/>
    <m/>
    <m/>
    <n v="0"/>
    <m/>
    <n v="1"/>
    <m/>
    <n v="1"/>
    <m/>
    <n v="1"/>
    <m/>
    <n v="0"/>
  </r>
  <r>
    <x v="1350"/>
    <n v="45696"/>
    <x v="1"/>
    <x v="2"/>
    <x v="1"/>
    <x v="4"/>
    <x v="1"/>
    <n v="0"/>
    <n v="0"/>
    <n v="0"/>
    <n v="0"/>
    <x v="0"/>
    <n v="1"/>
    <n v="0"/>
    <m/>
    <n v="90.5"/>
    <m/>
    <m/>
    <n v="1"/>
    <m/>
    <n v="0"/>
    <m/>
    <n v="0"/>
    <m/>
    <n v="0"/>
    <m/>
    <n v="1"/>
  </r>
  <r>
    <x v="1351"/>
    <n v="45750"/>
    <x v="1"/>
    <x v="0"/>
    <x v="2"/>
    <x v="4"/>
    <x v="0"/>
    <n v="1"/>
    <n v="0"/>
    <n v="0"/>
    <n v="0"/>
    <x v="0"/>
    <n v="0"/>
    <n v="0"/>
    <m/>
    <n v="70.2"/>
    <m/>
    <m/>
    <n v="0"/>
    <m/>
    <n v="1"/>
    <m/>
    <n v="0"/>
    <m/>
    <n v="0"/>
    <m/>
    <n v="0"/>
  </r>
  <r>
    <x v="1352"/>
    <n v="45764"/>
    <x v="1"/>
    <x v="2"/>
    <x v="0"/>
    <x v="2"/>
    <x v="1"/>
    <n v="1"/>
    <n v="0"/>
    <n v="0"/>
    <n v="0"/>
    <x v="0"/>
    <n v="1"/>
    <n v="0"/>
    <m/>
    <n v="67.099999999999994"/>
    <m/>
    <m/>
    <n v="0"/>
    <m/>
    <n v="1"/>
    <m/>
    <n v="0"/>
    <m/>
    <n v="0"/>
    <m/>
    <n v="1"/>
  </r>
  <r>
    <x v="1353"/>
    <n v="45781"/>
    <x v="1"/>
    <x v="2"/>
    <x v="1"/>
    <x v="1"/>
    <x v="1"/>
    <n v="0"/>
    <n v="0"/>
    <n v="0"/>
    <n v="0"/>
    <x v="0"/>
    <n v="0"/>
    <n v="0"/>
    <m/>
    <n v="54.5"/>
    <m/>
    <m/>
    <n v="0"/>
    <m/>
    <n v="0"/>
    <m/>
    <n v="0"/>
    <m/>
    <n v="0"/>
    <m/>
    <n v="0"/>
  </r>
  <r>
    <x v="1354"/>
    <n v="45788"/>
    <x v="1"/>
    <x v="1"/>
    <x v="0"/>
    <x v="1"/>
    <x v="1"/>
    <n v="1"/>
    <n v="0"/>
    <n v="0"/>
    <n v="0"/>
    <x v="0"/>
    <n v="0"/>
    <n v="0"/>
    <m/>
    <n v="63.4"/>
    <m/>
    <m/>
    <n v="0"/>
    <m/>
    <n v="1"/>
    <m/>
    <n v="0"/>
    <m/>
    <n v="0"/>
    <m/>
    <n v="0"/>
  </r>
  <r>
    <x v="1355"/>
    <n v="45717"/>
    <x v="1"/>
    <x v="0"/>
    <x v="0"/>
    <x v="5"/>
    <x v="1"/>
    <n v="1"/>
    <n v="1"/>
    <n v="1"/>
    <n v="0"/>
    <x v="0"/>
    <n v="0"/>
    <n v="0"/>
    <m/>
    <n v="84.3"/>
    <m/>
    <m/>
    <n v="0"/>
    <m/>
    <n v="1"/>
    <m/>
    <n v="1"/>
    <m/>
    <n v="1"/>
    <m/>
    <n v="0"/>
  </r>
  <r>
    <x v="1356"/>
    <n v="45708"/>
    <x v="1"/>
    <x v="1"/>
    <x v="0"/>
    <x v="1"/>
    <x v="1"/>
    <n v="1"/>
    <n v="0"/>
    <n v="0"/>
    <n v="0"/>
    <x v="0"/>
    <n v="1"/>
    <n v="0"/>
    <m/>
    <n v="55"/>
    <m/>
    <m/>
    <n v="0"/>
    <m/>
    <n v="1"/>
    <m/>
    <n v="0"/>
    <m/>
    <n v="0"/>
    <m/>
    <n v="1"/>
  </r>
  <r>
    <x v="1357"/>
    <n v="45786"/>
    <x v="1"/>
    <x v="1"/>
    <x v="1"/>
    <x v="4"/>
    <x v="1"/>
    <n v="1"/>
    <n v="0"/>
    <n v="0"/>
    <n v="0"/>
    <x v="0"/>
    <n v="0"/>
    <n v="0"/>
    <m/>
    <n v="63.6"/>
    <m/>
    <m/>
    <n v="0"/>
    <m/>
    <n v="1"/>
    <m/>
    <n v="0"/>
    <m/>
    <n v="0"/>
    <m/>
    <n v="0"/>
  </r>
  <r>
    <x v="1358"/>
    <n v="45777"/>
    <x v="1"/>
    <x v="1"/>
    <x v="1"/>
    <x v="1"/>
    <x v="1"/>
    <n v="1"/>
    <n v="0"/>
    <n v="0"/>
    <n v="0"/>
    <x v="0"/>
    <n v="0"/>
    <n v="0"/>
    <m/>
    <n v="55.5"/>
    <m/>
    <m/>
    <n v="0"/>
    <m/>
    <n v="1"/>
    <m/>
    <n v="0"/>
    <m/>
    <n v="0"/>
    <m/>
    <n v="0"/>
  </r>
  <r>
    <x v="1359"/>
    <n v="45664"/>
    <x v="1"/>
    <x v="3"/>
    <x v="1"/>
    <x v="4"/>
    <x v="0"/>
    <n v="0"/>
    <n v="0"/>
    <n v="0"/>
    <n v="0"/>
    <x v="0"/>
    <n v="0"/>
    <n v="0"/>
    <m/>
    <n v="50.5"/>
    <m/>
    <m/>
    <n v="0"/>
    <m/>
    <n v="0"/>
    <m/>
    <n v="0"/>
    <m/>
    <n v="0"/>
    <m/>
    <n v="0"/>
  </r>
  <r>
    <x v="1360"/>
    <n v="45777"/>
    <x v="1"/>
    <x v="0"/>
    <x v="1"/>
    <x v="4"/>
    <x v="0"/>
    <n v="1"/>
    <n v="0"/>
    <n v="0"/>
    <n v="0"/>
    <x v="0"/>
    <n v="0"/>
    <n v="0"/>
    <m/>
    <n v="45.3"/>
    <m/>
    <m/>
    <n v="0"/>
    <m/>
    <n v="1"/>
    <m/>
    <n v="0"/>
    <m/>
    <n v="0"/>
    <m/>
    <n v="0"/>
  </r>
  <r>
    <x v="1361"/>
    <n v="45800"/>
    <x v="1"/>
    <x v="2"/>
    <x v="1"/>
    <x v="1"/>
    <x v="0"/>
    <n v="1"/>
    <n v="0"/>
    <n v="0"/>
    <n v="0"/>
    <x v="0"/>
    <n v="0"/>
    <n v="0"/>
    <m/>
    <n v="33.6"/>
    <m/>
    <m/>
    <n v="0"/>
    <m/>
    <n v="1"/>
    <m/>
    <n v="0"/>
    <m/>
    <n v="0"/>
    <m/>
    <n v="0"/>
  </r>
  <r>
    <x v="1362"/>
    <n v="45728"/>
    <x v="1"/>
    <x v="3"/>
    <x v="1"/>
    <x v="2"/>
    <x v="2"/>
    <n v="1"/>
    <n v="1"/>
    <n v="1"/>
    <n v="0"/>
    <x v="0"/>
    <n v="0"/>
    <n v="0"/>
    <m/>
    <n v="88.2"/>
    <m/>
    <m/>
    <n v="0"/>
    <m/>
    <n v="1"/>
    <m/>
    <n v="1"/>
    <m/>
    <n v="1"/>
    <m/>
    <n v="0"/>
  </r>
  <r>
    <x v="1363"/>
    <n v="45705"/>
    <x v="1"/>
    <x v="0"/>
    <x v="1"/>
    <x v="1"/>
    <x v="2"/>
    <n v="1"/>
    <n v="0"/>
    <n v="0"/>
    <n v="0"/>
    <x v="0"/>
    <n v="0"/>
    <n v="0"/>
    <m/>
    <n v="51.8"/>
    <m/>
    <m/>
    <n v="0"/>
    <m/>
    <n v="1"/>
    <m/>
    <n v="0"/>
    <m/>
    <n v="0"/>
    <m/>
    <n v="0"/>
  </r>
  <r>
    <x v="1364"/>
    <n v="45804"/>
    <x v="1"/>
    <x v="0"/>
    <x v="0"/>
    <x v="1"/>
    <x v="0"/>
    <n v="0"/>
    <n v="0"/>
    <n v="0"/>
    <n v="0"/>
    <x v="0"/>
    <n v="0"/>
    <n v="0"/>
    <m/>
    <n v="87.9"/>
    <m/>
    <m/>
    <n v="0"/>
    <m/>
    <n v="0"/>
    <m/>
    <n v="0"/>
    <m/>
    <n v="0"/>
    <m/>
    <n v="0"/>
  </r>
  <r>
    <x v="1365"/>
    <n v="45787"/>
    <x v="1"/>
    <x v="3"/>
    <x v="1"/>
    <x v="4"/>
    <x v="2"/>
    <n v="1"/>
    <n v="0"/>
    <n v="0"/>
    <n v="0"/>
    <x v="0"/>
    <n v="2"/>
    <n v="0"/>
    <m/>
    <n v="70.5"/>
    <m/>
    <m/>
    <n v="0"/>
    <m/>
    <n v="1"/>
    <m/>
    <n v="0"/>
    <m/>
    <n v="0"/>
    <m/>
    <n v="2"/>
  </r>
  <r>
    <x v="1366"/>
    <n v="45677"/>
    <x v="1"/>
    <x v="0"/>
    <x v="1"/>
    <x v="1"/>
    <x v="0"/>
    <n v="1"/>
    <n v="1"/>
    <n v="0"/>
    <n v="0"/>
    <x v="0"/>
    <n v="2"/>
    <n v="0"/>
    <m/>
    <n v="58.5"/>
    <m/>
    <m/>
    <n v="0"/>
    <m/>
    <n v="1"/>
    <m/>
    <n v="1"/>
    <m/>
    <n v="0"/>
    <m/>
    <n v="2"/>
  </r>
  <r>
    <x v="1367"/>
    <n v="45676"/>
    <x v="1"/>
    <x v="2"/>
    <x v="1"/>
    <x v="3"/>
    <x v="1"/>
    <n v="1"/>
    <n v="0"/>
    <n v="0"/>
    <n v="0"/>
    <x v="0"/>
    <n v="0"/>
    <n v="0"/>
    <m/>
    <n v="65.599999999999994"/>
    <m/>
    <m/>
    <n v="0"/>
    <m/>
    <n v="1"/>
    <m/>
    <n v="0"/>
    <m/>
    <n v="0"/>
    <m/>
    <n v="0"/>
  </r>
  <r>
    <x v="1368"/>
    <n v="45723"/>
    <x v="1"/>
    <x v="1"/>
    <x v="0"/>
    <x v="2"/>
    <x v="0"/>
    <n v="1"/>
    <n v="1"/>
    <n v="0"/>
    <n v="0"/>
    <x v="0"/>
    <n v="0"/>
    <n v="0"/>
    <m/>
    <n v="62.7"/>
    <m/>
    <m/>
    <n v="0"/>
    <m/>
    <n v="1"/>
    <m/>
    <n v="1"/>
    <m/>
    <n v="0"/>
    <m/>
    <n v="0"/>
  </r>
  <r>
    <x v="1369"/>
    <n v="45690"/>
    <x v="1"/>
    <x v="2"/>
    <x v="1"/>
    <x v="1"/>
    <x v="1"/>
    <n v="0"/>
    <n v="0"/>
    <n v="0"/>
    <n v="0"/>
    <x v="0"/>
    <n v="1"/>
    <n v="0"/>
    <m/>
    <n v="50.9"/>
    <m/>
    <m/>
    <n v="0"/>
    <m/>
    <n v="0"/>
    <m/>
    <n v="0"/>
    <m/>
    <n v="0"/>
    <m/>
    <n v="1"/>
  </r>
  <r>
    <x v="1370"/>
    <n v="45723"/>
    <x v="1"/>
    <x v="0"/>
    <x v="1"/>
    <x v="1"/>
    <x v="1"/>
    <n v="0"/>
    <n v="0"/>
    <n v="0"/>
    <n v="0"/>
    <x v="0"/>
    <n v="1"/>
    <n v="0"/>
    <m/>
    <n v="60.6"/>
    <m/>
    <m/>
    <n v="0"/>
    <m/>
    <n v="0"/>
    <m/>
    <n v="0"/>
    <m/>
    <n v="0"/>
    <m/>
    <n v="1"/>
  </r>
  <r>
    <x v="1371"/>
    <n v="45746"/>
    <x v="1"/>
    <x v="2"/>
    <x v="0"/>
    <x v="1"/>
    <x v="1"/>
    <n v="1"/>
    <n v="1"/>
    <n v="1"/>
    <n v="0"/>
    <x v="0"/>
    <n v="0"/>
    <n v="0"/>
    <m/>
    <n v="76.599999999999994"/>
    <m/>
    <m/>
    <n v="0"/>
    <m/>
    <n v="1"/>
    <m/>
    <n v="1"/>
    <m/>
    <n v="1"/>
    <m/>
    <n v="0"/>
  </r>
  <r>
    <x v="1372"/>
    <n v="45782"/>
    <x v="1"/>
    <x v="2"/>
    <x v="0"/>
    <x v="2"/>
    <x v="1"/>
    <n v="1"/>
    <n v="1"/>
    <n v="1"/>
    <n v="0"/>
    <x v="0"/>
    <n v="0"/>
    <n v="0"/>
    <m/>
    <n v="54.4"/>
    <m/>
    <m/>
    <n v="0"/>
    <m/>
    <n v="1"/>
    <m/>
    <n v="1"/>
    <m/>
    <n v="1"/>
    <m/>
    <n v="0"/>
  </r>
  <r>
    <x v="1373"/>
    <n v="45758"/>
    <x v="1"/>
    <x v="3"/>
    <x v="1"/>
    <x v="4"/>
    <x v="1"/>
    <n v="1"/>
    <n v="0"/>
    <n v="0"/>
    <n v="0"/>
    <x v="0"/>
    <n v="0"/>
    <n v="0"/>
    <m/>
    <n v="31.2"/>
    <m/>
    <m/>
    <n v="0"/>
    <m/>
    <n v="1"/>
    <m/>
    <n v="0"/>
    <m/>
    <n v="0"/>
    <m/>
    <n v="0"/>
  </r>
  <r>
    <x v="1374"/>
    <n v="45741"/>
    <x v="1"/>
    <x v="1"/>
    <x v="0"/>
    <x v="0"/>
    <x v="2"/>
    <n v="1"/>
    <n v="0"/>
    <n v="0"/>
    <n v="0"/>
    <x v="0"/>
    <n v="0"/>
    <n v="0"/>
    <m/>
    <n v="72.400000000000006"/>
    <m/>
    <m/>
    <n v="0"/>
    <m/>
    <n v="1"/>
    <m/>
    <n v="0"/>
    <m/>
    <n v="0"/>
    <m/>
    <n v="0"/>
  </r>
  <r>
    <x v="1375"/>
    <n v="45740"/>
    <x v="1"/>
    <x v="0"/>
    <x v="1"/>
    <x v="1"/>
    <x v="2"/>
    <n v="1"/>
    <n v="0"/>
    <n v="0"/>
    <n v="0"/>
    <x v="0"/>
    <n v="0"/>
    <n v="0"/>
    <m/>
    <n v="74.5"/>
    <m/>
    <m/>
    <n v="0"/>
    <m/>
    <n v="1"/>
    <m/>
    <n v="0"/>
    <m/>
    <n v="0"/>
    <m/>
    <n v="0"/>
  </r>
  <r>
    <x v="1376"/>
    <n v="45774"/>
    <x v="1"/>
    <x v="2"/>
    <x v="1"/>
    <x v="1"/>
    <x v="0"/>
    <n v="0"/>
    <n v="0"/>
    <n v="0"/>
    <n v="0"/>
    <x v="0"/>
    <n v="0"/>
    <n v="0"/>
    <m/>
    <n v="52.6"/>
    <m/>
    <m/>
    <n v="0"/>
    <m/>
    <n v="0"/>
    <m/>
    <n v="0"/>
    <m/>
    <n v="0"/>
    <m/>
    <n v="0"/>
  </r>
  <r>
    <x v="1377"/>
    <n v="45682"/>
    <x v="1"/>
    <x v="0"/>
    <x v="0"/>
    <x v="2"/>
    <x v="1"/>
    <n v="1"/>
    <n v="0"/>
    <n v="0"/>
    <n v="0"/>
    <x v="0"/>
    <n v="0"/>
    <n v="0"/>
    <m/>
    <n v="75.400000000000006"/>
    <m/>
    <m/>
    <n v="0"/>
    <m/>
    <n v="1"/>
    <m/>
    <n v="0"/>
    <m/>
    <n v="0"/>
    <m/>
    <n v="0"/>
  </r>
  <r>
    <x v="1378"/>
    <n v="45705"/>
    <x v="1"/>
    <x v="0"/>
    <x v="2"/>
    <x v="4"/>
    <x v="0"/>
    <n v="1"/>
    <n v="1"/>
    <n v="1"/>
    <n v="1"/>
    <x v="71"/>
    <n v="0"/>
    <n v="0"/>
    <n v="9"/>
    <n v="34"/>
    <m/>
    <m/>
    <n v="0"/>
    <m/>
    <n v="1"/>
    <m/>
    <n v="1"/>
    <m/>
    <n v="1"/>
    <m/>
    <n v="0"/>
  </r>
  <r>
    <x v="1379"/>
    <n v="45760"/>
    <x v="1"/>
    <x v="3"/>
    <x v="0"/>
    <x v="1"/>
    <x v="1"/>
    <n v="1"/>
    <n v="0"/>
    <n v="0"/>
    <n v="0"/>
    <x v="0"/>
    <n v="0"/>
    <n v="0"/>
    <m/>
    <n v="67.099999999999994"/>
    <m/>
    <m/>
    <n v="1"/>
    <m/>
    <n v="1"/>
    <m/>
    <n v="0"/>
    <m/>
    <n v="0"/>
    <m/>
    <n v="0"/>
  </r>
  <r>
    <x v="1380"/>
    <n v="45780"/>
    <x v="1"/>
    <x v="1"/>
    <x v="0"/>
    <x v="2"/>
    <x v="2"/>
    <n v="1"/>
    <n v="0"/>
    <n v="0"/>
    <n v="0"/>
    <x v="0"/>
    <n v="0"/>
    <n v="0"/>
    <m/>
    <n v="37.299999999999997"/>
    <m/>
    <m/>
    <n v="0"/>
    <m/>
    <n v="1"/>
    <m/>
    <n v="0"/>
    <m/>
    <n v="0"/>
    <m/>
    <n v="0"/>
  </r>
  <r>
    <x v="1381"/>
    <n v="45776"/>
    <x v="1"/>
    <x v="1"/>
    <x v="1"/>
    <x v="0"/>
    <x v="1"/>
    <n v="1"/>
    <n v="0"/>
    <n v="0"/>
    <n v="0"/>
    <x v="0"/>
    <n v="0"/>
    <n v="0"/>
    <m/>
    <n v="54.7"/>
    <m/>
    <m/>
    <n v="0"/>
    <m/>
    <n v="1"/>
    <m/>
    <n v="0"/>
    <m/>
    <n v="0"/>
    <m/>
    <n v="0"/>
  </r>
  <r>
    <x v="1382"/>
    <n v="45780"/>
    <x v="1"/>
    <x v="2"/>
    <x v="0"/>
    <x v="2"/>
    <x v="1"/>
    <n v="1"/>
    <n v="0"/>
    <n v="0"/>
    <n v="0"/>
    <x v="0"/>
    <n v="0"/>
    <n v="0"/>
    <m/>
    <n v="51.8"/>
    <m/>
    <m/>
    <n v="0"/>
    <m/>
    <n v="1"/>
    <m/>
    <n v="0"/>
    <m/>
    <n v="0"/>
    <m/>
    <n v="0"/>
  </r>
  <r>
    <x v="1383"/>
    <n v="45775"/>
    <x v="1"/>
    <x v="1"/>
    <x v="1"/>
    <x v="2"/>
    <x v="1"/>
    <n v="0"/>
    <n v="0"/>
    <n v="0"/>
    <n v="0"/>
    <x v="0"/>
    <n v="0"/>
    <n v="0"/>
    <m/>
    <n v="49.2"/>
    <m/>
    <m/>
    <n v="0"/>
    <m/>
    <n v="0"/>
    <m/>
    <n v="0"/>
    <m/>
    <n v="0"/>
    <m/>
    <n v="0"/>
  </r>
  <r>
    <x v="1384"/>
    <n v="45678"/>
    <x v="1"/>
    <x v="1"/>
    <x v="1"/>
    <x v="1"/>
    <x v="1"/>
    <n v="1"/>
    <n v="0"/>
    <n v="0"/>
    <n v="0"/>
    <x v="0"/>
    <n v="2"/>
    <n v="0"/>
    <m/>
    <n v="58.8"/>
    <m/>
    <m/>
    <n v="0"/>
    <m/>
    <n v="1"/>
    <m/>
    <n v="0"/>
    <m/>
    <n v="0"/>
    <m/>
    <n v="2"/>
  </r>
  <r>
    <x v="1385"/>
    <n v="45678"/>
    <x v="1"/>
    <x v="0"/>
    <x v="2"/>
    <x v="2"/>
    <x v="0"/>
    <n v="0"/>
    <n v="0"/>
    <n v="0"/>
    <n v="0"/>
    <x v="0"/>
    <n v="1"/>
    <n v="0"/>
    <m/>
    <n v="59.1"/>
    <m/>
    <m/>
    <n v="0"/>
    <m/>
    <n v="0"/>
    <m/>
    <n v="0"/>
    <m/>
    <n v="0"/>
    <m/>
    <n v="1"/>
  </r>
  <r>
    <x v="1386"/>
    <n v="45798"/>
    <x v="1"/>
    <x v="1"/>
    <x v="0"/>
    <x v="2"/>
    <x v="1"/>
    <n v="1"/>
    <n v="0"/>
    <n v="0"/>
    <n v="0"/>
    <x v="0"/>
    <n v="2"/>
    <n v="0"/>
    <m/>
    <n v="49.6"/>
    <m/>
    <m/>
    <n v="0"/>
    <m/>
    <n v="1"/>
    <m/>
    <n v="0"/>
    <m/>
    <n v="0"/>
    <m/>
    <n v="2"/>
  </r>
  <r>
    <x v="1387"/>
    <n v="45662"/>
    <x v="1"/>
    <x v="0"/>
    <x v="1"/>
    <x v="3"/>
    <x v="1"/>
    <n v="0"/>
    <n v="0"/>
    <n v="0"/>
    <n v="0"/>
    <x v="0"/>
    <n v="0"/>
    <n v="0"/>
    <m/>
    <n v="58.2"/>
    <m/>
    <m/>
    <n v="0"/>
    <m/>
    <n v="0"/>
    <m/>
    <n v="0"/>
    <m/>
    <n v="0"/>
    <m/>
    <n v="0"/>
  </r>
  <r>
    <x v="1388"/>
    <n v="45722"/>
    <x v="1"/>
    <x v="3"/>
    <x v="0"/>
    <x v="1"/>
    <x v="1"/>
    <n v="1"/>
    <n v="0"/>
    <n v="0"/>
    <n v="0"/>
    <x v="0"/>
    <n v="0"/>
    <n v="0"/>
    <m/>
    <n v="66.8"/>
    <m/>
    <m/>
    <n v="0"/>
    <m/>
    <n v="1"/>
    <m/>
    <n v="0"/>
    <m/>
    <n v="0"/>
    <m/>
    <n v="0"/>
  </r>
  <r>
    <x v="1389"/>
    <n v="45765"/>
    <x v="1"/>
    <x v="0"/>
    <x v="1"/>
    <x v="2"/>
    <x v="1"/>
    <n v="1"/>
    <n v="0"/>
    <n v="0"/>
    <n v="0"/>
    <x v="0"/>
    <n v="3"/>
    <n v="0"/>
    <m/>
    <n v="58.3"/>
    <m/>
    <m/>
    <n v="0"/>
    <m/>
    <n v="1"/>
    <m/>
    <n v="0"/>
    <m/>
    <n v="0"/>
    <m/>
    <n v="3"/>
  </r>
  <r>
    <x v="1390"/>
    <n v="45762"/>
    <x v="1"/>
    <x v="1"/>
    <x v="1"/>
    <x v="1"/>
    <x v="0"/>
    <n v="1"/>
    <n v="1"/>
    <n v="1"/>
    <n v="0"/>
    <x v="0"/>
    <n v="0"/>
    <n v="0"/>
    <m/>
    <n v="38.5"/>
    <m/>
    <m/>
    <n v="0"/>
    <m/>
    <n v="1"/>
    <m/>
    <n v="1"/>
    <m/>
    <n v="1"/>
    <m/>
    <n v="0"/>
  </r>
  <r>
    <x v="1391"/>
    <n v="45698"/>
    <x v="1"/>
    <x v="2"/>
    <x v="1"/>
    <x v="2"/>
    <x v="1"/>
    <n v="1"/>
    <n v="0"/>
    <n v="0"/>
    <n v="0"/>
    <x v="0"/>
    <n v="0"/>
    <n v="0"/>
    <m/>
    <n v="76.900000000000006"/>
    <m/>
    <m/>
    <n v="0"/>
    <m/>
    <n v="1"/>
    <m/>
    <n v="0"/>
    <m/>
    <n v="0"/>
    <m/>
    <n v="0"/>
  </r>
  <r>
    <x v="1392"/>
    <n v="45785"/>
    <x v="1"/>
    <x v="2"/>
    <x v="1"/>
    <x v="1"/>
    <x v="1"/>
    <n v="1"/>
    <n v="0"/>
    <n v="0"/>
    <n v="0"/>
    <x v="0"/>
    <n v="0"/>
    <n v="0"/>
    <m/>
    <n v="54"/>
    <m/>
    <m/>
    <n v="0"/>
    <m/>
    <n v="1"/>
    <m/>
    <n v="0"/>
    <m/>
    <n v="0"/>
    <m/>
    <n v="0"/>
  </r>
  <r>
    <x v="1393"/>
    <n v="45805"/>
    <x v="1"/>
    <x v="2"/>
    <x v="2"/>
    <x v="1"/>
    <x v="1"/>
    <n v="1"/>
    <n v="0"/>
    <n v="0"/>
    <n v="0"/>
    <x v="0"/>
    <n v="0"/>
    <n v="0"/>
    <m/>
    <n v="70.599999999999994"/>
    <m/>
    <m/>
    <n v="0"/>
    <m/>
    <n v="1"/>
    <m/>
    <n v="0"/>
    <m/>
    <n v="0"/>
    <m/>
    <n v="0"/>
  </r>
  <r>
    <x v="1394"/>
    <n v="45772"/>
    <x v="1"/>
    <x v="0"/>
    <x v="2"/>
    <x v="3"/>
    <x v="2"/>
    <n v="1"/>
    <n v="1"/>
    <n v="1"/>
    <n v="0"/>
    <x v="0"/>
    <n v="1"/>
    <n v="0"/>
    <m/>
    <n v="69.400000000000006"/>
    <m/>
    <m/>
    <n v="0"/>
    <m/>
    <n v="1"/>
    <m/>
    <n v="1"/>
    <m/>
    <n v="1"/>
    <m/>
    <n v="1"/>
  </r>
  <r>
    <x v="1395"/>
    <n v="45699"/>
    <x v="1"/>
    <x v="3"/>
    <x v="1"/>
    <x v="5"/>
    <x v="2"/>
    <n v="1"/>
    <n v="1"/>
    <n v="1"/>
    <n v="1"/>
    <x v="72"/>
    <n v="0"/>
    <n v="0"/>
    <n v="6"/>
    <n v="89.7"/>
    <m/>
    <m/>
    <n v="0"/>
    <m/>
    <n v="1"/>
    <m/>
    <n v="1"/>
    <m/>
    <n v="1"/>
    <m/>
    <n v="0"/>
  </r>
  <r>
    <x v="1396"/>
    <n v="45761"/>
    <x v="1"/>
    <x v="1"/>
    <x v="1"/>
    <x v="1"/>
    <x v="1"/>
    <n v="1"/>
    <n v="0"/>
    <n v="0"/>
    <n v="0"/>
    <x v="0"/>
    <n v="0"/>
    <n v="0"/>
    <m/>
    <n v="62.4"/>
    <m/>
    <m/>
    <n v="1"/>
    <m/>
    <n v="1"/>
    <m/>
    <n v="0"/>
    <m/>
    <n v="0"/>
    <m/>
    <n v="0"/>
  </r>
  <r>
    <x v="1397"/>
    <n v="45692"/>
    <x v="1"/>
    <x v="1"/>
    <x v="2"/>
    <x v="1"/>
    <x v="2"/>
    <n v="0"/>
    <n v="0"/>
    <n v="0"/>
    <n v="0"/>
    <x v="0"/>
    <n v="0"/>
    <n v="0"/>
    <m/>
    <n v="67.3"/>
    <m/>
    <m/>
    <n v="0"/>
    <m/>
    <n v="0"/>
    <m/>
    <n v="0"/>
    <m/>
    <n v="0"/>
    <m/>
    <n v="0"/>
  </r>
  <r>
    <x v="1398"/>
    <n v="45738"/>
    <x v="1"/>
    <x v="2"/>
    <x v="1"/>
    <x v="3"/>
    <x v="1"/>
    <n v="1"/>
    <n v="0"/>
    <n v="0"/>
    <n v="0"/>
    <x v="0"/>
    <n v="0"/>
    <n v="0"/>
    <m/>
    <n v="54.9"/>
    <m/>
    <m/>
    <n v="0"/>
    <m/>
    <n v="1"/>
    <m/>
    <n v="0"/>
    <m/>
    <n v="0"/>
    <m/>
    <n v="0"/>
  </r>
  <r>
    <x v="1399"/>
    <n v="45765"/>
    <x v="1"/>
    <x v="2"/>
    <x v="0"/>
    <x v="4"/>
    <x v="1"/>
    <n v="0"/>
    <n v="0"/>
    <n v="0"/>
    <n v="0"/>
    <x v="0"/>
    <n v="0"/>
    <n v="0"/>
    <m/>
    <n v="55.7"/>
    <m/>
    <m/>
    <n v="0"/>
    <m/>
    <n v="0"/>
    <m/>
    <n v="0"/>
    <m/>
    <n v="0"/>
    <m/>
    <n v="0"/>
  </r>
  <r>
    <x v="916"/>
    <n v="45711"/>
    <x v="1"/>
    <x v="1"/>
    <x v="0"/>
    <x v="4"/>
    <x v="0"/>
    <n v="1"/>
    <n v="1"/>
    <n v="1"/>
    <n v="0"/>
    <x v="0"/>
    <n v="0"/>
    <n v="0"/>
    <m/>
    <n v="70.599999999999994"/>
    <m/>
    <m/>
    <n v="0"/>
    <m/>
    <n v="1"/>
    <m/>
    <n v="1"/>
    <m/>
    <n v="1"/>
    <m/>
    <n v="0"/>
  </r>
  <r>
    <x v="432"/>
    <n v="45691"/>
    <x v="0"/>
    <x v="0"/>
    <x v="2"/>
    <x v="0"/>
    <x v="0"/>
    <n v="1"/>
    <n v="0"/>
    <n v="0"/>
    <n v="0"/>
    <x v="0"/>
    <n v="0"/>
    <n v="0"/>
    <m/>
    <n v="60.9"/>
    <m/>
    <m/>
    <n v="0"/>
    <m/>
    <n v="1"/>
    <m/>
    <n v="0"/>
    <m/>
    <n v="0"/>
    <m/>
    <n v="0"/>
  </r>
  <r>
    <x v="1361"/>
    <n v="45800"/>
    <x v="1"/>
    <x v="2"/>
    <x v="1"/>
    <x v="1"/>
    <x v="0"/>
    <n v="1"/>
    <n v="0"/>
    <n v="0"/>
    <n v="0"/>
    <x v="0"/>
    <n v="0"/>
    <n v="0"/>
    <m/>
    <n v="33.6"/>
    <m/>
    <m/>
    <n v="0"/>
    <m/>
    <n v="1"/>
    <m/>
    <n v="0"/>
    <m/>
    <n v="0"/>
    <m/>
    <n v="0"/>
  </r>
  <r>
    <x v="95"/>
    <n v="45693"/>
    <x v="0"/>
    <x v="2"/>
    <x v="1"/>
    <x v="4"/>
    <x v="1"/>
    <n v="0"/>
    <n v="0"/>
    <n v="0"/>
    <n v="0"/>
    <x v="0"/>
    <n v="0"/>
    <n v="0"/>
    <m/>
    <n v="68"/>
    <m/>
    <m/>
    <n v="0"/>
    <m/>
    <n v="1"/>
    <m/>
    <n v="1"/>
    <m/>
    <n v="1"/>
    <m/>
    <n v="1"/>
  </r>
  <r>
    <x v="1209"/>
    <n v="45712"/>
    <x v="1"/>
    <x v="1"/>
    <x v="1"/>
    <x v="1"/>
    <x v="0"/>
    <n v="1"/>
    <n v="0"/>
    <n v="0"/>
    <n v="0"/>
    <x v="0"/>
    <n v="0"/>
    <n v="0"/>
    <m/>
    <n v="62"/>
    <m/>
    <m/>
    <n v="0"/>
    <m/>
    <n v="1"/>
    <m/>
    <n v="0"/>
    <m/>
    <n v="0"/>
    <m/>
    <n v="0"/>
  </r>
  <r>
    <x v="1231"/>
    <n v="45746"/>
    <x v="1"/>
    <x v="2"/>
    <x v="1"/>
    <x v="1"/>
    <x v="1"/>
    <n v="1"/>
    <n v="1"/>
    <n v="1"/>
    <n v="0"/>
    <x v="0"/>
    <n v="1"/>
    <n v="0"/>
    <m/>
    <n v="72.5"/>
    <m/>
    <m/>
    <n v="0"/>
    <m/>
    <m/>
    <m/>
    <m/>
    <m/>
    <m/>
    <m/>
    <m/>
  </r>
  <r>
    <x v="1058"/>
    <n v="45793"/>
    <x v="1"/>
    <x v="3"/>
    <x v="1"/>
    <x v="1"/>
    <x v="1"/>
    <n v="1"/>
    <n v="0"/>
    <n v="0"/>
    <n v="0"/>
    <x v="0"/>
    <n v="0"/>
    <n v="0"/>
    <m/>
    <n v="70.3"/>
    <m/>
    <m/>
    <m/>
    <m/>
    <m/>
    <m/>
    <m/>
    <m/>
    <m/>
    <m/>
    <m/>
  </r>
  <r>
    <x v="540"/>
    <n v="45799"/>
    <x v="0"/>
    <x v="0"/>
    <x v="1"/>
    <x v="2"/>
    <x v="0"/>
    <n v="1"/>
    <n v="1"/>
    <n v="0"/>
    <n v="0"/>
    <x v="0"/>
    <n v="0"/>
    <n v="0"/>
    <m/>
    <n v="39.9"/>
    <m/>
    <m/>
    <m/>
    <m/>
    <m/>
    <m/>
    <m/>
    <m/>
    <m/>
    <m/>
    <m/>
  </r>
  <r>
    <x v="1400"/>
    <m/>
    <x v="2"/>
    <x v="4"/>
    <x v="3"/>
    <x v="5"/>
    <x v="3"/>
    <m/>
    <m/>
    <m/>
    <m/>
    <x v="73"/>
    <m/>
    <m/>
    <m/>
    <m/>
    <m/>
    <m/>
    <m/>
    <m/>
    <m/>
    <m/>
    <m/>
    <m/>
    <m/>
    <m/>
    <m/>
  </r>
  <r>
    <x v="1400"/>
    <m/>
    <x v="2"/>
    <x v="4"/>
    <x v="3"/>
    <x v="5"/>
    <x v="3"/>
    <m/>
    <m/>
    <m/>
    <m/>
    <x v="74"/>
    <m/>
    <m/>
    <m/>
    <m/>
    <m/>
    <m/>
    <m/>
    <m/>
    <m/>
    <m/>
    <m/>
    <m/>
    <m/>
    <m/>
    <m/>
  </r>
  <r>
    <x v="1400"/>
    <m/>
    <x v="2"/>
    <x v="4"/>
    <x v="3"/>
    <x v="5"/>
    <x v="3"/>
    <m/>
    <m/>
    <m/>
    <m/>
    <x v="73"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F37366-0331-42E0-A475-99D67F72C2D6}" name="PivotTable11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2:J6" firstHeaderRow="1" firstDataRow="1" firstDataCol="1"/>
  <pivotFields count="27"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Control-visited_landing_page" fld="19" baseField="0" baseItem="0"/>
  </dataFields>
  <formats count="1"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2042A1-2AEF-4E9A-9E0E-1C392F24DF51}" name="PivotTable10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2:H6" firstHeaderRow="1" firstDataRow="1" firstDataCol="1"/>
  <pivotFields count="27">
    <pivotField dataField="1"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us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E992A5-413E-4C45-B68C-B902848AF095}" name="PivotTable9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5:D30" firstHeaderRow="0" firstDataRow="1" firstDataCol="1"/>
  <pivotFields count="27">
    <pivotField dataField="1" showAll="0">
      <items count="14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axis="axisRow" showAll="0">
      <items count="6">
        <item x="2"/>
        <item x="0"/>
        <item x="3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>
      <items count="76">
        <item x="0"/>
        <item x="46"/>
        <item x="1"/>
        <item x="59"/>
        <item x="49"/>
        <item x="25"/>
        <item x="30"/>
        <item x="56"/>
        <item x="44"/>
        <item x="70"/>
        <item x="43"/>
        <item x="51"/>
        <item x="40"/>
        <item x="22"/>
        <item x="60"/>
        <item x="61"/>
        <item x="3"/>
        <item x="37"/>
        <item x="29"/>
        <item x="6"/>
        <item x="14"/>
        <item x="54"/>
        <item x="74"/>
        <item x="65"/>
        <item x="53"/>
        <item x="15"/>
        <item x="67"/>
        <item x="36"/>
        <item x="35"/>
        <item x="50"/>
        <item x="27"/>
        <item x="68"/>
        <item x="23"/>
        <item x="2"/>
        <item x="31"/>
        <item x="42"/>
        <item x="41"/>
        <item x="20"/>
        <item x="24"/>
        <item x="10"/>
        <item x="7"/>
        <item x="26"/>
        <item x="63"/>
        <item x="71"/>
        <item x="21"/>
        <item x="52"/>
        <item x="32"/>
        <item x="16"/>
        <item x="55"/>
        <item x="64"/>
        <item x="72"/>
        <item x="34"/>
        <item x="9"/>
        <item x="62"/>
        <item x="38"/>
        <item x="33"/>
        <item x="12"/>
        <item x="11"/>
        <item x="8"/>
        <item x="66"/>
        <item x="28"/>
        <item x="19"/>
        <item x="58"/>
        <item x="45"/>
        <item x="57"/>
        <item x="48"/>
        <item x="47"/>
        <item x="39"/>
        <item x="18"/>
        <item x="17"/>
        <item x="69"/>
        <item x="4"/>
        <item x="13"/>
        <item x="5"/>
        <item x="7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3"/>
    <field x="2"/>
  </rowFields>
  <rowItems count="15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user_id" fld="0" subtotal="count" baseField="0" baseItem="0"/>
    <dataField name="Sum of revenue_30d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2AA856-761E-433F-BABE-18118F0B39A1}" name="PivotTable8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7:H12" firstHeaderRow="1" firstDataRow="2" firstDataCol="1"/>
  <pivotFields count="27">
    <pivotField dataField="1" showAll="0">
      <items count="14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axis="axisCol" showAll="0">
      <items count="6">
        <item x="2"/>
        <item x="0"/>
        <item x="3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us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9D7B96-484A-44AE-9267-421F42A1C6F8}" name="PivotTable2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5:F11" firstHeaderRow="1" firstDataRow="2" firstDataCol="1"/>
  <pivotFields count="27">
    <pivotField dataField="1" showAll="0">
      <items count="14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t="default"/>
      </items>
    </pivotField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Count of us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BEFF30-9625-4E3B-944A-660B07EC71FC}" name="PivotTable3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5:F11" firstHeaderRow="1" firstDataRow="2" firstDataCol="1"/>
  <pivotFields count="27">
    <pivotField dataField="1" showAll="0">
      <items count="14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t="default"/>
      </items>
    </pivotField>
    <pivotField showAll="0"/>
    <pivotField axis="axisCol" showAll="0">
      <items count="4">
        <item x="0"/>
        <item x="1"/>
        <item x="2"/>
        <item t="default"/>
      </items>
    </pivotField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Count of us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87C2F7-3B1E-46B6-9200-4AE552648CC6}" name="PivotTable4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5:G13" firstHeaderRow="1" firstDataRow="2" firstDataCol="1"/>
  <pivotFields count="27">
    <pivotField dataField="1" showAll="0">
      <items count="14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t="default"/>
      </items>
    </pivotField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Count of us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411"/>
  <sheetViews>
    <sheetView topLeftCell="A1375" workbookViewId="0">
      <selection activeCell="M1" sqref="M1"/>
    </sheetView>
  </sheetViews>
  <sheetFormatPr defaultRowHeight="14.4" x14ac:dyDescent="0.3"/>
  <cols>
    <col min="1" max="1" width="11" bestFit="1" customWidth="1"/>
    <col min="2" max="2" width="11.33203125" bestFit="1" customWidth="1"/>
    <col min="3" max="3" width="16.6640625" bestFit="1" customWidth="1"/>
    <col min="8" max="8" width="19" bestFit="1" customWidth="1"/>
    <col min="9" max="9" width="11.109375" bestFit="1" customWidth="1"/>
    <col min="10" max="10" width="21" bestFit="1" customWidth="1"/>
    <col min="11" max="11" width="17.21875" bestFit="1" customWidth="1"/>
    <col min="12" max="12" width="12" bestFit="1" customWidth="1"/>
    <col min="13" max="13" width="22.5546875" customWidth="1"/>
    <col min="14" max="14" width="16.21875" bestFit="1" customWidth="1"/>
    <col min="15" max="15" width="15.21875" bestFit="1" customWidth="1"/>
    <col min="16" max="16" width="17.21875" bestFit="1" customWidth="1"/>
    <col min="24" max="24" width="28.109375" bestFit="1" customWidth="1"/>
    <col min="25" max="25" width="30.77734375" bestFit="1" customWidth="1"/>
    <col min="26" max="26" width="21.109375" bestFit="1" customWidth="1"/>
    <col min="27" max="27" width="24" bestFit="1" customWidth="1"/>
  </cols>
  <sheetData>
    <row r="1" spans="1:27" s="2" customFormat="1" ht="28.8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</row>
    <row r="2" spans="1:27" x14ac:dyDescent="0.3">
      <c r="A2" t="s">
        <v>26</v>
      </c>
      <c r="B2">
        <v>45732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P2">
        <v>45.7</v>
      </c>
      <c r="R2">
        <v>0</v>
      </c>
      <c r="T2">
        <v>0</v>
      </c>
      <c r="V2">
        <v>0</v>
      </c>
      <c r="X2">
        <v>0</v>
      </c>
      <c r="Z2">
        <v>0</v>
      </c>
    </row>
    <row r="3" spans="1:27" x14ac:dyDescent="0.3">
      <c r="A3" t="s">
        <v>32</v>
      </c>
      <c r="B3">
        <v>45724</v>
      </c>
      <c r="C3" t="s">
        <v>27</v>
      </c>
      <c r="D3" t="s">
        <v>33</v>
      </c>
      <c r="E3" t="s">
        <v>34</v>
      </c>
      <c r="F3" t="s">
        <v>35</v>
      </c>
      <c r="G3" t="s">
        <v>36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P3">
        <v>48.6</v>
      </c>
      <c r="R3">
        <v>0</v>
      </c>
      <c r="T3">
        <v>1</v>
      </c>
      <c r="V3">
        <v>0</v>
      </c>
      <c r="X3">
        <v>0</v>
      </c>
      <c r="Z3">
        <v>0</v>
      </c>
    </row>
    <row r="4" spans="1:27" x14ac:dyDescent="0.3">
      <c r="A4" t="s">
        <v>37</v>
      </c>
      <c r="B4">
        <v>45771</v>
      </c>
      <c r="C4" t="s">
        <v>27</v>
      </c>
      <c r="D4" t="s">
        <v>38</v>
      </c>
      <c r="E4" t="s">
        <v>34</v>
      </c>
      <c r="F4" t="s">
        <v>39</v>
      </c>
      <c r="G4" t="s">
        <v>40</v>
      </c>
      <c r="H4">
        <v>1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P4">
        <v>35.4</v>
      </c>
      <c r="R4">
        <v>0</v>
      </c>
      <c r="T4">
        <v>1</v>
      </c>
      <c r="V4">
        <v>0</v>
      </c>
      <c r="X4">
        <v>0</v>
      </c>
      <c r="Z4">
        <v>1</v>
      </c>
    </row>
    <row r="5" spans="1:27" x14ac:dyDescent="0.3">
      <c r="A5" t="s">
        <v>41</v>
      </c>
      <c r="B5">
        <v>45781</v>
      </c>
      <c r="C5" t="s">
        <v>27</v>
      </c>
      <c r="D5" t="s">
        <v>42</v>
      </c>
      <c r="E5" t="s">
        <v>34</v>
      </c>
      <c r="F5" t="s">
        <v>30</v>
      </c>
      <c r="G5" t="s">
        <v>31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P5">
        <v>64.599999999999994</v>
      </c>
      <c r="R5">
        <v>0</v>
      </c>
      <c r="T5">
        <v>1</v>
      </c>
      <c r="V5">
        <v>0</v>
      </c>
      <c r="X5">
        <v>0</v>
      </c>
      <c r="Z5">
        <v>0</v>
      </c>
    </row>
    <row r="6" spans="1:27" x14ac:dyDescent="0.3">
      <c r="A6" t="s">
        <v>43</v>
      </c>
      <c r="B6">
        <v>45700</v>
      </c>
      <c r="C6" t="s">
        <v>27</v>
      </c>
      <c r="D6" t="s">
        <v>28</v>
      </c>
      <c r="E6" t="s">
        <v>44</v>
      </c>
      <c r="F6" t="s">
        <v>35</v>
      </c>
      <c r="G6" t="s">
        <v>36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P6">
        <v>66.599999999999994</v>
      </c>
      <c r="R6">
        <v>0</v>
      </c>
      <c r="T6">
        <v>0</v>
      </c>
      <c r="V6">
        <v>0</v>
      </c>
      <c r="X6">
        <v>0</v>
      </c>
      <c r="Z6">
        <v>0</v>
      </c>
    </row>
    <row r="7" spans="1:27" x14ac:dyDescent="0.3">
      <c r="A7" t="s">
        <v>45</v>
      </c>
      <c r="B7">
        <v>45685</v>
      </c>
      <c r="C7" t="s">
        <v>27</v>
      </c>
      <c r="D7" t="s">
        <v>38</v>
      </c>
      <c r="E7" t="s">
        <v>34</v>
      </c>
      <c r="F7" t="s">
        <v>35</v>
      </c>
      <c r="G7" t="s">
        <v>40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P7">
        <v>40.799999999999997</v>
      </c>
      <c r="R7">
        <v>0</v>
      </c>
      <c r="T7">
        <v>1</v>
      </c>
      <c r="V7">
        <v>0</v>
      </c>
      <c r="X7">
        <v>0</v>
      </c>
      <c r="Z7">
        <v>0</v>
      </c>
    </row>
    <row r="8" spans="1:27" x14ac:dyDescent="0.3">
      <c r="A8" t="s">
        <v>46</v>
      </c>
      <c r="B8">
        <v>45755</v>
      </c>
      <c r="C8" t="s">
        <v>27</v>
      </c>
      <c r="D8" t="s">
        <v>38</v>
      </c>
      <c r="E8" t="s">
        <v>34</v>
      </c>
      <c r="F8" t="s">
        <v>39</v>
      </c>
      <c r="G8" t="s">
        <v>31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P8">
        <v>57.1</v>
      </c>
      <c r="R8">
        <v>0</v>
      </c>
      <c r="T8">
        <v>1</v>
      </c>
      <c r="V8">
        <v>1</v>
      </c>
      <c r="X8">
        <v>0</v>
      </c>
      <c r="Z8">
        <v>0</v>
      </c>
    </row>
    <row r="9" spans="1:27" x14ac:dyDescent="0.3">
      <c r="A9" t="s">
        <v>47</v>
      </c>
      <c r="B9">
        <v>45794</v>
      </c>
      <c r="C9" t="s">
        <v>27</v>
      </c>
      <c r="D9" t="s">
        <v>42</v>
      </c>
      <c r="E9" t="s">
        <v>34</v>
      </c>
      <c r="F9" t="s">
        <v>39</v>
      </c>
      <c r="G9" t="s">
        <v>36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P9">
        <v>36.4</v>
      </c>
      <c r="R9">
        <v>0</v>
      </c>
      <c r="T9">
        <v>0</v>
      </c>
      <c r="V9">
        <v>0</v>
      </c>
      <c r="X9">
        <v>0</v>
      </c>
      <c r="Z9">
        <v>0</v>
      </c>
    </row>
    <row r="10" spans="1:27" x14ac:dyDescent="0.3">
      <c r="A10" t="s">
        <v>48</v>
      </c>
      <c r="B10">
        <v>45711</v>
      </c>
      <c r="C10" t="s">
        <v>27</v>
      </c>
      <c r="D10" t="s">
        <v>42</v>
      </c>
      <c r="E10" t="s">
        <v>44</v>
      </c>
      <c r="F10" t="s">
        <v>49</v>
      </c>
      <c r="G10" t="s">
        <v>31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P10">
        <v>55.4</v>
      </c>
      <c r="R10">
        <v>0</v>
      </c>
      <c r="T10">
        <v>0</v>
      </c>
      <c r="V10">
        <v>0</v>
      </c>
      <c r="X10">
        <v>0</v>
      </c>
      <c r="Z10">
        <v>0</v>
      </c>
    </row>
    <row r="11" spans="1:27" x14ac:dyDescent="0.3">
      <c r="A11" t="s">
        <v>50</v>
      </c>
      <c r="B11">
        <v>45806</v>
      </c>
      <c r="C11" t="s">
        <v>27</v>
      </c>
      <c r="D11" t="s">
        <v>33</v>
      </c>
      <c r="E11" t="s">
        <v>29</v>
      </c>
      <c r="F11" t="s">
        <v>51</v>
      </c>
      <c r="G11" t="s">
        <v>36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P11">
        <v>57.3</v>
      </c>
      <c r="R11">
        <v>0</v>
      </c>
      <c r="T11">
        <v>1</v>
      </c>
      <c r="V11">
        <v>0</v>
      </c>
      <c r="X11">
        <v>0</v>
      </c>
      <c r="Z11">
        <v>0</v>
      </c>
    </row>
    <row r="12" spans="1:27" x14ac:dyDescent="0.3">
      <c r="A12" t="s">
        <v>52</v>
      </c>
      <c r="B12">
        <v>45777</v>
      </c>
      <c r="C12" t="s">
        <v>27</v>
      </c>
      <c r="D12" t="s">
        <v>38</v>
      </c>
      <c r="E12" t="s">
        <v>34</v>
      </c>
      <c r="F12" t="s">
        <v>39</v>
      </c>
      <c r="G12" t="s">
        <v>31</v>
      </c>
      <c r="H12">
        <v>1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P12">
        <v>63.6</v>
      </c>
      <c r="R12">
        <v>0</v>
      </c>
      <c r="T12">
        <v>1</v>
      </c>
      <c r="V12">
        <v>1</v>
      </c>
      <c r="X12">
        <v>1</v>
      </c>
      <c r="Z12">
        <v>0</v>
      </c>
    </row>
    <row r="13" spans="1:27" x14ac:dyDescent="0.3">
      <c r="A13" t="s">
        <v>53</v>
      </c>
      <c r="B13">
        <v>45732</v>
      </c>
      <c r="C13" t="s">
        <v>27</v>
      </c>
      <c r="D13" t="s">
        <v>38</v>
      </c>
      <c r="E13" t="s">
        <v>34</v>
      </c>
      <c r="F13" t="s">
        <v>51</v>
      </c>
      <c r="G13" t="s">
        <v>40</v>
      </c>
      <c r="H13">
        <v>1</v>
      </c>
      <c r="I13">
        <v>1</v>
      </c>
      <c r="J13">
        <v>1</v>
      </c>
      <c r="K13">
        <v>0</v>
      </c>
      <c r="L13">
        <v>0</v>
      </c>
      <c r="M13">
        <v>1</v>
      </c>
      <c r="N13">
        <v>0</v>
      </c>
      <c r="P13">
        <v>80.400000000000006</v>
      </c>
      <c r="R13">
        <v>0</v>
      </c>
      <c r="T13">
        <v>1</v>
      </c>
      <c r="V13">
        <v>1</v>
      </c>
      <c r="X13">
        <v>1</v>
      </c>
      <c r="Z13">
        <v>1</v>
      </c>
    </row>
    <row r="14" spans="1:27" x14ac:dyDescent="0.3">
      <c r="A14" t="s">
        <v>54</v>
      </c>
      <c r="B14">
        <v>45695</v>
      </c>
      <c r="C14" t="s">
        <v>27</v>
      </c>
      <c r="D14" t="s">
        <v>42</v>
      </c>
      <c r="E14" t="s">
        <v>29</v>
      </c>
      <c r="F14" t="s">
        <v>30</v>
      </c>
      <c r="G14" t="s">
        <v>31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P14">
        <v>62.4</v>
      </c>
      <c r="R14">
        <v>0</v>
      </c>
      <c r="T14">
        <v>1</v>
      </c>
      <c r="V14">
        <v>0</v>
      </c>
      <c r="X14">
        <v>0</v>
      </c>
      <c r="Z14">
        <v>0</v>
      </c>
    </row>
    <row r="15" spans="1:27" x14ac:dyDescent="0.3">
      <c r="A15" t="s">
        <v>55</v>
      </c>
      <c r="B15">
        <v>45718</v>
      </c>
      <c r="C15" t="s">
        <v>27</v>
      </c>
      <c r="D15" t="s">
        <v>33</v>
      </c>
      <c r="E15" t="s">
        <v>34</v>
      </c>
      <c r="F15" t="s">
        <v>51</v>
      </c>
      <c r="G15" t="s">
        <v>31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P15">
        <v>82.4</v>
      </c>
      <c r="R15">
        <v>0</v>
      </c>
      <c r="T15">
        <v>1</v>
      </c>
      <c r="V15">
        <v>0</v>
      </c>
      <c r="X15">
        <v>0</v>
      </c>
      <c r="Z15">
        <v>0</v>
      </c>
    </row>
    <row r="16" spans="1:27" x14ac:dyDescent="0.3">
      <c r="A16" t="s">
        <v>56</v>
      </c>
      <c r="B16">
        <v>45807</v>
      </c>
      <c r="C16" t="s">
        <v>27</v>
      </c>
      <c r="D16" t="s">
        <v>42</v>
      </c>
      <c r="E16" t="s">
        <v>34</v>
      </c>
      <c r="F16" t="s">
        <v>35</v>
      </c>
      <c r="G16" t="s">
        <v>31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P16">
        <v>61.2</v>
      </c>
      <c r="R16">
        <v>0</v>
      </c>
      <c r="T16">
        <v>0</v>
      </c>
      <c r="V16">
        <v>0</v>
      </c>
      <c r="X16">
        <v>0</v>
      </c>
      <c r="Z16">
        <v>0</v>
      </c>
    </row>
    <row r="17" spans="1:26" x14ac:dyDescent="0.3">
      <c r="A17" t="s">
        <v>57</v>
      </c>
      <c r="B17">
        <v>45741</v>
      </c>
      <c r="C17" t="s">
        <v>27</v>
      </c>
      <c r="D17" t="s">
        <v>42</v>
      </c>
      <c r="E17" t="s">
        <v>34</v>
      </c>
      <c r="F17" t="s">
        <v>51</v>
      </c>
      <c r="G17" t="s">
        <v>31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P17">
        <v>68.900000000000006</v>
      </c>
      <c r="R17">
        <v>0</v>
      </c>
      <c r="T17">
        <v>1</v>
      </c>
      <c r="V17">
        <v>0</v>
      </c>
      <c r="X17">
        <v>0</v>
      </c>
      <c r="Z17">
        <v>0</v>
      </c>
    </row>
    <row r="18" spans="1:26" x14ac:dyDescent="0.3">
      <c r="A18" t="s">
        <v>58</v>
      </c>
      <c r="B18">
        <v>45743</v>
      </c>
      <c r="C18" t="s">
        <v>27</v>
      </c>
      <c r="D18" t="s">
        <v>38</v>
      </c>
      <c r="E18" t="s">
        <v>29</v>
      </c>
      <c r="F18" t="s">
        <v>39</v>
      </c>
      <c r="G18" t="s">
        <v>36</v>
      </c>
      <c r="H18">
        <v>1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P18">
        <v>71.900000000000006</v>
      </c>
      <c r="R18">
        <v>0</v>
      </c>
      <c r="T18">
        <v>1</v>
      </c>
      <c r="V18">
        <v>1</v>
      </c>
      <c r="X18">
        <v>1</v>
      </c>
      <c r="Z18">
        <v>0</v>
      </c>
    </row>
    <row r="19" spans="1:26" x14ac:dyDescent="0.3">
      <c r="A19" t="s">
        <v>59</v>
      </c>
      <c r="B19">
        <v>45805</v>
      </c>
      <c r="C19" t="s">
        <v>27</v>
      </c>
      <c r="D19" t="s">
        <v>42</v>
      </c>
      <c r="E19" t="s">
        <v>29</v>
      </c>
      <c r="F19" t="s">
        <v>39</v>
      </c>
      <c r="G19" t="s">
        <v>36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P19">
        <v>50.5</v>
      </c>
      <c r="R19">
        <v>0</v>
      </c>
      <c r="T19">
        <v>0</v>
      </c>
      <c r="V19">
        <v>0</v>
      </c>
      <c r="X19">
        <v>0</v>
      </c>
      <c r="Z19">
        <v>0</v>
      </c>
    </row>
    <row r="20" spans="1:26" x14ac:dyDescent="0.3">
      <c r="A20" t="s">
        <v>60</v>
      </c>
      <c r="B20">
        <v>45703</v>
      </c>
      <c r="C20" t="s">
        <v>27</v>
      </c>
      <c r="D20" t="s">
        <v>28</v>
      </c>
      <c r="E20" t="s">
        <v>29</v>
      </c>
      <c r="F20" t="s">
        <v>39</v>
      </c>
      <c r="G20" t="s">
        <v>31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P20">
        <v>49.3</v>
      </c>
      <c r="R20">
        <v>0</v>
      </c>
      <c r="T20">
        <v>0</v>
      </c>
      <c r="V20">
        <v>0</v>
      </c>
      <c r="X20">
        <v>0</v>
      </c>
      <c r="Z20">
        <v>0</v>
      </c>
    </row>
    <row r="21" spans="1:26" x14ac:dyDescent="0.3">
      <c r="A21" t="s">
        <v>61</v>
      </c>
      <c r="B21">
        <v>45782</v>
      </c>
      <c r="C21" t="s">
        <v>27</v>
      </c>
      <c r="D21" t="s">
        <v>33</v>
      </c>
      <c r="E21" t="s">
        <v>29</v>
      </c>
      <c r="F21" t="s">
        <v>35</v>
      </c>
      <c r="G21" t="s">
        <v>31</v>
      </c>
      <c r="H21">
        <v>0</v>
      </c>
      <c r="I21">
        <v>0</v>
      </c>
      <c r="J21">
        <v>0</v>
      </c>
      <c r="K21">
        <v>0</v>
      </c>
      <c r="L21">
        <v>0</v>
      </c>
      <c r="M21">
        <v>2</v>
      </c>
      <c r="N21">
        <v>0</v>
      </c>
      <c r="P21">
        <v>60.9</v>
      </c>
      <c r="R21">
        <v>0</v>
      </c>
      <c r="T21">
        <v>0</v>
      </c>
      <c r="V21">
        <v>0</v>
      </c>
      <c r="X21">
        <v>0</v>
      </c>
      <c r="Z21">
        <v>2</v>
      </c>
    </row>
    <row r="22" spans="1:26" x14ac:dyDescent="0.3">
      <c r="A22" t="s">
        <v>62</v>
      </c>
      <c r="B22">
        <v>45760</v>
      </c>
      <c r="C22" t="s">
        <v>27</v>
      </c>
      <c r="D22" t="s">
        <v>38</v>
      </c>
      <c r="E22" t="s">
        <v>34</v>
      </c>
      <c r="F22" t="s">
        <v>51</v>
      </c>
      <c r="G22" t="s">
        <v>36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P22">
        <v>62.7</v>
      </c>
      <c r="R22">
        <v>0</v>
      </c>
      <c r="T22">
        <v>1</v>
      </c>
      <c r="V22">
        <v>0</v>
      </c>
      <c r="X22">
        <v>0</v>
      </c>
      <c r="Z22">
        <v>0</v>
      </c>
    </row>
    <row r="23" spans="1:26" x14ac:dyDescent="0.3">
      <c r="A23" t="s">
        <v>63</v>
      </c>
      <c r="B23">
        <v>45784</v>
      </c>
      <c r="C23" t="s">
        <v>27</v>
      </c>
      <c r="D23" t="s">
        <v>28</v>
      </c>
      <c r="E23" t="s">
        <v>29</v>
      </c>
      <c r="F23" t="s">
        <v>39</v>
      </c>
      <c r="G23" t="s">
        <v>36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P23">
        <v>52.7</v>
      </c>
      <c r="R23">
        <v>0</v>
      </c>
      <c r="T23">
        <v>0</v>
      </c>
      <c r="V23">
        <v>0</v>
      </c>
      <c r="X23">
        <v>0</v>
      </c>
      <c r="Z23">
        <v>0</v>
      </c>
    </row>
    <row r="24" spans="1:26" x14ac:dyDescent="0.3">
      <c r="A24" t="s">
        <v>64</v>
      </c>
      <c r="B24">
        <v>45802</v>
      </c>
      <c r="C24" t="s">
        <v>27</v>
      </c>
      <c r="D24" t="s">
        <v>28</v>
      </c>
      <c r="E24" t="s">
        <v>29</v>
      </c>
      <c r="F24" t="s">
        <v>35</v>
      </c>
      <c r="G24" t="s">
        <v>36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P24">
        <v>54</v>
      </c>
      <c r="R24">
        <v>0</v>
      </c>
      <c r="T24">
        <v>0</v>
      </c>
      <c r="V24">
        <v>0</v>
      </c>
      <c r="X24">
        <v>0</v>
      </c>
      <c r="Z24">
        <v>0</v>
      </c>
    </row>
    <row r="25" spans="1:26" x14ac:dyDescent="0.3">
      <c r="A25" t="s">
        <v>65</v>
      </c>
      <c r="B25">
        <v>45748</v>
      </c>
      <c r="C25" t="s">
        <v>27</v>
      </c>
      <c r="D25" t="s">
        <v>38</v>
      </c>
      <c r="E25" t="s">
        <v>34</v>
      </c>
      <c r="F25" t="s">
        <v>39</v>
      </c>
      <c r="G25" t="s">
        <v>40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P25">
        <v>51.6</v>
      </c>
      <c r="R25">
        <v>0</v>
      </c>
      <c r="T25">
        <v>1</v>
      </c>
      <c r="V25">
        <v>1</v>
      </c>
      <c r="X25">
        <v>0</v>
      </c>
      <c r="Z25">
        <v>0</v>
      </c>
    </row>
    <row r="26" spans="1:26" x14ac:dyDescent="0.3">
      <c r="A26" t="s">
        <v>66</v>
      </c>
      <c r="B26">
        <v>45710</v>
      </c>
      <c r="C26" t="s">
        <v>27</v>
      </c>
      <c r="D26" t="s">
        <v>28</v>
      </c>
      <c r="E26" t="s">
        <v>34</v>
      </c>
      <c r="F26" t="s">
        <v>39</v>
      </c>
      <c r="G26" t="s">
        <v>40</v>
      </c>
      <c r="H26">
        <v>0</v>
      </c>
      <c r="I26">
        <v>0</v>
      </c>
      <c r="J26">
        <v>0</v>
      </c>
      <c r="K26">
        <v>0</v>
      </c>
      <c r="L26">
        <v>0</v>
      </c>
      <c r="M26">
        <v>2</v>
      </c>
      <c r="N26">
        <v>0</v>
      </c>
      <c r="P26">
        <v>66.900000000000006</v>
      </c>
      <c r="R26">
        <v>0</v>
      </c>
      <c r="T26">
        <v>0</v>
      </c>
      <c r="V26">
        <v>0</v>
      </c>
      <c r="X26">
        <v>0</v>
      </c>
      <c r="Z26">
        <v>2</v>
      </c>
    </row>
    <row r="27" spans="1:26" x14ac:dyDescent="0.3">
      <c r="A27" t="s">
        <v>67</v>
      </c>
      <c r="B27">
        <v>45740</v>
      </c>
      <c r="C27" t="s">
        <v>27</v>
      </c>
      <c r="D27" t="s">
        <v>38</v>
      </c>
      <c r="E27" t="s">
        <v>34</v>
      </c>
      <c r="F27" t="s">
        <v>35</v>
      </c>
      <c r="G27" t="s">
        <v>31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P27">
        <v>67.400000000000006</v>
      </c>
      <c r="R27">
        <v>0</v>
      </c>
      <c r="T27">
        <v>0</v>
      </c>
      <c r="V27">
        <v>0</v>
      </c>
      <c r="X27">
        <v>0</v>
      </c>
      <c r="Z27">
        <v>0</v>
      </c>
    </row>
    <row r="28" spans="1:26" x14ac:dyDescent="0.3">
      <c r="A28" t="s">
        <v>68</v>
      </c>
      <c r="B28">
        <v>45701</v>
      </c>
      <c r="C28" t="s">
        <v>27</v>
      </c>
      <c r="D28" t="s">
        <v>28</v>
      </c>
      <c r="E28" t="s">
        <v>34</v>
      </c>
      <c r="F28" t="s">
        <v>35</v>
      </c>
      <c r="G28" t="s">
        <v>36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P28">
        <v>58.8</v>
      </c>
      <c r="R28">
        <v>0</v>
      </c>
      <c r="T28">
        <v>0</v>
      </c>
      <c r="V28">
        <v>0</v>
      </c>
      <c r="X28">
        <v>0</v>
      </c>
      <c r="Z28">
        <v>0</v>
      </c>
    </row>
    <row r="29" spans="1:26" x14ac:dyDescent="0.3">
      <c r="A29" t="s">
        <v>69</v>
      </c>
      <c r="B29">
        <v>45807</v>
      </c>
      <c r="C29" t="s">
        <v>27</v>
      </c>
      <c r="D29" t="s">
        <v>42</v>
      </c>
      <c r="E29" t="s">
        <v>34</v>
      </c>
      <c r="F29" t="s">
        <v>35</v>
      </c>
      <c r="G29" t="s">
        <v>36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P29">
        <v>73.8</v>
      </c>
      <c r="R29">
        <v>0</v>
      </c>
      <c r="T29">
        <v>1</v>
      </c>
      <c r="V29">
        <v>0</v>
      </c>
      <c r="X29">
        <v>0</v>
      </c>
      <c r="Z29">
        <v>0</v>
      </c>
    </row>
    <row r="30" spans="1:26" x14ac:dyDescent="0.3">
      <c r="A30" t="s">
        <v>70</v>
      </c>
      <c r="B30">
        <v>45677</v>
      </c>
      <c r="C30" t="s">
        <v>27</v>
      </c>
      <c r="D30" t="s">
        <v>38</v>
      </c>
      <c r="E30" t="s">
        <v>44</v>
      </c>
      <c r="F30" t="s">
        <v>35</v>
      </c>
      <c r="G30" t="s">
        <v>31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P30">
        <v>60.1</v>
      </c>
      <c r="R30">
        <v>0</v>
      </c>
      <c r="T30">
        <v>0</v>
      </c>
      <c r="V30">
        <v>0</v>
      </c>
      <c r="X30">
        <v>0</v>
      </c>
      <c r="Z30">
        <v>0</v>
      </c>
    </row>
    <row r="31" spans="1:26" x14ac:dyDescent="0.3">
      <c r="A31" t="s">
        <v>71</v>
      </c>
      <c r="B31">
        <v>45796</v>
      </c>
      <c r="C31" t="s">
        <v>27</v>
      </c>
      <c r="D31" t="s">
        <v>38</v>
      </c>
      <c r="E31" t="s">
        <v>34</v>
      </c>
      <c r="F31" t="s">
        <v>51</v>
      </c>
      <c r="G31" t="s">
        <v>31</v>
      </c>
      <c r="H31">
        <v>1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P31">
        <v>41</v>
      </c>
      <c r="R31">
        <v>0</v>
      </c>
      <c r="T31">
        <v>1</v>
      </c>
      <c r="V31">
        <v>1</v>
      </c>
      <c r="X31">
        <v>1</v>
      </c>
      <c r="Z31">
        <v>0</v>
      </c>
    </row>
    <row r="32" spans="1:26" x14ac:dyDescent="0.3">
      <c r="A32" t="s">
        <v>72</v>
      </c>
      <c r="B32">
        <v>45706</v>
      </c>
      <c r="C32" t="s">
        <v>27</v>
      </c>
      <c r="D32" t="s">
        <v>42</v>
      </c>
      <c r="E32" t="s">
        <v>34</v>
      </c>
      <c r="F32" t="s">
        <v>35</v>
      </c>
      <c r="G32" t="s">
        <v>31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P32">
        <v>80.3</v>
      </c>
      <c r="R32">
        <v>0</v>
      </c>
      <c r="T32">
        <v>1</v>
      </c>
      <c r="V32">
        <v>0</v>
      </c>
      <c r="X32">
        <v>0</v>
      </c>
      <c r="Z32">
        <v>0</v>
      </c>
    </row>
    <row r="33" spans="1:26" x14ac:dyDescent="0.3">
      <c r="A33" t="s">
        <v>73</v>
      </c>
      <c r="B33">
        <v>45701</v>
      </c>
      <c r="C33" t="s">
        <v>27</v>
      </c>
      <c r="D33" t="s">
        <v>38</v>
      </c>
      <c r="E33" t="s">
        <v>34</v>
      </c>
      <c r="F33" t="s">
        <v>35</v>
      </c>
      <c r="G33" t="s">
        <v>36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P33">
        <v>67.599999999999994</v>
      </c>
      <c r="R33">
        <v>0</v>
      </c>
      <c r="T33">
        <v>0</v>
      </c>
      <c r="V33">
        <v>0</v>
      </c>
      <c r="X33">
        <v>0</v>
      </c>
      <c r="Z33">
        <v>0</v>
      </c>
    </row>
    <row r="34" spans="1:26" x14ac:dyDescent="0.3">
      <c r="A34" t="s">
        <v>74</v>
      </c>
      <c r="B34">
        <v>45724</v>
      </c>
      <c r="C34" t="s">
        <v>27</v>
      </c>
      <c r="D34" t="s">
        <v>38</v>
      </c>
      <c r="E34" t="s">
        <v>29</v>
      </c>
      <c r="F34" t="s">
        <v>49</v>
      </c>
      <c r="G34" t="s">
        <v>40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P34">
        <v>64</v>
      </c>
      <c r="R34">
        <v>0</v>
      </c>
      <c r="T34">
        <v>0</v>
      </c>
      <c r="V34">
        <v>0</v>
      </c>
      <c r="X34">
        <v>0</v>
      </c>
      <c r="Z34">
        <v>0</v>
      </c>
    </row>
    <row r="35" spans="1:26" x14ac:dyDescent="0.3">
      <c r="A35" t="s">
        <v>75</v>
      </c>
      <c r="B35">
        <v>45668</v>
      </c>
      <c r="C35" t="s">
        <v>27</v>
      </c>
      <c r="D35" t="s">
        <v>28</v>
      </c>
      <c r="E35" t="s">
        <v>34</v>
      </c>
      <c r="F35" t="s">
        <v>39</v>
      </c>
      <c r="G35" t="s">
        <v>36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P35">
        <v>27.2</v>
      </c>
      <c r="R35">
        <v>0</v>
      </c>
      <c r="T35">
        <v>1</v>
      </c>
      <c r="V35">
        <v>1</v>
      </c>
      <c r="X35">
        <v>0</v>
      </c>
      <c r="Z35">
        <v>0</v>
      </c>
    </row>
    <row r="36" spans="1:26" x14ac:dyDescent="0.3">
      <c r="A36" t="s">
        <v>76</v>
      </c>
      <c r="B36">
        <v>45700</v>
      </c>
      <c r="C36" t="s">
        <v>27</v>
      </c>
      <c r="D36" t="s">
        <v>28</v>
      </c>
      <c r="E36" t="s">
        <v>29</v>
      </c>
      <c r="F36" t="s">
        <v>35</v>
      </c>
      <c r="G36" t="s">
        <v>36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P36">
        <v>85.4</v>
      </c>
      <c r="R36">
        <v>0</v>
      </c>
      <c r="T36">
        <v>1</v>
      </c>
      <c r="V36">
        <v>0</v>
      </c>
      <c r="X36">
        <v>0</v>
      </c>
      <c r="Z36">
        <v>0</v>
      </c>
    </row>
    <row r="37" spans="1:26" x14ac:dyDescent="0.3">
      <c r="A37" t="s">
        <v>77</v>
      </c>
      <c r="B37">
        <v>45760</v>
      </c>
      <c r="C37" t="s">
        <v>27</v>
      </c>
      <c r="D37" t="s">
        <v>38</v>
      </c>
      <c r="E37" t="s">
        <v>29</v>
      </c>
      <c r="F37" t="s">
        <v>35</v>
      </c>
      <c r="G37" t="s">
        <v>31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P37">
        <v>75.900000000000006</v>
      </c>
      <c r="R37">
        <v>0</v>
      </c>
      <c r="T37">
        <v>1</v>
      </c>
      <c r="V37">
        <v>0</v>
      </c>
      <c r="X37">
        <v>0</v>
      </c>
      <c r="Z37">
        <v>0</v>
      </c>
    </row>
    <row r="38" spans="1:26" x14ac:dyDescent="0.3">
      <c r="A38" t="s">
        <v>78</v>
      </c>
      <c r="B38">
        <v>45786</v>
      </c>
      <c r="C38" t="s">
        <v>27</v>
      </c>
      <c r="D38" t="s">
        <v>38</v>
      </c>
      <c r="E38" t="s">
        <v>34</v>
      </c>
      <c r="F38" t="s">
        <v>35</v>
      </c>
      <c r="G38" t="s">
        <v>40</v>
      </c>
      <c r="H38">
        <v>1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P38">
        <v>34.799999999999997</v>
      </c>
      <c r="R38">
        <v>0</v>
      </c>
      <c r="T38">
        <v>1</v>
      </c>
      <c r="V38">
        <v>0</v>
      </c>
      <c r="X38">
        <v>0</v>
      </c>
      <c r="Z38">
        <v>1</v>
      </c>
    </row>
    <row r="39" spans="1:26" x14ac:dyDescent="0.3">
      <c r="A39" t="s">
        <v>79</v>
      </c>
      <c r="B39">
        <v>45677</v>
      </c>
      <c r="C39" t="s">
        <v>27</v>
      </c>
      <c r="D39" t="s">
        <v>38</v>
      </c>
      <c r="E39" t="s">
        <v>34</v>
      </c>
      <c r="F39" t="s">
        <v>35</v>
      </c>
      <c r="G39" t="s">
        <v>36</v>
      </c>
      <c r="H39">
        <v>1</v>
      </c>
      <c r="I39">
        <v>1</v>
      </c>
      <c r="J39">
        <v>1</v>
      </c>
      <c r="K39">
        <v>0</v>
      </c>
      <c r="L39">
        <v>0</v>
      </c>
      <c r="M39">
        <v>3</v>
      </c>
      <c r="N39">
        <v>0</v>
      </c>
      <c r="P39">
        <v>48.9</v>
      </c>
      <c r="R39">
        <v>0</v>
      </c>
      <c r="T39">
        <v>1</v>
      </c>
      <c r="V39">
        <v>1</v>
      </c>
      <c r="X39">
        <v>1</v>
      </c>
      <c r="Z39">
        <v>3</v>
      </c>
    </row>
    <row r="40" spans="1:26" x14ac:dyDescent="0.3">
      <c r="A40" t="s">
        <v>80</v>
      </c>
      <c r="B40">
        <v>45790</v>
      </c>
      <c r="C40" t="s">
        <v>27</v>
      </c>
      <c r="D40" t="s">
        <v>38</v>
      </c>
      <c r="E40" t="s">
        <v>34</v>
      </c>
      <c r="F40" t="s">
        <v>30</v>
      </c>
      <c r="G40" t="s">
        <v>40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P40">
        <v>41.5</v>
      </c>
      <c r="R40">
        <v>0</v>
      </c>
      <c r="T40">
        <v>1</v>
      </c>
      <c r="V40">
        <v>0</v>
      </c>
      <c r="X40">
        <v>0</v>
      </c>
      <c r="Z40">
        <v>0</v>
      </c>
    </row>
    <row r="41" spans="1:26" x14ac:dyDescent="0.3">
      <c r="A41" t="s">
        <v>81</v>
      </c>
      <c r="B41">
        <v>45754</v>
      </c>
      <c r="C41" t="s">
        <v>27</v>
      </c>
      <c r="D41" t="s">
        <v>28</v>
      </c>
      <c r="E41" t="s">
        <v>29</v>
      </c>
      <c r="F41" t="s">
        <v>35</v>
      </c>
      <c r="G41" t="s">
        <v>31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P41">
        <v>51.5</v>
      </c>
      <c r="R41">
        <v>0</v>
      </c>
      <c r="T41">
        <v>1</v>
      </c>
      <c r="V41">
        <v>0</v>
      </c>
      <c r="X41">
        <v>0</v>
      </c>
      <c r="Z41">
        <v>0</v>
      </c>
    </row>
    <row r="42" spans="1:26" x14ac:dyDescent="0.3">
      <c r="A42" t="s">
        <v>82</v>
      </c>
      <c r="B42">
        <v>45747</v>
      </c>
      <c r="C42" t="s">
        <v>27</v>
      </c>
      <c r="D42" t="s">
        <v>28</v>
      </c>
      <c r="E42" t="s">
        <v>29</v>
      </c>
      <c r="F42" t="s">
        <v>35</v>
      </c>
      <c r="G42" t="s">
        <v>36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P42">
        <v>53.2</v>
      </c>
      <c r="R42">
        <v>0</v>
      </c>
      <c r="T42">
        <v>0</v>
      </c>
      <c r="V42">
        <v>0</v>
      </c>
      <c r="X42">
        <v>0</v>
      </c>
      <c r="Z42">
        <v>0</v>
      </c>
    </row>
    <row r="43" spans="1:26" x14ac:dyDescent="0.3">
      <c r="A43" t="s">
        <v>83</v>
      </c>
      <c r="B43">
        <v>45682</v>
      </c>
      <c r="C43" t="s">
        <v>27</v>
      </c>
      <c r="D43" t="s">
        <v>38</v>
      </c>
      <c r="E43" t="s">
        <v>34</v>
      </c>
      <c r="F43" t="s">
        <v>30</v>
      </c>
      <c r="G43" t="s">
        <v>40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P43">
        <v>55.6</v>
      </c>
      <c r="R43">
        <v>0</v>
      </c>
      <c r="T43">
        <v>0</v>
      </c>
      <c r="V43">
        <v>0</v>
      </c>
      <c r="X43">
        <v>0</v>
      </c>
      <c r="Z43">
        <v>0</v>
      </c>
    </row>
    <row r="44" spans="1:26" x14ac:dyDescent="0.3">
      <c r="A44" t="s">
        <v>84</v>
      </c>
      <c r="B44">
        <v>45702</v>
      </c>
      <c r="C44" t="s">
        <v>27</v>
      </c>
      <c r="D44" t="s">
        <v>42</v>
      </c>
      <c r="E44" t="s">
        <v>29</v>
      </c>
      <c r="F44" t="s">
        <v>35</v>
      </c>
      <c r="G44" t="s">
        <v>36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P44">
        <v>73</v>
      </c>
      <c r="R44">
        <v>0</v>
      </c>
      <c r="T44">
        <v>0</v>
      </c>
      <c r="V44">
        <v>0</v>
      </c>
      <c r="X44">
        <v>0</v>
      </c>
      <c r="Z44">
        <v>0</v>
      </c>
    </row>
    <row r="45" spans="1:26" x14ac:dyDescent="0.3">
      <c r="A45" t="s">
        <v>85</v>
      </c>
      <c r="B45">
        <v>45715</v>
      </c>
      <c r="C45" t="s">
        <v>27</v>
      </c>
      <c r="D45" t="s">
        <v>38</v>
      </c>
      <c r="E45" t="s">
        <v>34</v>
      </c>
      <c r="F45" t="s">
        <v>30</v>
      </c>
      <c r="G45" t="s">
        <v>36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P45">
        <v>65</v>
      </c>
      <c r="R45">
        <v>0</v>
      </c>
      <c r="T45">
        <v>1</v>
      </c>
      <c r="V45">
        <v>0</v>
      </c>
      <c r="X45">
        <v>0</v>
      </c>
      <c r="Z45">
        <v>0</v>
      </c>
    </row>
    <row r="46" spans="1:26" x14ac:dyDescent="0.3">
      <c r="A46" t="s">
        <v>86</v>
      </c>
      <c r="B46">
        <v>45744</v>
      </c>
      <c r="C46" t="s">
        <v>27</v>
      </c>
      <c r="D46" t="s">
        <v>38</v>
      </c>
      <c r="E46" t="s">
        <v>34</v>
      </c>
      <c r="F46" t="s">
        <v>51</v>
      </c>
      <c r="G46" t="s">
        <v>36</v>
      </c>
      <c r="H46">
        <v>1</v>
      </c>
      <c r="I46">
        <v>0</v>
      </c>
      <c r="J46">
        <v>0</v>
      </c>
      <c r="K46">
        <v>0</v>
      </c>
      <c r="L46">
        <v>0</v>
      </c>
      <c r="M46">
        <v>4</v>
      </c>
      <c r="N46">
        <v>0</v>
      </c>
      <c r="P46">
        <v>56.3</v>
      </c>
      <c r="R46">
        <v>0</v>
      </c>
      <c r="T46">
        <v>1</v>
      </c>
      <c r="V46">
        <v>0</v>
      </c>
      <c r="X46">
        <v>0</v>
      </c>
      <c r="Z46">
        <v>4</v>
      </c>
    </row>
    <row r="47" spans="1:26" x14ac:dyDescent="0.3">
      <c r="A47" t="s">
        <v>87</v>
      </c>
      <c r="B47">
        <v>45802</v>
      </c>
      <c r="C47" t="s">
        <v>27</v>
      </c>
      <c r="D47" t="s">
        <v>38</v>
      </c>
      <c r="E47" t="s">
        <v>34</v>
      </c>
      <c r="F47" t="s">
        <v>49</v>
      </c>
      <c r="G47" t="s">
        <v>40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62.4</v>
      </c>
      <c r="R47">
        <v>0</v>
      </c>
      <c r="T47">
        <v>1</v>
      </c>
      <c r="V47">
        <v>0</v>
      </c>
      <c r="X47">
        <v>0</v>
      </c>
      <c r="Z47">
        <v>0</v>
      </c>
    </row>
    <row r="48" spans="1:26" x14ac:dyDescent="0.3">
      <c r="A48" t="s">
        <v>88</v>
      </c>
      <c r="B48">
        <v>45782</v>
      </c>
      <c r="C48" t="s">
        <v>27</v>
      </c>
      <c r="D48" t="s">
        <v>33</v>
      </c>
      <c r="E48" t="s">
        <v>29</v>
      </c>
      <c r="F48" t="s">
        <v>35</v>
      </c>
      <c r="G48" t="s">
        <v>36</v>
      </c>
      <c r="H48">
        <v>1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P48">
        <v>58.1</v>
      </c>
      <c r="R48">
        <v>0</v>
      </c>
      <c r="T48">
        <v>1</v>
      </c>
      <c r="V48">
        <v>1</v>
      </c>
      <c r="X48">
        <v>1</v>
      </c>
      <c r="Z48">
        <v>0</v>
      </c>
    </row>
    <row r="49" spans="1:26" x14ac:dyDescent="0.3">
      <c r="A49" t="s">
        <v>89</v>
      </c>
      <c r="B49">
        <v>45793</v>
      </c>
      <c r="C49" t="s">
        <v>27</v>
      </c>
      <c r="D49" t="s">
        <v>28</v>
      </c>
      <c r="E49" t="s">
        <v>34</v>
      </c>
      <c r="F49" t="s">
        <v>35</v>
      </c>
      <c r="G49" t="s">
        <v>36</v>
      </c>
      <c r="H49">
        <v>1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P49">
        <v>80.8</v>
      </c>
      <c r="R49">
        <v>0</v>
      </c>
      <c r="T49">
        <v>1</v>
      </c>
      <c r="V49">
        <v>1</v>
      </c>
      <c r="X49">
        <v>1</v>
      </c>
      <c r="Z49">
        <v>0</v>
      </c>
    </row>
    <row r="50" spans="1:26" x14ac:dyDescent="0.3">
      <c r="A50" t="s">
        <v>90</v>
      </c>
      <c r="B50">
        <v>45665</v>
      </c>
      <c r="C50" t="s">
        <v>27</v>
      </c>
      <c r="D50" t="s">
        <v>28</v>
      </c>
      <c r="E50" t="s">
        <v>34</v>
      </c>
      <c r="F50" t="s">
        <v>51</v>
      </c>
      <c r="G50" t="s">
        <v>36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P50">
        <v>42.9</v>
      </c>
      <c r="R50">
        <v>0</v>
      </c>
      <c r="T50">
        <v>1</v>
      </c>
      <c r="V50">
        <v>1</v>
      </c>
      <c r="X50">
        <v>0</v>
      </c>
      <c r="Z50">
        <v>0</v>
      </c>
    </row>
    <row r="51" spans="1:26" x14ac:dyDescent="0.3">
      <c r="A51" t="s">
        <v>91</v>
      </c>
      <c r="B51">
        <v>45663</v>
      </c>
      <c r="C51" t="s">
        <v>27</v>
      </c>
      <c r="D51" t="s">
        <v>33</v>
      </c>
      <c r="E51" t="s">
        <v>29</v>
      </c>
      <c r="F51" t="s">
        <v>39</v>
      </c>
      <c r="G51" t="s">
        <v>36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P51">
        <v>52.7</v>
      </c>
      <c r="R51">
        <v>0</v>
      </c>
      <c r="T51">
        <v>1</v>
      </c>
      <c r="V51">
        <v>0</v>
      </c>
      <c r="X51">
        <v>0</v>
      </c>
      <c r="Z51">
        <v>0</v>
      </c>
    </row>
    <row r="52" spans="1:26" x14ac:dyDescent="0.3">
      <c r="A52" t="s">
        <v>92</v>
      </c>
      <c r="B52">
        <v>45669</v>
      </c>
      <c r="C52" t="s">
        <v>27</v>
      </c>
      <c r="D52" t="s">
        <v>28</v>
      </c>
      <c r="E52" t="s">
        <v>34</v>
      </c>
      <c r="F52" t="s">
        <v>51</v>
      </c>
      <c r="G52" t="s">
        <v>31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P52">
        <v>46.9</v>
      </c>
      <c r="R52">
        <v>0</v>
      </c>
      <c r="T52">
        <v>0</v>
      </c>
      <c r="V52">
        <v>0</v>
      </c>
      <c r="X52">
        <v>0</v>
      </c>
      <c r="Z52">
        <v>0</v>
      </c>
    </row>
    <row r="53" spans="1:26" x14ac:dyDescent="0.3">
      <c r="A53" t="s">
        <v>93</v>
      </c>
      <c r="B53">
        <v>45702</v>
      </c>
      <c r="C53" t="s">
        <v>27</v>
      </c>
      <c r="D53" t="s">
        <v>38</v>
      </c>
      <c r="E53" t="s">
        <v>29</v>
      </c>
      <c r="F53" t="s">
        <v>30</v>
      </c>
      <c r="G53" t="s">
        <v>40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63</v>
      </c>
      <c r="R53">
        <v>0</v>
      </c>
      <c r="T53">
        <v>1</v>
      </c>
      <c r="V53">
        <v>0</v>
      </c>
      <c r="X53">
        <v>0</v>
      </c>
      <c r="Z53">
        <v>0</v>
      </c>
    </row>
    <row r="54" spans="1:26" x14ac:dyDescent="0.3">
      <c r="A54" t="s">
        <v>94</v>
      </c>
      <c r="B54">
        <v>45726</v>
      </c>
      <c r="C54" t="s">
        <v>27</v>
      </c>
      <c r="D54" t="s">
        <v>42</v>
      </c>
      <c r="E54" t="s">
        <v>44</v>
      </c>
      <c r="F54" t="s">
        <v>35</v>
      </c>
      <c r="G54" t="s">
        <v>36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53.6</v>
      </c>
      <c r="R54">
        <v>0</v>
      </c>
      <c r="T54">
        <v>0</v>
      </c>
      <c r="V54">
        <v>0</v>
      </c>
      <c r="X54">
        <v>0</v>
      </c>
      <c r="Z54">
        <v>0</v>
      </c>
    </row>
    <row r="55" spans="1:26" x14ac:dyDescent="0.3">
      <c r="A55" t="s">
        <v>95</v>
      </c>
      <c r="B55">
        <v>45767</v>
      </c>
      <c r="C55" t="s">
        <v>27</v>
      </c>
      <c r="D55" t="s">
        <v>33</v>
      </c>
      <c r="E55" t="s">
        <v>29</v>
      </c>
      <c r="F55" t="s">
        <v>35</v>
      </c>
      <c r="G55" t="s">
        <v>31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49.6</v>
      </c>
      <c r="R55">
        <v>0</v>
      </c>
      <c r="T55">
        <v>0</v>
      </c>
      <c r="V55">
        <v>0</v>
      </c>
      <c r="X55">
        <v>0</v>
      </c>
      <c r="Z55">
        <v>0</v>
      </c>
    </row>
    <row r="56" spans="1:26" x14ac:dyDescent="0.3">
      <c r="A56" t="s">
        <v>96</v>
      </c>
      <c r="B56">
        <v>45707</v>
      </c>
      <c r="C56" t="s">
        <v>27</v>
      </c>
      <c r="D56" t="s">
        <v>42</v>
      </c>
      <c r="E56" t="s">
        <v>34</v>
      </c>
      <c r="F56" t="s">
        <v>35</v>
      </c>
      <c r="G56" t="s">
        <v>36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54</v>
      </c>
      <c r="R56">
        <v>0</v>
      </c>
      <c r="T56">
        <v>0</v>
      </c>
      <c r="V56">
        <v>0</v>
      </c>
      <c r="X56">
        <v>0</v>
      </c>
      <c r="Z56">
        <v>0</v>
      </c>
    </row>
    <row r="57" spans="1:26" x14ac:dyDescent="0.3">
      <c r="A57" t="s">
        <v>97</v>
      </c>
      <c r="B57">
        <v>45794</v>
      </c>
      <c r="C57" t="s">
        <v>27</v>
      </c>
      <c r="D57" t="s">
        <v>42</v>
      </c>
      <c r="E57" t="s">
        <v>34</v>
      </c>
      <c r="F57" t="s">
        <v>51</v>
      </c>
      <c r="G57" t="s">
        <v>31</v>
      </c>
      <c r="H57">
        <v>1</v>
      </c>
      <c r="I57">
        <v>0</v>
      </c>
      <c r="J57">
        <v>0</v>
      </c>
      <c r="K57">
        <v>0</v>
      </c>
      <c r="L57">
        <v>0</v>
      </c>
      <c r="M57">
        <v>2</v>
      </c>
      <c r="N57">
        <v>0</v>
      </c>
      <c r="P57">
        <v>50</v>
      </c>
      <c r="R57">
        <v>0</v>
      </c>
      <c r="T57">
        <v>1</v>
      </c>
      <c r="V57">
        <v>0</v>
      </c>
      <c r="X57">
        <v>0</v>
      </c>
      <c r="Z57">
        <v>2</v>
      </c>
    </row>
    <row r="58" spans="1:26" x14ac:dyDescent="0.3">
      <c r="A58" t="s">
        <v>98</v>
      </c>
      <c r="B58">
        <v>45748</v>
      </c>
      <c r="C58" t="s">
        <v>27</v>
      </c>
      <c r="D58" t="s">
        <v>38</v>
      </c>
      <c r="E58" t="s">
        <v>34</v>
      </c>
      <c r="F58" t="s">
        <v>51</v>
      </c>
      <c r="G58" t="s">
        <v>31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48.1</v>
      </c>
      <c r="R58">
        <v>0</v>
      </c>
      <c r="T58">
        <v>0</v>
      </c>
      <c r="V58">
        <v>0</v>
      </c>
      <c r="X58">
        <v>0</v>
      </c>
      <c r="Z58">
        <v>0</v>
      </c>
    </row>
    <row r="59" spans="1:26" x14ac:dyDescent="0.3">
      <c r="A59" t="s">
        <v>99</v>
      </c>
      <c r="B59">
        <v>45692</v>
      </c>
      <c r="C59" t="s">
        <v>27</v>
      </c>
      <c r="D59" t="s">
        <v>28</v>
      </c>
      <c r="E59" t="s">
        <v>29</v>
      </c>
      <c r="F59" t="s">
        <v>35</v>
      </c>
      <c r="G59" t="s">
        <v>36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49.6</v>
      </c>
      <c r="R59">
        <v>0</v>
      </c>
      <c r="T59">
        <v>1</v>
      </c>
      <c r="V59">
        <v>0</v>
      </c>
      <c r="X59">
        <v>0</v>
      </c>
      <c r="Z59">
        <v>0</v>
      </c>
    </row>
    <row r="60" spans="1:26" x14ac:dyDescent="0.3">
      <c r="A60" t="s">
        <v>100</v>
      </c>
      <c r="B60">
        <v>45761</v>
      </c>
      <c r="C60" t="s">
        <v>27</v>
      </c>
      <c r="D60" t="s">
        <v>28</v>
      </c>
      <c r="E60" t="s">
        <v>34</v>
      </c>
      <c r="F60" t="s">
        <v>51</v>
      </c>
      <c r="G60" t="s">
        <v>36</v>
      </c>
      <c r="H60">
        <v>0</v>
      </c>
      <c r="I60">
        <v>0</v>
      </c>
      <c r="J60">
        <v>0</v>
      </c>
      <c r="K60">
        <v>0</v>
      </c>
      <c r="L60">
        <v>0</v>
      </c>
      <c r="M60">
        <v>2</v>
      </c>
      <c r="N60">
        <v>0</v>
      </c>
      <c r="P60">
        <v>48.9</v>
      </c>
      <c r="R60">
        <v>0</v>
      </c>
      <c r="T60">
        <v>0</v>
      </c>
      <c r="V60">
        <v>0</v>
      </c>
      <c r="X60">
        <v>0</v>
      </c>
      <c r="Z60">
        <v>2</v>
      </c>
    </row>
    <row r="61" spans="1:26" x14ac:dyDescent="0.3">
      <c r="A61" t="s">
        <v>101</v>
      </c>
      <c r="B61">
        <v>45658</v>
      </c>
      <c r="C61" t="s">
        <v>27</v>
      </c>
      <c r="D61" t="s">
        <v>33</v>
      </c>
      <c r="E61" t="s">
        <v>34</v>
      </c>
      <c r="F61" t="s">
        <v>51</v>
      </c>
      <c r="G61" t="s">
        <v>36</v>
      </c>
      <c r="H61">
        <v>1</v>
      </c>
      <c r="I61">
        <v>1</v>
      </c>
      <c r="J61">
        <v>1</v>
      </c>
      <c r="K61">
        <v>1</v>
      </c>
      <c r="L61">
        <v>240.42</v>
      </c>
      <c r="M61">
        <v>0</v>
      </c>
      <c r="N61">
        <v>0</v>
      </c>
      <c r="O61">
        <v>16</v>
      </c>
      <c r="P61">
        <v>56.5</v>
      </c>
      <c r="R61">
        <v>1</v>
      </c>
      <c r="T61">
        <v>1</v>
      </c>
      <c r="V61">
        <v>1</v>
      </c>
      <c r="X61">
        <v>1</v>
      </c>
      <c r="Z61">
        <v>0</v>
      </c>
    </row>
    <row r="62" spans="1:26" x14ac:dyDescent="0.3">
      <c r="A62" t="s">
        <v>102</v>
      </c>
      <c r="B62">
        <v>45749</v>
      </c>
      <c r="C62" t="s">
        <v>27</v>
      </c>
      <c r="D62" t="s">
        <v>42</v>
      </c>
      <c r="E62" t="s">
        <v>34</v>
      </c>
      <c r="F62" t="s">
        <v>49</v>
      </c>
      <c r="G62" t="s">
        <v>36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53.7</v>
      </c>
      <c r="R62">
        <v>0</v>
      </c>
      <c r="T62">
        <v>1</v>
      </c>
      <c r="V62">
        <v>0</v>
      </c>
      <c r="X62">
        <v>0</v>
      </c>
      <c r="Z62">
        <v>0</v>
      </c>
    </row>
    <row r="63" spans="1:26" x14ac:dyDescent="0.3">
      <c r="A63" t="s">
        <v>103</v>
      </c>
      <c r="B63">
        <v>45745</v>
      </c>
      <c r="C63" t="s">
        <v>27</v>
      </c>
      <c r="D63" t="s">
        <v>28</v>
      </c>
      <c r="E63" t="s">
        <v>34</v>
      </c>
      <c r="F63" t="s">
        <v>51</v>
      </c>
      <c r="G63" t="s">
        <v>40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P63">
        <v>62.2</v>
      </c>
      <c r="R63">
        <v>0</v>
      </c>
      <c r="T63">
        <v>0</v>
      </c>
      <c r="V63">
        <v>0</v>
      </c>
      <c r="X63">
        <v>0</v>
      </c>
      <c r="Z63">
        <v>0</v>
      </c>
    </row>
    <row r="64" spans="1:26" x14ac:dyDescent="0.3">
      <c r="A64" t="s">
        <v>104</v>
      </c>
      <c r="B64">
        <v>45792</v>
      </c>
      <c r="C64" t="s">
        <v>27</v>
      </c>
      <c r="D64" t="s">
        <v>42</v>
      </c>
      <c r="E64" t="s">
        <v>29</v>
      </c>
      <c r="F64" t="s">
        <v>35</v>
      </c>
      <c r="G64" t="s">
        <v>36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50.2</v>
      </c>
      <c r="R64">
        <v>0</v>
      </c>
      <c r="T64">
        <v>1</v>
      </c>
      <c r="V64">
        <v>0</v>
      </c>
      <c r="X64">
        <v>0</v>
      </c>
      <c r="Z64">
        <v>0</v>
      </c>
    </row>
    <row r="65" spans="1:26" x14ac:dyDescent="0.3">
      <c r="A65" t="s">
        <v>105</v>
      </c>
      <c r="B65">
        <v>45758</v>
      </c>
      <c r="C65" t="s">
        <v>27</v>
      </c>
      <c r="D65" t="s">
        <v>28</v>
      </c>
      <c r="E65" t="s">
        <v>34</v>
      </c>
      <c r="F65" t="s">
        <v>35</v>
      </c>
      <c r="G65" t="s">
        <v>31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74.3</v>
      </c>
      <c r="R65">
        <v>0</v>
      </c>
      <c r="T65">
        <v>1</v>
      </c>
      <c r="V65">
        <v>0</v>
      </c>
      <c r="X65">
        <v>0</v>
      </c>
      <c r="Z65">
        <v>0</v>
      </c>
    </row>
    <row r="66" spans="1:26" x14ac:dyDescent="0.3">
      <c r="A66" t="s">
        <v>106</v>
      </c>
      <c r="B66">
        <v>45723</v>
      </c>
      <c r="C66" t="s">
        <v>27</v>
      </c>
      <c r="D66" t="s">
        <v>42</v>
      </c>
      <c r="E66" t="s">
        <v>29</v>
      </c>
      <c r="F66" t="s">
        <v>39</v>
      </c>
      <c r="G66" t="s">
        <v>36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58</v>
      </c>
      <c r="R66">
        <v>0</v>
      </c>
      <c r="T66">
        <v>1</v>
      </c>
      <c r="V66">
        <v>0</v>
      </c>
      <c r="X66">
        <v>0</v>
      </c>
      <c r="Z66">
        <v>0</v>
      </c>
    </row>
    <row r="67" spans="1:26" x14ac:dyDescent="0.3">
      <c r="A67" t="s">
        <v>107</v>
      </c>
      <c r="B67">
        <v>45807</v>
      </c>
      <c r="C67" t="s">
        <v>27</v>
      </c>
      <c r="D67" t="s">
        <v>42</v>
      </c>
      <c r="E67" t="s">
        <v>34</v>
      </c>
      <c r="F67" t="s">
        <v>35</v>
      </c>
      <c r="G67" t="s">
        <v>36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P67">
        <v>46.7</v>
      </c>
      <c r="R67">
        <v>0</v>
      </c>
      <c r="T67">
        <v>0</v>
      </c>
      <c r="V67">
        <v>0</v>
      </c>
      <c r="X67">
        <v>0</v>
      </c>
      <c r="Z67">
        <v>0</v>
      </c>
    </row>
    <row r="68" spans="1:26" x14ac:dyDescent="0.3">
      <c r="A68" t="s">
        <v>108</v>
      </c>
      <c r="B68">
        <v>45664</v>
      </c>
      <c r="C68" t="s">
        <v>27</v>
      </c>
      <c r="D68" t="s">
        <v>42</v>
      </c>
      <c r="E68" t="s">
        <v>29</v>
      </c>
      <c r="F68" t="s">
        <v>35</v>
      </c>
      <c r="G68" t="s">
        <v>40</v>
      </c>
      <c r="H68">
        <v>1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P68">
        <v>49.6</v>
      </c>
      <c r="R68">
        <v>0</v>
      </c>
      <c r="T68">
        <v>1</v>
      </c>
      <c r="V68">
        <v>0</v>
      </c>
      <c r="X68">
        <v>0</v>
      </c>
      <c r="Z68">
        <v>1</v>
      </c>
    </row>
    <row r="69" spans="1:26" x14ac:dyDescent="0.3">
      <c r="A69" t="s">
        <v>109</v>
      </c>
      <c r="B69">
        <v>45785</v>
      </c>
      <c r="C69" t="s">
        <v>27</v>
      </c>
      <c r="D69" t="s">
        <v>33</v>
      </c>
      <c r="E69" t="s">
        <v>34</v>
      </c>
      <c r="F69" t="s">
        <v>51</v>
      </c>
      <c r="G69" t="s">
        <v>36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P69">
        <v>60.4</v>
      </c>
      <c r="R69">
        <v>0</v>
      </c>
      <c r="T69">
        <v>0</v>
      </c>
      <c r="V69">
        <v>0</v>
      </c>
      <c r="X69">
        <v>0</v>
      </c>
      <c r="Z69">
        <v>0</v>
      </c>
    </row>
    <row r="70" spans="1:26" x14ac:dyDescent="0.3">
      <c r="A70" t="s">
        <v>110</v>
      </c>
      <c r="B70">
        <v>45735</v>
      </c>
      <c r="C70" t="s">
        <v>27</v>
      </c>
      <c r="D70" t="s">
        <v>38</v>
      </c>
      <c r="E70" t="s">
        <v>29</v>
      </c>
      <c r="F70" t="s">
        <v>30</v>
      </c>
      <c r="G70" t="s">
        <v>36</v>
      </c>
      <c r="H70">
        <v>1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P70">
        <v>55.3</v>
      </c>
      <c r="R70">
        <v>0</v>
      </c>
      <c r="T70">
        <v>1</v>
      </c>
      <c r="V70">
        <v>1</v>
      </c>
      <c r="X70">
        <v>1</v>
      </c>
      <c r="Z70">
        <v>0</v>
      </c>
    </row>
    <row r="71" spans="1:26" x14ac:dyDescent="0.3">
      <c r="A71" t="s">
        <v>111</v>
      </c>
      <c r="B71">
        <v>45793</v>
      </c>
      <c r="C71" t="s">
        <v>27</v>
      </c>
      <c r="D71" t="s">
        <v>28</v>
      </c>
      <c r="E71" t="s">
        <v>29</v>
      </c>
      <c r="F71" t="s">
        <v>35</v>
      </c>
      <c r="G71" t="s">
        <v>36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56.2</v>
      </c>
      <c r="R71">
        <v>0</v>
      </c>
      <c r="T71">
        <v>0</v>
      </c>
      <c r="V71">
        <v>0</v>
      </c>
      <c r="X71">
        <v>0</v>
      </c>
      <c r="Z71">
        <v>0</v>
      </c>
    </row>
    <row r="72" spans="1:26" x14ac:dyDescent="0.3">
      <c r="A72" t="s">
        <v>112</v>
      </c>
      <c r="B72">
        <v>45724</v>
      </c>
      <c r="C72" t="s">
        <v>27</v>
      </c>
      <c r="D72" t="s">
        <v>33</v>
      </c>
      <c r="E72" t="s">
        <v>34</v>
      </c>
      <c r="F72" t="s">
        <v>30</v>
      </c>
      <c r="G72" t="s">
        <v>36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29.4</v>
      </c>
      <c r="R72">
        <v>0</v>
      </c>
      <c r="T72">
        <v>0</v>
      </c>
      <c r="V72">
        <v>0</v>
      </c>
      <c r="X72">
        <v>0</v>
      </c>
      <c r="Z72">
        <v>0</v>
      </c>
    </row>
    <row r="73" spans="1:26" x14ac:dyDescent="0.3">
      <c r="A73" t="s">
        <v>113</v>
      </c>
      <c r="B73">
        <v>45724</v>
      </c>
      <c r="C73" t="s">
        <v>27</v>
      </c>
      <c r="D73" t="s">
        <v>38</v>
      </c>
      <c r="E73" t="s">
        <v>34</v>
      </c>
      <c r="F73" t="s">
        <v>30</v>
      </c>
      <c r="G73" t="s">
        <v>36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54.2</v>
      </c>
      <c r="R73">
        <v>0</v>
      </c>
      <c r="T73">
        <v>1</v>
      </c>
      <c r="V73">
        <v>0</v>
      </c>
      <c r="X73">
        <v>0</v>
      </c>
      <c r="Z73">
        <v>0</v>
      </c>
    </row>
    <row r="74" spans="1:26" x14ac:dyDescent="0.3">
      <c r="A74" t="s">
        <v>114</v>
      </c>
      <c r="B74">
        <v>45671</v>
      </c>
      <c r="C74" t="s">
        <v>27</v>
      </c>
      <c r="D74" t="s">
        <v>38</v>
      </c>
      <c r="E74" t="s">
        <v>29</v>
      </c>
      <c r="F74" t="s">
        <v>39</v>
      </c>
      <c r="G74" t="s">
        <v>31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46.4</v>
      </c>
      <c r="R74">
        <v>0</v>
      </c>
      <c r="T74">
        <v>0</v>
      </c>
      <c r="V74">
        <v>0</v>
      </c>
      <c r="X74">
        <v>0</v>
      </c>
      <c r="Z74">
        <v>0</v>
      </c>
    </row>
    <row r="75" spans="1:26" x14ac:dyDescent="0.3">
      <c r="A75" t="s">
        <v>115</v>
      </c>
      <c r="B75">
        <v>45698</v>
      </c>
      <c r="C75" t="s">
        <v>27</v>
      </c>
      <c r="D75" t="s">
        <v>42</v>
      </c>
      <c r="E75" t="s">
        <v>34</v>
      </c>
      <c r="F75" t="s">
        <v>39</v>
      </c>
      <c r="G75" t="s">
        <v>31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54.5</v>
      </c>
      <c r="R75">
        <v>0</v>
      </c>
      <c r="T75">
        <v>0</v>
      </c>
      <c r="V75">
        <v>0</v>
      </c>
      <c r="X75">
        <v>0</v>
      </c>
      <c r="Z75">
        <v>0</v>
      </c>
    </row>
    <row r="76" spans="1:26" x14ac:dyDescent="0.3">
      <c r="A76" t="s">
        <v>116</v>
      </c>
      <c r="B76">
        <v>45733</v>
      </c>
      <c r="C76" t="s">
        <v>27</v>
      </c>
      <c r="D76" t="s">
        <v>28</v>
      </c>
      <c r="E76" t="s">
        <v>34</v>
      </c>
      <c r="F76" t="s">
        <v>35</v>
      </c>
      <c r="G76" t="s">
        <v>36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58.5</v>
      </c>
      <c r="R76">
        <v>0</v>
      </c>
      <c r="T76">
        <v>0</v>
      </c>
      <c r="V76">
        <v>0</v>
      </c>
      <c r="X76">
        <v>0</v>
      </c>
      <c r="Z76">
        <v>0</v>
      </c>
    </row>
    <row r="77" spans="1:26" x14ac:dyDescent="0.3">
      <c r="A77" t="s">
        <v>117</v>
      </c>
      <c r="B77">
        <v>45666</v>
      </c>
      <c r="C77" t="s">
        <v>27</v>
      </c>
      <c r="D77" t="s">
        <v>42</v>
      </c>
      <c r="E77" t="s">
        <v>34</v>
      </c>
      <c r="F77" t="s">
        <v>30</v>
      </c>
      <c r="G77" t="s">
        <v>36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75.900000000000006</v>
      </c>
      <c r="R77">
        <v>0</v>
      </c>
      <c r="T77">
        <v>0</v>
      </c>
      <c r="V77">
        <v>0</v>
      </c>
      <c r="X77">
        <v>0</v>
      </c>
      <c r="Z77">
        <v>0</v>
      </c>
    </row>
    <row r="78" spans="1:26" x14ac:dyDescent="0.3">
      <c r="A78" t="s">
        <v>118</v>
      </c>
      <c r="B78">
        <v>45764</v>
      </c>
      <c r="C78" t="s">
        <v>27</v>
      </c>
      <c r="D78" t="s">
        <v>28</v>
      </c>
      <c r="E78" t="s">
        <v>34</v>
      </c>
      <c r="F78" t="s">
        <v>49</v>
      </c>
      <c r="G78" t="s">
        <v>36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P78">
        <v>84.9</v>
      </c>
      <c r="R78">
        <v>0</v>
      </c>
      <c r="T78">
        <v>0</v>
      </c>
      <c r="V78">
        <v>0</v>
      </c>
      <c r="X78">
        <v>0</v>
      </c>
      <c r="Z78">
        <v>1</v>
      </c>
    </row>
    <row r="79" spans="1:26" x14ac:dyDescent="0.3">
      <c r="A79" t="s">
        <v>119</v>
      </c>
      <c r="B79">
        <v>45673</v>
      </c>
      <c r="C79" t="s">
        <v>27</v>
      </c>
      <c r="D79" t="s">
        <v>28</v>
      </c>
      <c r="E79" t="s">
        <v>34</v>
      </c>
      <c r="F79" t="s">
        <v>35</v>
      </c>
      <c r="G79" t="s">
        <v>36</v>
      </c>
      <c r="H79">
        <v>0</v>
      </c>
      <c r="I79">
        <v>0</v>
      </c>
      <c r="J79">
        <v>0</v>
      </c>
      <c r="K79">
        <v>0</v>
      </c>
      <c r="L79">
        <v>0</v>
      </c>
      <c r="M79">
        <v>2</v>
      </c>
      <c r="N79">
        <v>0</v>
      </c>
      <c r="P79">
        <v>48.4</v>
      </c>
      <c r="R79">
        <v>0</v>
      </c>
      <c r="T79">
        <v>0</v>
      </c>
      <c r="V79">
        <v>0</v>
      </c>
      <c r="X79">
        <v>0</v>
      </c>
      <c r="Z79">
        <v>2</v>
      </c>
    </row>
    <row r="80" spans="1:26" x14ac:dyDescent="0.3">
      <c r="A80" t="s">
        <v>120</v>
      </c>
      <c r="B80">
        <v>45708</v>
      </c>
      <c r="C80" t="s">
        <v>27</v>
      </c>
      <c r="D80" t="s">
        <v>33</v>
      </c>
      <c r="E80" t="s">
        <v>29</v>
      </c>
      <c r="F80" t="s">
        <v>35</v>
      </c>
      <c r="G80" t="s">
        <v>36</v>
      </c>
      <c r="H80">
        <v>1</v>
      </c>
      <c r="I80">
        <v>1</v>
      </c>
      <c r="J80">
        <v>1</v>
      </c>
      <c r="K80">
        <v>1</v>
      </c>
      <c r="L80">
        <v>457.51</v>
      </c>
      <c r="M80">
        <v>0</v>
      </c>
      <c r="N80">
        <v>0</v>
      </c>
      <c r="O80">
        <v>7</v>
      </c>
      <c r="P80">
        <v>38</v>
      </c>
      <c r="R80">
        <v>1</v>
      </c>
      <c r="T80">
        <v>1</v>
      </c>
      <c r="V80">
        <v>1</v>
      </c>
      <c r="X80">
        <v>1</v>
      </c>
      <c r="Z80">
        <v>0</v>
      </c>
    </row>
    <row r="81" spans="1:26" x14ac:dyDescent="0.3">
      <c r="A81" t="s">
        <v>121</v>
      </c>
      <c r="B81">
        <v>45798</v>
      </c>
      <c r="C81" t="s">
        <v>27</v>
      </c>
      <c r="D81" t="s">
        <v>38</v>
      </c>
      <c r="E81" t="s">
        <v>34</v>
      </c>
      <c r="F81" t="s">
        <v>51</v>
      </c>
      <c r="G81" t="s">
        <v>36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44.2</v>
      </c>
      <c r="R81">
        <v>0</v>
      </c>
      <c r="T81">
        <v>1</v>
      </c>
      <c r="V81">
        <v>0</v>
      </c>
      <c r="X81">
        <v>0</v>
      </c>
      <c r="Z81">
        <v>0</v>
      </c>
    </row>
    <row r="82" spans="1:26" x14ac:dyDescent="0.3">
      <c r="A82" t="s">
        <v>122</v>
      </c>
      <c r="B82">
        <v>45785</v>
      </c>
      <c r="C82" t="s">
        <v>27</v>
      </c>
      <c r="D82" t="s">
        <v>42</v>
      </c>
      <c r="E82" t="s">
        <v>34</v>
      </c>
      <c r="F82" t="s">
        <v>35</v>
      </c>
      <c r="G82" t="s">
        <v>36</v>
      </c>
      <c r="H82">
        <v>1</v>
      </c>
      <c r="I82">
        <v>1</v>
      </c>
      <c r="J82">
        <v>1</v>
      </c>
      <c r="K82">
        <v>0</v>
      </c>
      <c r="L82">
        <v>0</v>
      </c>
      <c r="M82">
        <v>0</v>
      </c>
      <c r="N82">
        <v>0</v>
      </c>
      <c r="P82">
        <v>81.2</v>
      </c>
      <c r="R82">
        <v>0</v>
      </c>
      <c r="T82">
        <v>1</v>
      </c>
      <c r="V82">
        <v>1</v>
      </c>
      <c r="X82">
        <v>1</v>
      </c>
      <c r="Z82">
        <v>0</v>
      </c>
    </row>
    <row r="83" spans="1:26" x14ac:dyDescent="0.3">
      <c r="A83" t="s">
        <v>123</v>
      </c>
      <c r="B83">
        <v>45724</v>
      </c>
      <c r="C83" t="s">
        <v>27</v>
      </c>
      <c r="D83" t="s">
        <v>42</v>
      </c>
      <c r="E83" t="s">
        <v>34</v>
      </c>
      <c r="F83" t="s">
        <v>49</v>
      </c>
      <c r="G83" t="s">
        <v>36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P83">
        <v>63.8</v>
      </c>
      <c r="R83">
        <v>0</v>
      </c>
      <c r="T83">
        <v>1</v>
      </c>
      <c r="V83">
        <v>1</v>
      </c>
      <c r="X83">
        <v>0</v>
      </c>
      <c r="Z83">
        <v>0</v>
      </c>
    </row>
    <row r="84" spans="1:26" x14ac:dyDescent="0.3">
      <c r="A84" t="s">
        <v>124</v>
      </c>
      <c r="B84">
        <v>45748</v>
      </c>
      <c r="C84" t="s">
        <v>27</v>
      </c>
      <c r="D84" t="s">
        <v>42</v>
      </c>
      <c r="E84" t="s">
        <v>29</v>
      </c>
      <c r="F84" t="s">
        <v>30</v>
      </c>
      <c r="G84" t="s">
        <v>36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64.7</v>
      </c>
      <c r="R84">
        <v>0</v>
      </c>
      <c r="T84">
        <v>0</v>
      </c>
      <c r="V84">
        <v>0</v>
      </c>
      <c r="X84">
        <v>0</v>
      </c>
      <c r="Z84">
        <v>0</v>
      </c>
    </row>
    <row r="85" spans="1:26" x14ac:dyDescent="0.3">
      <c r="A85" t="s">
        <v>125</v>
      </c>
      <c r="B85">
        <v>45719</v>
      </c>
      <c r="C85" t="s">
        <v>27</v>
      </c>
      <c r="D85" t="s">
        <v>33</v>
      </c>
      <c r="E85" t="s">
        <v>34</v>
      </c>
      <c r="F85" t="s">
        <v>51</v>
      </c>
      <c r="G85" t="s">
        <v>31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P85">
        <v>60.4</v>
      </c>
      <c r="R85">
        <v>0</v>
      </c>
      <c r="T85">
        <v>0</v>
      </c>
      <c r="V85">
        <v>0</v>
      </c>
      <c r="X85">
        <v>0</v>
      </c>
      <c r="Z85">
        <v>0</v>
      </c>
    </row>
    <row r="86" spans="1:26" x14ac:dyDescent="0.3">
      <c r="A86" t="s">
        <v>126</v>
      </c>
      <c r="B86">
        <v>45763</v>
      </c>
      <c r="C86" t="s">
        <v>27</v>
      </c>
      <c r="D86" t="s">
        <v>42</v>
      </c>
      <c r="E86" t="s">
        <v>34</v>
      </c>
      <c r="F86" t="s">
        <v>39</v>
      </c>
      <c r="G86" t="s">
        <v>36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P86">
        <v>66.599999999999994</v>
      </c>
      <c r="R86">
        <v>0</v>
      </c>
      <c r="T86">
        <v>0</v>
      </c>
      <c r="V86">
        <v>0</v>
      </c>
      <c r="X86">
        <v>0</v>
      </c>
      <c r="Z86">
        <v>0</v>
      </c>
    </row>
    <row r="87" spans="1:26" x14ac:dyDescent="0.3">
      <c r="A87" t="s">
        <v>127</v>
      </c>
      <c r="B87">
        <v>45666</v>
      </c>
      <c r="C87" t="s">
        <v>27</v>
      </c>
      <c r="D87" t="s">
        <v>28</v>
      </c>
      <c r="E87" t="s">
        <v>29</v>
      </c>
      <c r="F87" t="s">
        <v>35</v>
      </c>
      <c r="G87" t="s">
        <v>36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P87">
        <v>50.9</v>
      </c>
      <c r="R87">
        <v>0</v>
      </c>
      <c r="T87">
        <v>1</v>
      </c>
      <c r="V87">
        <v>0</v>
      </c>
      <c r="X87">
        <v>0</v>
      </c>
      <c r="Z87">
        <v>0</v>
      </c>
    </row>
    <row r="88" spans="1:26" x14ac:dyDescent="0.3">
      <c r="A88" t="s">
        <v>128</v>
      </c>
      <c r="B88">
        <v>45679</v>
      </c>
      <c r="C88" t="s">
        <v>27</v>
      </c>
      <c r="D88" t="s">
        <v>33</v>
      </c>
      <c r="E88" t="s">
        <v>29</v>
      </c>
      <c r="F88" t="s">
        <v>51</v>
      </c>
      <c r="G88" t="s">
        <v>31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P88">
        <v>51</v>
      </c>
      <c r="R88">
        <v>0</v>
      </c>
      <c r="T88">
        <v>0</v>
      </c>
      <c r="V88">
        <v>0</v>
      </c>
      <c r="X88">
        <v>0</v>
      </c>
      <c r="Z88">
        <v>0</v>
      </c>
    </row>
    <row r="89" spans="1:26" x14ac:dyDescent="0.3">
      <c r="A89" t="s">
        <v>129</v>
      </c>
      <c r="B89">
        <v>45777</v>
      </c>
      <c r="C89" t="s">
        <v>27</v>
      </c>
      <c r="D89" t="s">
        <v>42</v>
      </c>
      <c r="E89" t="s">
        <v>34</v>
      </c>
      <c r="F89" t="s">
        <v>30</v>
      </c>
      <c r="G89" t="s">
        <v>40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65.8</v>
      </c>
      <c r="R89">
        <v>0</v>
      </c>
      <c r="T89">
        <v>0</v>
      </c>
      <c r="V89">
        <v>0</v>
      </c>
      <c r="X89">
        <v>0</v>
      </c>
      <c r="Z89">
        <v>0</v>
      </c>
    </row>
    <row r="90" spans="1:26" x14ac:dyDescent="0.3">
      <c r="A90" t="s">
        <v>130</v>
      </c>
      <c r="B90">
        <v>45772</v>
      </c>
      <c r="C90" t="s">
        <v>27</v>
      </c>
      <c r="D90" t="s">
        <v>28</v>
      </c>
      <c r="E90" t="s">
        <v>34</v>
      </c>
      <c r="F90" t="s">
        <v>49</v>
      </c>
      <c r="G90" t="s">
        <v>31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61.8</v>
      </c>
      <c r="R90">
        <v>0</v>
      </c>
      <c r="T90">
        <v>1</v>
      </c>
      <c r="V90">
        <v>0</v>
      </c>
      <c r="X90">
        <v>0</v>
      </c>
      <c r="Z90">
        <v>0</v>
      </c>
    </row>
    <row r="91" spans="1:26" x14ac:dyDescent="0.3">
      <c r="A91" t="s">
        <v>131</v>
      </c>
      <c r="B91">
        <v>45689</v>
      </c>
      <c r="C91" t="s">
        <v>27</v>
      </c>
      <c r="D91" t="s">
        <v>28</v>
      </c>
      <c r="E91" t="s">
        <v>34</v>
      </c>
      <c r="F91" t="s">
        <v>35</v>
      </c>
      <c r="G91" t="s">
        <v>31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54.5</v>
      </c>
      <c r="R91">
        <v>0</v>
      </c>
      <c r="T91">
        <v>1</v>
      </c>
      <c r="V91">
        <v>0</v>
      </c>
      <c r="X91">
        <v>0</v>
      </c>
      <c r="Z91">
        <v>0</v>
      </c>
    </row>
    <row r="92" spans="1:26" x14ac:dyDescent="0.3">
      <c r="A92" t="s">
        <v>132</v>
      </c>
      <c r="B92">
        <v>45770</v>
      </c>
      <c r="C92" t="s">
        <v>27</v>
      </c>
      <c r="D92" t="s">
        <v>42</v>
      </c>
      <c r="E92" t="s">
        <v>29</v>
      </c>
      <c r="F92" t="s">
        <v>35</v>
      </c>
      <c r="G92" t="s">
        <v>36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72.2</v>
      </c>
      <c r="R92">
        <v>0</v>
      </c>
      <c r="T92">
        <v>1</v>
      </c>
      <c r="V92">
        <v>0</v>
      </c>
      <c r="X92">
        <v>0</v>
      </c>
      <c r="Z92">
        <v>0</v>
      </c>
    </row>
    <row r="93" spans="1:26" x14ac:dyDescent="0.3">
      <c r="A93" t="s">
        <v>133</v>
      </c>
      <c r="B93">
        <v>45715</v>
      </c>
      <c r="C93" t="s">
        <v>27</v>
      </c>
      <c r="D93" t="s">
        <v>42</v>
      </c>
      <c r="E93" t="s">
        <v>34</v>
      </c>
      <c r="F93" t="s">
        <v>51</v>
      </c>
      <c r="G93" t="s">
        <v>36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42.3</v>
      </c>
      <c r="R93">
        <v>0</v>
      </c>
      <c r="T93">
        <v>1</v>
      </c>
      <c r="V93">
        <v>0</v>
      </c>
      <c r="X93">
        <v>0</v>
      </c>
      <c r="Z93">
        <v>0</v>
      </c>
    </row>
    <row r="94" spans="1:26" x14ac:dyDescent="0.3">
      <c r="A94" t="s">
        <v>134</v>
      </c>
      <c r="B94">
        <v>45756</v>
      </c>
      <c r="C94" t="s">
        <v>27</v>
      </c>
      <c r="D94" t="s">
        <v>38</v>
      </c>
      <c r="E94" t="s">
        <v>29</v>
      </c>
      <c r="F94" t="s">
        <v>35</v>
      </c>
      <c r="G94" t="s">
        <v>31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76.2</v>
      </c>
      <c r="R94">
        <v>0</v>
      </c>
      <c r="T94">
        <v>1</v>
      </c>
      <c r="V94">
        <v>0</v>
      </c>
      <c r="X94">
        <v>0</v>
      </c>
      <c r="Z94">
        <v>0</v>
      </c>
    </row>
    <row r="95" spans="1:26" x14ac:dyDescent="0.3">
      <c r="A95" t="s">
        <v>135</v>
      </c>
      <c r="B95">
        <v>45790</v>
      </c>
      <c r="C95" t="s">
        <v>27</v>
      </c>
      <c r="D95" t="s">
        <v>42</v>
      </c>
      <c r="E95" t="s">
        <v>44</v>
      </c>
      <c r="F95" t="s">
        <v>35</v>
      </c>
      <c r="G95" t="s">
        <v>40</v>
      </c>
      <c r="H95">
        <v>1</v>
      </c>
      <c r="I95">
        <v>1</v>
      </c>
      <c r="J95">
        <v>1</v>
      </c>
      <c r="K95">
        <v>0</v>
      </c>
      <c r="L95">
        <v>0</v>
      </c>
      <c r="M95">
        <v>1</v>
      </c>
      <c r="N95">
        <v>0</v>
      </c>
      <c r="P95">
        <v>37.4</v>
      </c>
      <c r="R95">
        <v>0</v>
      </c>
      <c r="T95">
        <v>1</v>
      </c>
      <c r="V95">
        <v>1</v>
      </c>
      <c r="X95">
        <v>1</v>
      </c>
      <c r="Z95">
        <v>1</v>
      </c>
    </row>
    <row r="96" spans="1:26" x14ac:dyDescent="0.3">
      <c r="A96" t="s">
        <v>136</v>
      </c>
      <c r="B96">
        <v>45760</v>
      </c>
      <c r="C96" t="s">
        <v>27</v>
      </c>
      <c r="D96" t="s">
        <v>38</v>
      </c>
      <c r="E96" t="s">
        <v>34</v>
      </c>
      <c r="F96" t="s">
        <v>35</v>
      </c>
      <c r="G96" t="s">
        <v>36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84.2</v>
      </c>
      <c r="R96">
        <v>0</v>
      </c>
      <c r="T96">
        <v>0</v>
      </c>
      <c r="V96">
        <v>0</v>
      </c>
      <c r="X96">
        <v>0</v>
      </c>
      <c r="Z96">
        <v>0</v>
      </c>
    </row>
    <row r="97" spans="1:26" x14ac:dyDescent="0.3">
      <c r="A97" t="s">
        <v>137</v>
      </c>
      <c r="B97">
        <v>45693</v>
      </c>
      <c r="C97" t="s">
        <v>27</v>
      </c>
      <c r="D97" t="s">
        <v>38</v>
      </c>
      <c r="E97" t="s">
        <v>34</v>
      </c>
      <c r="F97" t="s">
        <v>51</v>
      </c>
      <c r="G97" t="s">
        <v>36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68</v>
      </c>
      <c r="R97">
        <v>0</v>
      </c>
      <c r="T97">
        <v>0</v>
      </c>
      <c r="V97">
        <v>0</v>
      </c>
      <c r="X97">
        <v>0</v>
      </c>
      <c r="Z97">
        <v>0</v>
      </c>
    </row>
    <row r="98" spans="1:26" x14ac:dyDescent="0.3">
      <c r="A98" t="s">
        <v>138</v>
      </c>
      <c r="B98">
        <v>45702</v>
      </c>
      <c r="C98" t="s">
        <v>27</v>
      </c>
      <c r="D98" t="s">
        <v>33</v>
      </c>
      <c r="E98" t="s">
        <v>34</v>
      </c>
      <c r="F98" t="s">
        <v>35</v>
      </c>
      <c r="G98" t="s">
        <v>31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53.5</v>
      </c>
      <c r="R98">
        <v>0</v>
      </c>
      <c r="T98">
        <v>1</v>
      </c>
      <c r="V98">
        <v>0</v>
      </c>
      <c r="X98">
        <v>0</v>
      </c>
      <c r="Z98">
        <v>0</v>
      </c>
    </row>
    <row r="99" spans="1:26" x14ac:dyDescent="0.3">
      <c r="A99" t="s">
        <v>139</v>
      </c>
      <c r="B99">
        <v>45699</v>
      </c>
      <c r="C99" t="s">
        <v>27</v>
      </c>
      <c r="D99" t="s">
        <v>28</v>
      </c>
      <c r="E99" t="s">
        <v>29</v>
      </c>
      <c r="F99" t="s">
        <v>35</v>
      </c>
      <c r="G99" t="s">
        <v>40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P99">
        <v>63.2</v>
      </c>
      <c r="R99">
        <v>0</v>
      </c>
      <c r="T99">
        <v>1</v>
      </c>
      <c r="V99">
        <v>0</v>
      </c>
      <c r="X99">
        <v>0</v>
      </c>
      <c r="Z99">
        <v>0</v>
      </c>
    </row>
    <row r="100" spans="1:26" x14ac:dyDescent="0.3">
      <c r="A100" t="s">
        <v>140</v>
      </c>
      <c r="B100">
        <v>45699</v>
      </c>
      <c r="C100" t="s">
        <v>27</v>
      </c>
      <c r="D100" t="s">
        <v>38</v>
      </c>
      <c r="E100" t="s">
        <v>29</v>
      </c>
      <c r="F100" t="s">
        <v>51</v>
      </c>
      <c r="G100" t="s">
        <v>36</v>
      </c>
      <c r="H100">
        <v>1</v>
      </c>
      <c r="I100">
        <v>1</v>
      </c>
      <c r="J100">
        <v>1</v>
      </c>
      <c r="K100">
        <v>1</v>
      </c>
      <c r="L100">
        <v>363.32</v>
      </c>
      <c r="M100">
        <v>0</v>
      </c>
      <c r="N100">
        <v>0</v>
      </c>
      <c r="O100">
        <v>9</v>
      </c>
      <c r="P100">
        <v>55.9</v>
      </c>
      <c r="R100">
        <v>1</v>
      </c>
      <c r="T100">
        <v>1</v>
      </c>
      <c r="V100">
        <v>1</v>
      </c>
      <c r="X100">
        <v>1</v>
      </c>
      <c r="Z100">
        <v>0</v>
      </c>
    </row>
    <row r="101" spans="1:26" x14ac:dyDescent="0.3">
      <c r="A101" t="s">
        <v>141</v>
      </c>
      <c r="B101">
        <v>45803</v>
      </c>
      <c r="C101" t="s">
        <v>27</v>
      </c>
      <c r="D101" t="s">
        <v>28</v>
      </c>
      <c r="E101" t="s">
        <v>34</v>
      </c>
      <c r="F101" t="s">
        <v>35</v>
      </c>
      <c r="G101" t="s">
        <v>36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63.5</v>
      </c>
      <c r="R101">
        <v>0</v>
      </c>
      <c r="T101">
        <v>1</v>
      </c>
      <c r="V101">
        <v>0</v>
      </c>
      <c r="X101">
        <v>0</v>
      </c>
      <c r="Z101">
        <v>0</v>
      </c>
    </row>
    <row r="102" spans="1:26" x14ac:dyDescent="0.3">
      <c r="A102" t="s">
        <v>142</v>
      </c>
      <c r="B102">
        <v>45738</v>
      </c>
      <c r="C102" t="s">
        <v>27</v>
      </c>
      <c r="D102" t="s">
        <v>28</v>
      </c>
      <c r="E102" t="s">
        <v>34</v>
      </c>
      <c r="F102" t="s">
        <v>39</v>
      </c>
      <c r="G102" t="s">
        <v>31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51.5</v>
      </c>
      <c r="R102">
        <v>0</v>
      </c>
      <c r="T102">
        <v>1</v>
      </c>
      <c r="V102">
        <v>0</v>
      </c>
      <c r="X102">
        <v>0</v>
      </c>
      <c r="Z102">
        <v>0</v>
      </c>
    </row>
    <row r="103" spans="1:26" x14ac:dyDescent="0.3">
      <c r="A103" t="s">
        <v>143</v>
      </c>
      <c r="B103">
        <v>45755</v>
      </c>
      <c r="C103" t="s">
        <v>27</v>
      </c>
      <c r="D103" t="s">
        <v>33</v>
      </c>
      <c r="E103" t="s">
        <v>34</v>
      </c>
      <c r="F103" t="s">
        <v>39</v>
      </c>
      <c r="G103" t="s">
        <v>36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74.400000000000006</v>
      </c>
      <c r="R103">
        <v>0</v>
      </c>
      <c r="T103">
        <v>1</v>
      </c>
      <c r="V103">
        <v>0</v>
      </c>
      <c r="X103">
        <v>0</v>
      </c>
      <c r="Z103">
        <v>0</v>
      </c>
    </row>
    <row r="104" spans="1:26" x14ac:dyDescent="0.3">
      <c r="A104" t="s">
        <v>144</v>
      </c>
      <c r="B104">
        <v>45761</v>
      </c>
      <c r="C104" t="s">
        <v>27</v>
      </c>
      <c r="D104" t="s">
        <v>28</v>
      </c>
      <c r="E104" t="s">
        <v>29</v>
      </c>
      <c r="F104" t="s">
        <v>51</v>
      </c>
      <c r="G104" t="s">
        <v>36</v>
      </c>
      <c r="H104">
        <v>1</v>
      </c>
      <c r="I104">
        <v>1</v>
      </c>
      <c r="J104">
        <v>1</v>
      </c>
      <c r="K104">
        <v>1</v>
      </c>
      <c r="L104">
        <v>3887.98</v>
      </c>
      <c r="M104">
        <v>0</v>
      </c>
      <c r="N104">
        <v>0</v>
      </c>
      <c r="O104">
        <v>13</v>
      </c>
      <c r="P104">
        <v>60.2</v>
      </c>
      <c r="R104">
        <v>1</v>
      </c>
      <c r="T104">
        <v>1</v>
      </c>
      <c r="V104">
        <v>1</v>
      </c>
      <c r="X104">
        <v>1</v>
      </c>
      <c r="Z104">
        <v>0</v>
      </c>
    </row>
    <row r="105" spans="1:26" x14ac:dyDescent="0.3">
      <c r="A105" t="s">
        <v>145</v>
      </c>
      <c r="B105">
        <v>45743</v>
      </c>
      <c r="C105" t="s">
        <v>27</v>
      </c>
      <c r="D105" t="s">
        <v>42</v>
      </c>
      <c r="E105" t="s">
        <v>34</v>
      </c>
      <c r="F105" t="s">
        <v>30</v>
      </c>
      <c r="G105" t="s">
        <v>36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P105">
        <v>67.2</v>
      </c>
      <c r="R105">
        <v>0</v>
      </c>
      <c r="T105">
        <v>1</v>
      </c>
      <c r="V105">
        <v>0</v>
      </c>
      <c r="X105">
        <v>0</v>
      </c>
      <c r="Z105">
        <v>1</v>
      </c>
    </row>
    <row r="106" spans="1:26" x14ac:dyDescent="0.3">
      <c r="A106" t="s">
        <v>146</v>
      </c>
      <c r="B106">
        <v>45662</v>
      </c>
      <c r="C106" t="s">
        <v>27</v>
      </c>
      <c r="D106" t="s">
        <v>42</v>
      </c>
      <c r="E106" t="s">
        <v>34</v>
      </c>
      <c r="F106" t="s">
        <v>51</v>
      </c>
      <c r="G106" t="s">
        <v>36</v>
      </c>
      <c r="H106">
        <v>1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P106">
        <v>79.599999999999994</v>
      </c>
      <c r="R106">
        <v>0</v>
      </c>
      <c r="T106">
        <v>1</v>
      </c>
      <c r="V106">
        <v>1</v>
      </c>
      <c r="X106">
        <v>1</v>
      </c>
      <c r="Z106">
        <v>0</v>
      </c>
    </row>
    <row r="107" spans="1:26" x14ac:dyDescent="0.3">
      <c r="A107" t="s">
        <v>147</v>
      </c>
      <c r="B107">
        <v>45682</v>
      </c>
      <c r="C107" t="s">
        <v>27</v>
      </c>
      <c r="D107" t="s">
        <v>42</v>
      </c>
      <c r="E107" t="s">
        <v>34</v>
      </c>
      <c r="F107" t="s">
        <v>51</v>
      </c>
      <c r="G107" t="s">
        <v>31</v>
      </c>
      <c r="H107">
        <v>1</v>
      </c>
      <c r="I107">
        <v>1</v>
      </c>
      <c r="J107">
        <v>1</v>
      </c>
      <c r="K107">
        <v>1</v>
      </c>
      <c r="L107">
        <v>8610.7199999999993</v>
      </c>
      <c r="M107">
        <v>0</v>
      </c>
      <c r="N107">
        <v>0</v>
      </c>
      <c r="O107">
        <v>6</v>
      </c>
      <c r="P107">
        <v>61</v>
      </c>
      <c r="R107">
        <v>1</v>
      </c>
      <c r="T107">
        <v>1</v>
      </c>
      <c r="V107">
        <v>1</v>
      </c>
      <c r="X107">
        <v>1</v>
      </c>
      <c r="Z107">
        <v>0</v>
      </c>
    </row>
    <row r="108" spans="1:26" x14ac:dyDescent="0.3">
      <c r="A108" t="s">
        <v>148</v>
      </c>
      <c r="B108">
        <v>45680</v>
      </c>
      <c r="C108" t="s">
        <v>27</v>
      </c>
      <c r="D108" t="s">
        <v>33</v>
      </c>
      <c r="E108" t="s">
        <v>34</v>
      </c>
      <c r="F108" t="s">
        <v>30</v>
      </c>
      <c r="G108" t="s">
        <v>36</v>
      </c>
      <c r="H108">
        <v>1</v>
      </c>
      <c r="I108">
        <v>1</v>
      </c>
      <c r="J108">
        <v>1</v>
      </c>
      <c r="K108">
        <v>0</v>
      </c>
      <c r="L108">
        <v>0</v>
      </c>
      <c r="M108">
        <v>4</v>
      </c>
      <c r="N108">
        <v>0</v>
      </c>
      <c r="P108">
        <v>51.1</v>
      </c>
      <c r="R108">
        <v>0</v>
      </c>
      <c r="T108">
        <v>1</v>
      </c>
      <c r="V108">
        <v>1</v>
      </c>
      <c r="X108">
        <v>1</v>
      </c>
      <c r="Z108">
        <v>4</v>
      </c>
    </row>
    <row r="109" spans="1:26" x14ac:dyDescent="0.3">
      <c r="A109" t="s">
        <v>149</v>
      </c>
      <c r="B109">
        <v>45802</v>
      </c>
      <c r="C109" t="s">
        <v>27</v>
      </c>
      <c r="D109" t="s">
        <v>38</v>
      </c>
      <c r="E109" t="s">
        <v>29</v>
      </c>
      <c r="F109" t="s">
        <v>49</v>
      </c>
      <c r="G109" t="s">
        <v>36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P109">
        <v>92.1</v>
      </c>
      <c r="R109">
        <v>0</v>
      </c>
      <c r="T109">
        <v>1</v>
      </c>
      <c r="V109">
        <v>0</v>
      </c>
      <c r="X109">
        <v>0</v>
      </c>
      <c r="Z109">
        <v>0</v>
      </c>
    </row>
    <row r="110" spans="1:26" x14ac:dyDescent="0.3">
      <c r="A110" t="s">
        <v>150</v>
      </c>
      <c r="B110">
        <v>45738</v>
      </c>
      <c r="C110" t="s">
        <v>27</v>
      </c>
      <c r="D110" t="s">
        <v>42</v>
      </c>
      <c r="E110" t="s">
        <v>34</v>
      </c>
      <c r="F110" t="s">
        <v>49</v>
      </c>
      <c r="G110" t="s">
        <v>31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P110">
        <v>82.1</v>
      </c>
      <c r="R110">
        <v>0</v>
      </c>
      <c r="T110">
        <v>0</v>
      </c>
      <c r="V110">
        <v>0</v>
      </c>
      <c r="X110">
        <v>0</v>
      </c>
      <c r="Z110">
        <v>0</v>
      </c>
    </row>
    <row r="111" spans="1:26" x14ac:dyDescent="0.3">
      <c r="A111" t="s">
        <v>151</v>
      </c>
      <c r="B111">
        <v>45700</v>
      </c>
      <c r="C111" t="s">
        <v>27</v>
      </c>
      <c r="D111" t="s">
        <v>33</v>
      </c>
      <c r="E111" t="s">
        <v>29</v>
      </c>
      <c r="F111" t="s">
        <v>39</v>
      </c>
      <c r="G111" t="s">
        <v>31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P111">
        <v>74</v>
      </c>
      <c r="R111">
        <v>0</v>
      </c>
      <c r="T111">
        <v>1</v>
      </c>
      <c r="V111">
        <v>0</v>
      </c>
      <c r="X111">
        <v>0</v>
      </c>
      <c r="Z111">
        <v>1</v>
      </c>
    </row>
    <row r="112" spans="1:26" x14ac:dyDescent="0.3">
      <c r="A112" t="s">
        <v>152</v>
      </c>
      <c r="B112">
        <v>45775</v>
      </c>
      <c r="C112" t="s">
        <v>27</v>
      </c>
      <c r="D112" t="s">
        <v>33</v>
      </c>
      <c r="E112" t="s">
        <v>29</v>
      </c>
      <c r="F112" t="s">
        <v>35</v>
      </c>
      <c r="G112" t="s">
        <v>31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P112">
        <v>63.4</v>
      </c>
      <c r="R112">
        <v>0</v>
      </c>
      <c r="T112">
        <v>1</v>
      </c>
      <c r="V112">
        <v>0</v>
      </c>
      <c r="X112">
        <v>0</v>
      </c>
      <c r="Z112">
        <v>0</v>
      </c>
    </row>
    <row r="113" spans="1:26" x14ac:dyDescent="0.3">
      <c r="A113" t="s">
        <v>153</v>
      </c>
      <c r="B113">
        <v>45687</v>
      </c>
      <c r="C113" t="s">
        <v>27</v>
      </c>
      <c r="D113" t="s">
        <v>28</v>
      </c>
      <c r="E113" t="s">
        <v>34</v>
      </c>
      <c r="F113" t="s">
        <v>35</v>
      </c>
      <c r="G113" t="s">
        <v>31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P113">
        <v>53.2</v>
      </c>
      <c r="R113">
        <v>0</v>
      </c>
      <c r="T113">
        <v>1</v>
      </c>
      <c r="V113">
        <v>0</v>
      </c>
      <c r="X113">
        <v>0</v>
      </c>
      <c r="Z113">
        <v>0</v>
      </c>
    </row>
    <row r="114" spans="1:26" x14ac:dyDescent="0.3">
      <c r="A114" t="s">
        <v>154</v>
      </c>
      <c r="B114">
        <v>45796</v>
      </c>
      <c r="C114" t="s">
        <v>27</v>
      </c>
      <c r="D114" t="s">
        <v>38</v>
      </c>
      <c r="E114" t="s">
        <v>44</v>
      </c>
      <c r="F114" t="s">
        <v>39</v>
      </c>
      <c r="G114" t="s">
        <v>36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P114">
        <v>48.1</v>
      </c>
      <c r="R114">
        <v>0</v>
      </c>
      <c r="T114">
        <v>0</v>
      </c>
      <c r="V114">
        <v>0</v>
      </c>
      <c r="X114">
        <v>0</v>
      </c>
      <c r="Z114">
        <v>0</v>
      </c>
    </row>
    <row r="115" spans="1:26" x14ac:dyDescent="0.3">
      <c r="A115" t="s">
        <v>155</v>
      </c>
      <c r="B115">
        <v>45680</v>
      </c>
      <c r="C115" t="s">
        <v>27</v>
      </c>
      <c r="D115" t="s">
        <v>42</v>
      </c>
      <c r="E115" t="s">
        <v>34</v>
      </c>
      <c r="F115" t="s">
        <v>51</v>
      </c>
      <c r="G115" t="s">
        <v>36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P115">
        <v>61.5</v>
      </c>
      <c r="R115">
        <v>0</v>
      </c>
      <c r="T115">
        <v>1</v>
      </c>
      <c r="V115">
        <v>1</v>
      </c>
      <c r="X115">
        <v>0</v>
      </c>
      <c r="Z115">
        <v>0</v>
      </c>
    </row>
    <row r="116" spans="1:26" x14ac:dyDescent="0.3">
      <c r="A116" t="s">
        <v>156</v>
      </c>
      <c r="B116">
        <v>45744</v>
      </c>
      <c r="C116" t="s">
        <v>27</v>
      </c>
      <c r="D116" t="s">
        <v>38</v>
      </c>
      <c r="E116" t="s">
        <v>29</v>
      </c>
      <c r="F116" t="s">
        <v>51</v>
      </c>
      <c r="G116" t="s">
        <v>36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P116">
        <v>63.2</v>
      </c>
      <c r="R116">
        <v>0</v>
      </c>
      <c r="T116">
        <v>1</v>
      </c>
      <c r="V116">
        <v>0</v>
      </c>
      <c r="X116">
        <v>0</v>
      </c>
      <c r="Z116">
        <v>0</v>
      </c>
    </row>
    <row r="117" spans="1:26" x14ac:dyDescent="0.3">
      <c r="A117" t="s">
        <v>157</v>
      </c>
      <c r="B117">
        <v>45668</v>
      </c>
      <c r="C117" t="s">
        <v>27</v>
      </c>
      <c r="D117" t="s">
        <v>33</v>
      </c>
      <c r="E117" t="s">
        <v>34</v>
      </c>
      <c r="F117" t="s">
        <v>35</v>
      </c>
      <c r="G117" t="s">
        <v>36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P117">
        <v>71.900000000000006</v>
      </c>
      <c r="R117">
        <v>0</v>
      </c>
      <c r="T117">
        <v>0</v>
      </c>
      <c r="V117">
        <v>0</v>
      </c>
      <c r="X117">
        <v>0</v>
      </c>
      <c r="Z117">
        <v>0</v>
      </c>
    </row>
    <row r="118" spans="1:26" x14ac:dyDescent="0.3">
      <c r="A118" t="s">
        <v>158</v>
      </c>
      <c r="B118">
        <v>45758</v>
      </c>
      <c r="C118" t="s">
        <v>27</v>
      </c>
      <c r="D118" t="s">
        <v>28</v>
      </c>
      <c r="E118" t="s">
        <v>34</v>
      </c>
      <c r="F118" t="s">
        <v>49</v>
      </c>
      <c r="G118" t="s">
        <v>36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P118">
        <v>62.7</v>
      </c>
      <c r="R118">
        <v>0</v>
      </c>
      <c r="T118">
        <v>0</v>
      </c>
      <c r="V118">
        <v>0</v>
      </c>
      <c r="X118">
        <v>0</v>
      </c>
      <c r="Z118">
        <v>0</v>
      </c>
    </row>
    <row r="119" spans="1:26" x14ac:dyDescent="0.3">
      <c r="A119" t="s">
        <v>159</v>
      </c>
      <c r="B119">
        <v>45659</v>
      </c>
      <c r="C119" t="s">
        <v>27</v>
      </c>
      <c r="D119" t="s">
        <v>33</v>
      </c>
      <c r="E119" t="s">
        <v>34</v>
      </c>
      <c r="F119" t="s">
        <v>39</v>
      </c>
      <c r="G119" t="s">
        <v>36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P119">
        <v>51.5</v>
      </c>
      <c r="R119">
        <v>0</v>
      </c>
      <c r="T119">
        <v>1</v>
      </c>
      <c r="V119">
        <v>0</v>
      </c>
      <c r="X119">
        <v>0</v>
      </c>
      <c r="Z119">
        <v>0</v>
      </c>
    </row>
    <row r="120" spans="1:26" x14ac:dyDescent="0.3">
      <c r="A120" t="s">
        <v>160</v>
      </c>
      <c r="B120">
        <v>45734</v>
      </c>
      <c r="C120" t="s">
        <v>27</v>
      </c>
      <c r="D120" t="s">
        <v>38</v>
      </c>
      <c r="E120" t="s">
        <v>34</v>
      </c>
      <c r="F120" t="s">
        <v>51</v>
      </c>
      <c r="G120" t="s">
        <v>36</v>
      </c>
      <c r="H120">
        <v>1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0</v>
      </c>
      <c r="P120">
        <v>39.1</v>
      </c>
      <c r="R120">
        <v>0</v>
      </c>
      <c r="T120">
        <v>1</v>
      </c>
      <c r="V120">
        <v>1</v>
      </c>
      <c r="X120">
        <v>1</v>
      </c>
      <c r="Z120">
        <v>0</v>
      </c>
    </row>
    <row r="121" spans="1:26" x14ac:dyDescent="0.3">
      <c r="A121" t="s">
        <v>161</v>
      </c>
      <c r="B121">
        <v>45747</v>
      </c>
      <c r="C121" t="s">
        <v>27</v>
      </c>
      <c r="D121" t="s">
        <v>28</v>
      </c>
      <c r="E121" t="s">
        <v>34</v>
      </c>
      <c r="F121" t="s">
        <v>30</v>
      </c>
      <c r="G121" t="s">
        <v>36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P121">
        <v>43.8</v>
      </c>
      <c r="R121">
        <v>0</v>
      </c>
      <c r="T121">
        <v>1</v>
      </c>
      <c r="V121">
        <v>0</v>
      </c>
      <c r="X121">
        <v>0</v>
      </c>
      <c r="Z121">
        <v>0</v>
      </c>
    </row>
    <row r="122" spans="1:26" x14ac:dyDescent="0.3">
      <c r="A122" t="s">
        <v>162</v>
      </c>
      <c r="B122">
        <v>45663</v>
      </c>
      <c r="C122" t="s">
        <v>27</v>
      </c>
      <c r="D122" t="s">
        <v>28</v>
      </c>
      <c r="E122" t="s">
        <v>34</v>
      </c>
      <c r="F122" t="s">
        <v>39</v>
      </c>
      <c r="G122" t="s">
        <v>31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P122">
        <v>59.9</v>
      </c>
      <c r="R122">
        <v>0</v>
      </c>
      <c r="T122">
        <v>1</v>
      </c>
      <c r="V122">
        <v>0</v>
      </c>
      <c r="X122">
        <v>0</v>
      </c>
      <c r="Z122">
        <v>0</v>
      </c>
    </row>
    <row r="123" spans="1:26" x14ac:dyDescent="0.3">
      <c r="A123" t="s">
        <v>163</v>
      </c>
      <c r="B123">
        <v>45683</v>
      </c>
      <c r="C123" t="s">
        <v>27</v>
      </c>
      <c r="D123" t="s">
        <v>28</v>
      </c>
      <c r="E123" t="s">
        <v>34</v>
      </c>
      <c r="F123" t="s">
        <v>49</v>
      </c>
      <c r="G123" t="s">
        <v>36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P123">
        <v>71.400000000000006</v>
      </c>
      <c r="R123">
        <v>0</v>
      </c>
      <c r="T123">
        <v>1</v>
      </c>
      <c r="V123">
        <v>1</v>
      </c>
      <c r="X123">
        <v>0</v>
      </c>
      <c r="Z123">
        <v>0</v>
      </c>
    </row>
    <row r="124" spans="1:26" x14ac:dyDescent="0.3">
      <c r="A124" t="s">
        <v>164</v>
      </c>
      <c r="B124">
        <v>45769</v>
      </c>
      <c r="C124" t="s">
        <v>27</v>
      </c>
      <c r="D124" t="s">
        <v>42</v>
      </c>
      <c r="E124" t="s">
        <v>34</v>
      </c>
      <c r="F124" t="s">
        <v>49</v>
      </c>
      <c r="G124" t="s">
        <v>31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P124">
        <v>36.1</v>
      </c>
      <c r="R124">
        <v>0</v>
      </c>
      <c r="T124">
        <v>0</v>
      </c>
      <c r="V124">
        <v>0</v>
      </c>
      <c r="X124">
        <v>0</v>
      </c>
      <c r="Z124">
        <v>0</v>
      </c>
    </row>
    <row r="125" spans="1:26" x14ac:dyDescent="0.3">
      <c r="A125" t="s">
        <v>165</v>
      </c>
      <c r="B125">
        <v>45807</v>
      </c>
      <c r="C125" t="s">
        <v>27</v>
      </c>
      <c r="D125" t="s">
        <v>33</v>
      </c>
      <c r="F125" t="s">
        <v>30</v>
      </c>
      <c r="G125" t="s">
        <v>31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P125">
        <v>47.9</v>
      </c>
      <c r="R125">
        <v>0</v>
      </c>
      <c r="T125">
        <v>1</v>
      </c>
      <c r="V125">
        <v>1</v>
      </c>
      <c r="X125">
        <v>0</v>
      </c>
      <c r="Z125">
        <v>0</v>
      </c>
    </row>
    <row r="126" spans="1:26" x14ac:dyDescent="0.3">
      <c r="A126" t="s">
        <v>166</v>
      </c>
      <c r="B126">
        <v>45795</v>
      </c>
      <c r="C126" t="s">
        <v>27</v>
      </c>
      <c r="D126" t="s">
        <v>33</v>
      </c>
      <c r="E126" t="s">
        <v>29</v>
      </c>
      <c r="F126" t="s">
        <v>35</v>
      </c>
      <c r="G126" t="s">
        <v>40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P126">
        <v>62.5</v>
      </c>
      <c r="R126">
        <v>0</v>
      </c>
      <c r="T126">
        <v>1</v>
      </c>
      <c r="V126">
        <v>0</v>
      </c>
      <c r="X126">
        <v>0</v>
      </c>
      <c r="Z126">
        <v>0</v>
      </c>
    </row>
    <row r="127" spans="1:26" x14ac:dyDescent="0.3">
      <c r="A127" t="s">
        <v>167</v>
      </c>
      <c r="B127">
        <v>45670</v>
      </c>
      <c r="C127" t="s">
        <v>27</v>
      </c>
      <c r="D127" t="s">
        <v>42</v>
      </c>
      <c r="E127" t="s">
        <v>29</v>
      </c>
      <c r="F127" t="s">
        <v>39</v>
      </c>
      <c r="G127" t="s">
        <v>40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P127">
        <v>56.9</v>
      </c>
      <c r="R127">
        <v>0</v>
      </c>
      <c r="T127">
        <v>1</v>
      </c>
      <c r="V127">
        <v>0</v>
      </c>
      <c r="X127">
        <v>0</v>
      </c>
      <c r="Z127">
        <v>0</v>
      </c>
    </row>
    <row r="128" spans="1:26" x14ac:dyDescent="0.3">
      <c r="A128" t="s">
        <v>168</v>
      </c>
      <c r="B128">
        <v>45741</v>
      </c>
      <c r="C128" t="s">
        <v>27</v>
      </c>
      <c r="D128" t="s">
        <v>28</v>
      </c>
      <c r="E128" t="s">
        <v>29</v>
      </c>
      <c r="F128" t="s">
        <v>30</v>
      </c>
      <c r="G128" t="s">
        <v>36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P128">
        <v>64.7</v>
      </c>
      <c r="R128">
        <v>0</v>
      </c>
      <c r="T128">
        <v>0</v>
      </c>
      <c r="V128">
        <v>0</v>
      </c>
      <c r="X128">
        <v>0</v>
      </c>
      <c r="Z128">
        <v>0</v>
      </c>
    </row>
    <row r="129" spans="1:26" x14ac:dyDescent="0.3">
      <c r="A129" t="s">
        <v>169</v>
      </c>
      <c r="B129">
        <v>45776</v>
      </c>
      <c r="C129" t="s">
        <v>27</v>
      </c>
      <c r="D129" t="s">
        <v>42</v>
      </c>
      <c r="E129" t="s">
        <v>29</v>
      </c>
      <c r="F129" t="s">
        <v>35</v>
      </c>
      <c r="G129" t="s">
        <v>36</v>
      </c>
      <c r="H129">
        <v>1</v>
      </c>
      <c r="I129">
        <v>1</v>
      </c>
      <c r="J129">
        <v>1</v>
      </c>
      <c r="K129">
        <v>0</v>
      </c>
      <c r="L129">
        <v>0</v>
      </c>
      <c r="M129">
        <v>0</v>
      </c>
      <c r="N129">
        <v>0</v>
      </c>
      <c r="P129">
        <v>64</v>
      </c>
      <c r="R129">
        <v>0</v>
      </c>
      <c r="T129">
        <v>1</v>
      </c>
      <c r="V129">
        <v>1</v>
      </c>
      <c r="X129">
        <v>1</v>
      </c>
      <c r="Z129">
        <v>0</v>
      </c>
    </row>
    <row r="130" spans="1:26" x14ac:dyDescent="0.3">
      <c r="A130" t="s">
        <v>170</v>
      </c>
      <c r="B130">
        <v>45794</v>
      </c>
      <c r="C130" t="s">
        <v>27</v>
      </c>
      <c r="D130" t="s">
        <v>38</v>
      </c>
      <c r="E130" t="s">
        <v>34</v>
      </c>
      <c r="F130" t="s">
        <v>49</v>
      </c>
      <c r="G130" t="s">
        <v>31</v>
      </c>
      <c r="H130">
        <v>1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  <c r="P130">
        <v>75.2</v>
      </c>
      <c r="R130">
        <v>0</v>
      </c>
      <c r="T130">
        <v>1</v>
      </c>
      <c r="V130">
        <v>1</v>
      </c>
      <c r="X130">
        <v>1</v>
      </c>
      <c r="Z130">
        <v>0</v>
      </c>
    </row>
    <row r="131" spans="1:26" x14ac:dyDescent="0.3">
      <c r="A131" t="s">
        <v>171</v>
      </c>
      <c r="B131">
        <v>45659</v>
      </c>
      <c r="C131" t="s">
        <v>27</v>
      </c>
      <c r="D131" t="s">
        <v>28</v>
      </c>
      <c r="E131" t="s">
        <v>34</v>
      </c>
      <c r="F131" t="s">
        <v>39</v>
      </c>
      <c r="G131" t="s">
        <v>36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P131">
        <v>79</v>
      </c>
      <c r="R131">
        <v>0</v>
      </c>
      <c r="T131">
        <v>1</v>
      </c>
      <c r="V131">
        <v>0</v>
      </c>
      <c r="X131">
        <v>0</v>
      </c>
      <c r="Z131">
        <v>1</v>
      </c>
    </row>
    <row r="132" spans="1:26" x14ac:dyDescent="0.3">
      <c r="A132" t="s">
        <v>172</v>
      </c>
      <c r="B132">
        <v>45691</v>
      </c>
      <c r="C132" t="s">
        <v>27</v>
      </c>
      <c r="D132" t="s">
        <v>42</v>
      </c>
      <c r="E132" t="s">
        <v>34</v>
      </c>
      <c r="F132" t="s">
        <v>35</v>
      </c>
      <c r="G132" t="s">
        <v>36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P132">
        <v>33</v>
      </c>
      <c r="R132">
        <v>0</v>
      </c>
      <c r="T132">
        <v>0</v>
      </c>
      <c r="V132">
        <v>0</v>
      </c>
      <c r="X132">
        <v>0</v>
      </c>
      <c r="Z132">
        <v>0</v>
      </c>
    </row>
    <row r="133" spans="1:26" x14ac:dyDescent="0.3">
      <c r="A133" t="s">
        <v>173</v>
      </c>
      <c r="B133">
        <v>45720</v>
      </c>
      <c r="C133" t="s">
        <v>27</v>
      </c>
      <c r="D133" t="s">
        <v>38</v>
      </c>
      <c r="E133" t="s">
        <v>34</v>
      </c>
      <c r="F133" t="s">
        <v>35</v>
      </c>
      <c r="G133" t="s">
        <v>36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P133">
        <v>67.900000000000006</v>
      </c>
      <c r="R133">
        <v>0</v>
      </c>
      <c r="T133">
        <v>1</v>
      </c>
      <c r="V133">
        <v>0</v>
      </c>
      <c r="X133">
        <v>0</v>
      </c>
      <c r="Z133">
        <v>0</v>
      </c>
    </row>
    <row r="134" spans="1:26" x14ac:dyDescent="0.3">
      <c r="A134" t="s">
        <v>174</v>
      </c>
      <c r="B134">
        <v>45683</v>
      </c>
      <c r="C134" t="s">
        <v>27</v>
      </c>
      <c r="D134" t="s">
        <v>42</v>
      </c>
      <c r="E134" t="s">
        <v>34</v>
      </c>
      <c r="F134" t="s">
        <v>39</v>
      </c>
      <c r="G134" t="s">
        <v>31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P134">
        <v>42.2</v>
      </c>
      <c r="R134">
        <v>0</v>
      </c>
      <c r="T134">
        <v>0</v>
      </c>
      <c r="V134">
        <v>0</v>
      </c>
      <c r="X134">
        <v>0</v>
      </c>
      <c r="Z134">
        <v>0</v>
      </c>
    </row>
    <row r="135" spans="1:26" x14ac:dyDescent="0.3">
      <c r="A135" t="s">
        <v>175</v>
      </c>
      <c r="B135">
        <v>45789</v>
      </c>
      <c r="C135" t="s">
        <v>27</v>
      </c>
      <c r="D135" t="s">
        <v>33</v>
      </c>
      <c r="E135" t="s">
        <v>34</v>
      </c>
      <c r="F135" t="s">
        <v>39</v>
      </c>
      <c r="G135" t="s">
        <v>31</v>
      </c>
      <c r="H135">
        <v>1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0</v>
      </c>
      <c r="P135">
        <v>43.4</v>
      </c>
      <c r="R135">
        <v>0</v>
      </c>
      <c r="T135">
        <v>1</v>
      </c>
      <c r="V135">
        <v>1</v>
      </c>
      <c r="X135">
        <v>1</v>
      </c>
      <c r="Z135">
        <v>0</v>
      </c>
    </row>
    <row r="136" spans="1:26" x14ac:dyDescent="0.3">
      <c r="A136" t="s">
        <v>176</v>
      </c>
      <c r="B136">
        <v>45722</v>
      </c>
      <c r="C136" t="s">
        <v>27</v>
      </c>
      <c r="D136" t="s">
        <v>28</v>
      </c>
      <c r="E136" t="s">
        <v>34</v>
      </c>
      <c r="F136" t="s">
        <v>35</v>
      </c>
      <c r="G136" t="s">
        <v>31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P136">
        <v>54.4</v>
      </c>
      <c r="R136">
        <v>0</v>
      </c>
      <c r="T136">
        <v>0</v>
      </c>
      <c r="V136">
        <v>0</v>
      </c>
      <c r="X136">
        <v>0</v>
      </c>
      <c r="Z136">
        <v>0</v>
      </c>
    </row>
    <row r="137" spans="1:26" x14ac:dyDescent="0.3">
      <c r="A137" t="s">
        <v>177</v>
      </c>
      <c r="B137">
        <v>45726</v>
      </c>
      <c r="C137" t="s">
        <v>27</v>
      </c>
      <c r="D137" t="s">
        <v>42</v>
      </c>
      <c r="E137" t="s">
        <v>29</v>
      </c>
      <c r="F137" t="s">
        <v>30</v>
      </c>
      <c r="G137" t="s">
        <v>40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P137">
        <v>45.7</v>
      </c>
      <c r="R137">
        <v>0</v>
      </c>
      <c r="T137">
        <v>0</v>
      </c>
      <c r="V137">
        <v>0</v>
      </c>
      <c r="X137">
        <v>0</v>
      </c>
      <c r="Z137">
        <v>0</v>
      </c>
    </row>
    <row r="138" spans="1:26" x14ac:dyDescent="0.3">
      <c r="A138" t="s">
        <v>178</v>
      </c>
      <c r="B138">
        <v>45783</v>
      </c>
      <c r="C138" t="s">
        <v>27</v>
      </c>
      <c r="D138" t="s">
        <v>28</v>
      </c>
      <c r="E138" t="s">
        <v>34</v>
      </c>
      <c r="F138" t="s">
        <v>39</v>
      </c>
      <c r="G138" t="s">
        <v>36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3</v>
      </c>
      <c r="N138">
        <v>0</v>
      </c>
      <c r="P138">
        <v>32</v>
      </c>
      <c r="R138">
        <v>0</v>
      </c>
      <c r="T138">
        <v>0</v>
      </c>
      <c r="V138">
        <v>0</v>
      </c>
      <c r="X138">
        <v>0</v>
      </c>
      <c r="Z138">
        <v>3</v>
      </c>
    </row>
    <row r="139" spans="1:26" x14ac:dyDescent="0.3">
      <c r="A139" t="s">
        <v>179</v>
      </c>
      <c r="B139">
        <v>45711</v>
      </c>
      <c r="C139" t="s">
        <v>27</v>
      </c>
      <c r="D139" t="s">
        <v>42</v>
      </c>
      <c r="E139" t="s">
        <v>29</v>
      </c>
      <c r="F139" t="s">
        <v>39</v>
      </c>
      <c r="G139" t="s">
        <v>36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P139">
        <v>70.900000000000006</v>
      </c>
      <c r="R139">
        <v>0</v>
      </c>
      <c r="T139">
        <v>1</v>
      </c>
      <c r="V139">
        <v>0</v>
      </c>
      <c r="X139">
        <v>0</v>
      </c>
      <c r="Z139">
        <v>0</v>
      </c>
    </row>
    <row r="140" spans="1:26" x14ac:dyDescent="0.3">
      <c r="A140" t="s">
        <v>180</v>
      </c>
      <c r="B140">
        <v>45686</v>
      </c>
      <c r="C140" t="s">
        <v>27</v>
      </c>
      <c r="D140" t="s">
        <v>33</v>
      </c>
      <c r="E140" t="s">
        <v>34</v>
      </c>
      <c r="F140" t="s">
        <v>51</v>
      </c>
      <c r="G140" t="s">
        <v>31</v>
      </c>
      <c r="H140">
        <v>1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0</v>
      </c>
      <c r="P140">
        <v>59.1</v>
      </c>
      <c r="R140">
        <v>0</v>
      </c>
      <c r="T140">
        <v>1</v>
      </c>
      <c r="V140">
        <v>1</v>
      </c>
      <c r="X140">
        <v>1</v>
      </c>
      <c r="Z140">
        <v>0</v>
      </c>
    </row>
    <row r="141" spans="1:26" x14ac:dyDescent="0.3">
      <c r="A141" t="s">
        <v>181</v>
      </c>
      <c r="B141">
        <v>45688</v>
      </c>
      <c r="C141" t="s">
        <v>27</v>
      </c>
      <c r="D141" t="s">
        <v>28</v>
      </c>
      <c r="E141" t="s">
        <v>34</v>
      </c>
      <c r="F141" t="s">
        <v>35</v>
      </c>
      <c r="G141" t="s">
        <v>31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P141">
        <v>62.4</v>
      </c>
      <c r="R141">
        <v>0</v>
      </c>
      <c r="T141">
        <v>0</v>
      </c>
      <c r="V141">
        <v>0</v>
      </c>
      <c r="X141">
        <v>0</v>
      </c>
      <c r="Z141">
        <v>0</v>
      </c>
    </row>
    <row r="142" spans="1:26" x14ac:dyDescent="0.3">
      <c r="A142" t="s">
        <v>182</v>
      </c>
      <c r="B142">
        <v>45676</v>
      </c>
      <c r="C142" t="s">
        <v>27</v>
      </c>
      <c r="D142" t="s">
        <v>42</v>
      </c>
      <c r="E142" t="s">
        <v>34</v>
      </c>
      <c r="F142" t="s">
        <v>35</v>
      </c>
      <c r="G142" t="s">
        <v>36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P142">
        <v>49.6</v>
      </c>
      <c r="R142">
        <v>0</v>
      </c>
      <c r="T142">
        <v>0</v>
      </c>
      <c r="V142">
        <v>0</v>
      </c>
      <c r="X142">
        <v>0</v>
      </c>
      <c r="Z142">
        <v>0</v>
      </c>
    </row>
    <row r="143" spans="1:26" x14ac:dyDescent="0.3">
      <c r="A143" t="s">
        <v>183</v>
      </c>
      <c r="B143">
        <v>45750</v>
      </c>
      <c r="C143" t="s">
        <v>27</v>
      </c>
      <c r="D143" t="s">
        <v>33</v>
      </c>
      <c r="E143" t="s">
        <v>29</v>
      </c>
      <c r="F143" t="s">
        <v>51</v>
      </c>
      <c r="G143" t="s">
        <v>36</v>
      </c>
      <c r="H143">
        <v>1</v>
      </c>
      <c r="I143">
        <v>1</v>
      </c>
      <c r="J143">
        <v>1</v>
      </c>
      <c r="K143">
        <v>1</v>
      </c>
      <c r="L143">
        <v>404.4</v>
      </c>
      <c r="M143">
        <v>0</v>
      </c>
      <c r="N143">
        <v>0</v>
      </c>
      <c r="O143">
        <v>9</v>
      </c>
      <c r="P143">
        <v>80.599999999999994</v>
      </c>
      <c r="R143">
        <v>1</v>
      </c>
      <c r="T143">
        <v>1</v>
      </c>
      <c r="V143">
        <v>1</v>
      </c>
      <c r="X143">
        <v>1</v>
      </c>
      <c r="Z143">
        <v>0</v>
      </c>
    </row>
    <row r="144" spans="1:26" x14ac:dyDescent="0.3">
      <c r="A144" t="s">
        <v>184</v>
      </c>
      <c r="B144">
        <v>45754</v>
      </c>
      <c r="C144" t="s">
        <v>27</v>
      </c>
      <c r="D144" t="s">
        <v>28</v>
      </c>
      <c r="E144" t="s">
        <v>34</v>
      </c>
      <c r="F144" t="s">
        <v>39</v>
      </c>
      <c r="G144" t="s">
        <v>36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P144">
        <v>47.9</v>
      </c>
      <c r="R144">
        <v>0</v>
      </c>
      <c r="T144">
        <v>1</v>
      </c>
      <c r="V144">
        <v>0</v>
      </c>
      <c r="X144">
        <v>0</v>
      </c>
      <c r="Z144">
        <v>0</v>
      </c>
    </row>
    <row r="145" spans="1:26" x14ac:dyDescent="0.3">
      <c r="A145" t="s">
        <v>185</v>
      </c>
      <c r="B145">
        <v>45663</v>
      </c>
      <c r="C145" t="s">
        <v>27</v>
      </c>
      <c r="D145" t="s">
        <v>38</v>
      </c>
      <c r="E145" t="s">
        <v>34</v>
      </c>
      <c r="F145" t="s">
        <v>39</v>
      </c>
      <c r="G145" t="s">
        <v>31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P145">
        <v>54.8</v>
      </c>
      <c r="R145">
        <v>0</v>
      </c>
      <c r="T145">
        <v>1</v>
      </c>
      <c r="V145">
        <v>1</v>
      </c>
      <c r="X145">
        <v>0</v>
      </c>
      <c r="Z145">
        <v>0</v>
      </c>
    </row>
    <row r="146" spans="1:26" x14ac:dyDescent="0.3">
      <c r="A146" t="s">
        <v>186</v>
      </c>
      <c r="B146">
        <v>45758</v>
      </c>
      <c r="C146" t="s">
        <v>27</v>
      </c>
      <c r="D146" t="s">
        <v>38</v>
      </c>
      <c r="E146" t="s">
        <v>34</v>
      </c>
      <c r="F146" t="s">
        <v>35</v>
      </c>
      <c r="G146" t="s">
        <v>36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P146">
        <v>53.9</v>
      </c>
      <c r="R146">
        <v>0</v>
      </c>
      <c r="T146">
        <v>1</v>
      </c>
      <c r="V146">
        <v>0</v>
      </c>
      <c r="X146">
        <v>0</v>
      </c>
      <c r="Z146">
        <v>1</v>
      </c>
    </row>
    <row r="147" spans="1:26" x14ac:dyDescent="0.3">
      <c r="A147" t="s">
        <v>187</v>
      </c>
      <c r="B147">
        <v>45770</v>
      </c>
      <c r="C147" t="s">
        <v>27</v>
      </c>
      <c r="D147" t="s">
        <v>38</v>
      </c>
      <c r="E147" t="s">
        <v>34</v>
      </c>
      <c r="F147" t="s">
        <v>39</v>
      </c>
      <c r="G147" t="s">
        <v>36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P147">
        <v>41.3</v>
      </c>
      <c r="R147">
        <v>0</v>
      </c>
      <c r="T147">
        <v>1</v>
      </c>
      <c r="V147">
        <v>0</v>
      </c>
      <c r="X147">
        <v>0</v>
      </c>
      <c r="Z147">
        <v>0</v>
      </c>
    </row>
    <row r="148" spans="1:26" x14ac:dyDescent="0.3">
      <c r="A148" t="s">
        <v>188</v>
      </c>
      <c r="B148">
        <v>45741</v>
      </c>
      <c r="C148" t="s">
        <v>27</v>
      </c>
      <c r="D148" t="s">
        <v>33</v>
      </c>
      <c r="E148" t="s">
        <v>34</v>
      </c>
      <c r="F148" t="s">
        <v>35</v>
      </c>
      <c r="G148" t="s">
        <v>31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P148">
        <v>38.9</v>
      </c>
      <c r="R148">
        <v>0</v>
      </c>
      <c r="T148">
        <v>1</v>
      </c>
      <c r="V148">
        <v>1</v>
      </c>
      <c r="X148">
        <v>0</v>
      </c>
      <c r="Z148">
        <v>0</v>
      </c>
    </row>
    <row r="149" spans="1:26" x14ac:dyDescent="0.3">
      <c r="A149" t="s">
        <v>189</v>
      </c>
      <c r="B149">
        <v>45802</v>
      </c>
      <c r="C149" t="s">
        <v>27</v>
      </c>
      <c r="D149" t="s">
        <v>42</v>
      </c>
      <c r="E149" t="s">
        <v>29</v>
      </c>
      <c r="F149" t="s">
        <v>35</v>
      </c>
      <c r="G149" t="s">
        <v>31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P149">
        <v>63.6</v>
      </c>
      <c r="R149">
        <v>0</v>
      </c>
      <c r="T149">
        <v>1</v>
      </c>
      <c r="V149">
        <v>0</v>
      </c>
      <c r="X149">
        <v>0</v>
      </c>
      <c r="Z149">
        <v>0</v>
      </c>
    </row>
    <row r="150" spans="1:26" x14ac:dyDescent="0.3">
      <c r="A150" t="s">
        <v>190</v>
      </c>
      <c r="B150">
        <v>45685</v>
      </c>
      <c r="C150" t="s">
        <v>27</v>
      </c>
      <c r="D150" t="s">
        <v>28</v>
      </c>
      <c r="E150" t="s">
        <v>34</v>
      </c>
      <c r="F150" t="s">
        <v>35</v>
      </c>
      <c r="G150" t="s">
        <v>36</v>
      </c>
      <c r="H150">
        <v>1</v>
      </c>
      <c r="I150">
        <v>1</v>
      </c>
      <c r="J150">
        <v>1</v>
      </c>
      <c r="K150">
        <v>1</v>
      </c>
      <c r="L150">
        <v>577.94000000000005</v>
      </c>
      <c r="M150">
        <v>0</v>
      </c>
      <c r="N150">
        <v>0</v>
      </c>
      <c r="O150">
        <v>9</v>
      </c>
      <c r="P150">
        <v>76.599999999999994</v>
      </c>
      <c r="R150">
        <v>1</v>
      </c>
      <c r="T150">
        <v>1</v>
      </c>
      <c r="V150">
        <v>1</v>
      </c>
      <c r="X150">
        <v>1</v>
      </c>
      <c r="Z150">
        <v>0</v>
      </c>
    </row>
    <row r="151" spans="1:26" x14ac:dyDescent="0.3">
      <c r="A151" t="s">
        <v>191</v>
      </c>
      <c r="B151">
        <v>45700</v>
      </c>
      <c r="C151" t="s">
        <v>27</v>
      </c>
      <c r="D151" t="s">
        <v>33</v>
      </c>
      <c r="E151" t="s">
        <v>34</v>
      </c>
      <c r="F151" t="s">
        <v>39</v>
      </c>
      <c r="G151" t="s">
        <v>40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0</v>
      </c>
      <c r="P151">
        <v>67.599999999999994</v>
      </c>
      <c r="R151">
        <v>0</v>
      </c>
      <c r="T151">
        <v>0</v>
      </c>
      <c r="V151">
        <v>0</v>
      </c>
      <c r="X151">
        <v>0</v>
      </c>
      <c r="Z151">
        <v>1</v>
      </c>
    </row>
    <row r="152" spans="1:26" x14ac:dyDescent="0.3">
      <c r="A152" t="s">
        <v>192</v>
      </c>
      <c r="B152">
        <v>45776</v>
      </c>
      <c r="C152" t="s">
        <v>27</v>
      </c>
      <c r="D152" t="s">
        <v>28</v>
      </c>
      <c r="E152" t="s">
        <v>34</v>
      </c>
      <c r="F152" t="s">
        <v>51</v>
      </c>
      <c r="G152" t="s">
        <v>40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P152">
        <v>43.1</v>
      </c>
      <c r="R152">
        <v>0</v>
      </c>
      <c r="T152">
        <v>1</v>
      </c>
      <c r="V152">
        <v>0</v>
      </c>
      <c r="X152">
        <v>0</v>
      </c>
      <c r="Z152">
        <v>0</v>
      </c>
    </row>
    <row r="153" spans="1:26" x14ac:dyDescent="0.3">
      <c r="A153" t="s">
        <v>193</v>
      </c>
      <c r="B153">
        <v>45729</v>
      </c>
      <c r="C153" t="s">
        <v>27</v>
      </c>
      <c r="D153" t="s">
        <v>42</v>
      </c>
      <c r="E153" t="s">
        <v>34</v>
      </c>
      <c r="F153" t="s">
        <v>30</v>
      </c>
      <c r="G153" t="s">
        <v>36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P153">
        <v>58.3</v>
      </c>
      <c r="R153">
        <v>0</v>
      </c>
      <c r="T153">
        <v>1</v>
      </c>
      <c r="V153">
        <v>0</v>
      </c>
      <c r="X153">
        <v>0</v>
      </c>
      <c r="Z153">
        <v>0</v>
      </c>
    </row>
    <row r="154" spans="1:26" x14ac:dyDescent="0.3">
      <c r="A154" t="s">
        <v>194</v>
      </c>
      <c r="B154">
        <v>45692</v>
      </c>
      <c r="C154" t="s">
        <v>27</v>
      </c>
      <c r="D154" t="s">
        <v>38</v>
      </c>
      <c r="E154" t="s">
        <v>29</v>
      </c>
      <c r="F154" t="s">
        <v>39</v>
      </c>
      <c r="G154" t="s">
        <v>36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P154">
        <v>69.8</v>
      </c>
      <c r="R154">
        <v>0</v>
      </c>
      <c r="T154">
        <v>1</v>
      </c>
      <c r="V154">
        <v>0</v>
      </c>
      <c r="X154">
        <v>0</v>
      </c>
      <c r="Z154">
        <v>0</v>
      </c>
    </row>
    <row r="155" spans="1:26" x14ac:dyDescent="0.3">
      <c r="A155" t="s">
        <v>195</v>
      </c>
      <c r="B155">
        <v>45720</v>
      </c>
      <c r="C155" t="s">
        <v>27</v>
      </c>
      <c r="D155" t="s">
        <v>42</v>
      </c>
      <c r="E155" t="s">
        <v>34</v>
      </c>
      <c r="F155" t="s">
        <v>49</v>
      </c>
      <c r="G155" t="s">
        <v>36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R155">
        <v>0</v>
      </c>
      <c r="T155">
        <v>1</v>
      </c>
      <c r="V155">
        <v>1</v>
      </c>
      <c r="X155">
        <v>0</v>
      </c>
      <c r="Z155">
        <v>0</v>
      </c>
    </row>
    <row r="156" spans="1:26" x14ac:dyDescent="0.3">
      <c r="A156" t="s">
        <v>196</v>
      </c>
      <c r="B156">
        <v>45692</v>
      </c>
      <c r="C156" t="s">
        <v>27</v>
      </c>
      <c r="D156" t="s">
        <v>33</v>
      </c>
      <c r="E156" t="s">
        <v>34</v>
      </c>
      <c r="F156" t="s">
        <v>39</v>
      </c>
      <c r="G156" t="s">
        <v>31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P156">
        <v>41.9</v>
      </c>
      <c r="R156">
        <v>0</v>
      </c>
      <c r="T156">
        <v>1</v>
      </c>
      <c r="V156">
        <v>1</v>
      </c>
      <c r="X156">
        <v>0</v>
      </c>
      <c r="Z156">
        <v>0</v>
      </c>
    </row>
    <row r="157" spans="1:26" x14ac:dyDescent="0.3">
      <c r="A157" t="s">
        <v>197</v>
      </c>
      <c r="B157">
        <v>45727</v>
      </c>
      <c r="C157" t="s">
        <v>27</v>
      </c>
      <c r="D157" t="s">
        <v>28</v>
      </c>
      <c r="E157" t="s">
        <v>29</v>
      </c>
      <c r="F157" t="s">
        <v>35</v>
      </c>
      <c r="G157" t="s">
        <v>36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P157">
        <v>33.1</v>
      </c>
      <c r="R157">
        <v>0</v>
      </c>
      <c r="T157">
        <v>0</v>
      </c>
      <c r="V157">
        <v>0</v>
      </c>
      <c r="X157">
        <v>0</v>
      </c>
      <c r="Z157">
        <v>0</v>
      </c>
    </row>
    <row r="158" spans="1:26" x14ac:dyDescent="0.3">
      <c r="A158" t="s">
        <v>198</v>
      </c>
      <c r="B158">
        <v>45769</v>
      </c>
      <c r="C158" t="s">
        <v>27</v>
      </c>
      <c r="D158" t="s">
        <v>33</v>
      </c>
      <c r="E158" t="s">
        <v>34</v>
      </c>
      <c r="F158" t="s">
        <v>35</v>
      </c>
      <c r="G158" t="s">
        <v>36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P158">
        <v>58.6</v>
      </c>
      <c r="R158">
        <v>0</v>
      </c>
      <c r="T158">
        <v>0</v>
      </c>
      <c r="V158">
        <v>0</v>
      </c>
      <c r="X158">
        <v>0</v>
      </c>
      <c r="Z158">
        <v>0</v>
      </c>
    </row>
    <row r="159" spans="1:26" x14ac:dyDescent="0.3">
      <c r="A159" t="s">
        <v>199</v>
      </c>
      <c r="B159">
        <v>45724</v>
      </c>
      <c r="C159" t="s">
        <v>27</v>
      </c>
      <c r="D159" t="s">
        <v>28</v>
      </c>
      <c r="E159" t="s">
        <v>29</v>
      </c>
      <c r="F159" t="s">
        <v>39</v>
      </c>
      <c r="G159" t="s">
        <v>36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P159">
        <v>55.7</v>
      </c>
      <c r="R159">
        <v>0</v>
      </c>
      <c r="T159">
        <v>0</v>
      </c>
      <c r="V159">
        <v>0</v>
      </c>
      <c r="X159">
        <v>0</v>
      </c>
      <c r="Z159">
        <v>0</v>
      </c>
    </row>
    <row r="160" spans="1:26" x14ac:dyDescent="0.3">
      <c r="A160" t="s">
        <v>200</v>
      </c>
      <c r="B160">
        <v>45726</v>
      </c>
      <c r="C160" t="s">
        <v>27</v>
      </c>
      <c r="D160" t="s">
        <v>38</v>
      </c>
      <c r="E160" t="s">
        <v>34</v>
      </c>
      <c r="F160" t="s">
        <v>35</v>
      </c>
      <c r="G160" t="s">
        <v>36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2</v>
      </c>
      <c r="N160">
        <v>0</v>
      </c>
      <c r="P160">
        <v>64.900000000000006</v>
      </c>
      <c r="R160">
        <v>0</v>
      </c>
      <c r="T160">
        <v>0</v>
      </c>
      <c r="V160">
        <v>0</v>
      </c>
      <c r="X160">
        <v>0</v>
      </c>
      <c r="Z160">
        <v>2</v>
      </c>
    </row>
    <row r="161" spans="1:26" x14ac:dyDescent="0.3">
      <c r="A161" t="s">
        <v>201</v>
      </c>
      <c r="B161">
        <v>45795</v>
      </c>
      <c r="C161" t="s">
        <v>27</v>
      </c>
      <c r="D161" t="s">
        <v>28</v>
      </c>
      <c r="E161" t="s">
        <v>29</v>
      </c>
      <c r="F161" t="s">
        <v>39</v>
      </c>
      <c r="G161" t="s">
        <v>31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P161">
        <v>72.3</v>
      </c>
      <c r="R161">
        <v>0</v>
      </c>
      <c r="T161">
        <v>0</v>
      </c>
      <c r="V161">
        <v>0</v>
      </c>
      <c r="X161">
        <v>0</v>
      </c>
      <c r="Z161">
        <v>0</v>
      </c>
    </row>
    <row r="162" spans="1:26" x14ac:dyDescent="0.3">
      <c r="A162" t="s">
        <v>202</v>
      </c>
      <c r="B162">
        <v>45791</v>
      </c>
      <c r="C162" t="s">
        <v>27</v>
      </c>
      <c r="D162" t="s">
        <v>28</v>
      </c>
      <c r="E162" t="s">
        <v>34</v>
      </c>
      <c r="F162" t="s">
        <v>51</v>
      </c>
      <c r="G162" t="s">
        <v>31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P162">
        <v>42.1</v>
      </c>
      <c r="R162">
        <v>0</v>
      </c>
      <c r="T162">
        <v>0</v>
      </c>
      <c r="V162">
        <v>0</v>
      </c>
      <c r="X162">
        <v>0</v>
      </c>
      <c r="Z162">
        <v>0</v>
      </c>
    </row>
    <row r="163" spans="1:26" x14ac:dyDescent="0.3">
      <c r="A163" t="s">
        <v>203</v>
      </c>
      <c r="B163">
        <v>45689</v>
      </c>
      <c r="C163" t="s">
        <v>27</v>
      </c>
      <c r="D163" t="s">
        <v>28</v>
      </c>
      <c r="E163" t="s">
        <v>34</v>
      </c>
      <c r="F163" t="s">
        <v>35</v>
      </c>
      <c r="G163" t="s">
        <v>36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R163">
        <v>0</v>
      </c>
      <c r="T163">
        <v>0</v>
      </c>
      <c r="V163">
        <v>0</v>
      </c>
      <c r="X163">
        <v>0</v>
      </c>
      <c r="Z163">
        <v>0</v>
      </c>
    </row>
    <row r="164" spans="1:26" x14ac:dyDescent="0.3">
      <c r="A164" t="s">
        <v>204</v>
      </c>
      <c r="B164">
        <v>45758</v>
      </c>
      <c r="C164" t="s">
        <v>27</v>
      </c>
      <c r="D164" t="s">
        <v>42</v>
      </c>
      <c r="E164" t="s">
        <v>34</v>
      </c>
      <c r="F164" t="s">
        <v>35</v>
      </c>
      <c r="G164" t="s">
        <v>31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0</v>
      </c>
      <c r="P164">
        <v>64.8</v>
      </c>
      <c r="R164">
        <v>0</v>
      </c>
      <c r="T164">
        <v>0</v>
      </c>
      <c r="V164">
        <v>0</v>
      </c>
      <c r="X164">
        <v>0</v>
      </c>
      <c r="Z164">
        <v>1</v>
      </c>
    </row>
    <row r="165" spans="1:26" x14ac:dyDescent="0.3">
      <c r="A165" t="s">
        <v>205</v>
      </c>
      <c r="B165">
        <v>45702</v>
      </c>
      <c r="C165" t="s">
        <v>27</v>
      </c>
      <c r="D165" t="s">
        <v>38</v>
      </c>
      <c r="E165" t="s">
        <v>34</v>
      </c>
      <c r="F165" t="s">
        <v>35</v>
      </c>
      <c r="G165" t="s">
        <v>36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P165">
        <v>72.099999999999994</v>
      </c>
      <c r="R165">
        <v>0</v>
      </c>
      <c r="T165">
        <v>0</v>
      </c>
      <c r="V165">
        <v>0</v>
      </c>
      <c r="X165">
        <v>0</v>
      </c>
      <c r="Z165">
        <v>0</v>
      </c>
    </row>
    <row r="166" spans="1:26" x14ac:dyDescent="0.3">
      <c r="A166" t="s">
        <v>206</v>
      </c>
      <c r="B166">
        <v>45796</v>
      </c>
      <c r="C166" t="s">
        <v>27</v>
      </c>
      <c r="D166" t="s">
        <v>38</v>
      </c>
      <c r="E166" t="s">
        <v>34</v>
      </c>
      <c r="F166" t="s">
        <v>51</v>
      </c>
      <c r="G166" t="s">
        <v>36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P166">
        <v>50.6</v>
      </c>
      <c r="R166">
        <v>0</v>
      </c>
      <c r="T166">
        <v>1</v>
      </c>
      <c r="V166">
        <v>0</v>
      </c>
      <c r="X166">
        <v>0</v>
      </c>
      <c r="Z166">
        <v>0</v>
      </c>
    </row>
    <row r="167" spans="1:26" x14ac:dyDescent="0.3">
      <c r="A167" t="s">
        <v>207</v>
      </c>
      <c r="B167">
        <v>45773</v>
      </c>
      <c r="C167" t="s">
        <v>27</v>
      </c>
      <c r="D167" t="s">
        <v>28</v>
      </c>
      <c r="E167" t="s">
        <v>29</v>
      </c>
      <c r="F167" t="s">
        <v>39</v>
      </c>
      <c r="G167" t="s">
        <v>31</v>
      </c>
      <c r="H167">
        <v>1</v>
      </c>
      <c r="I167">
        <v>1</v>
      </c>
      <c r="J167">
        <v>1</v>
      </c>
      <c r="K167">
        <v>1</v>
      </c>
      <c r="L167">
        <v>1281.25</v>
      </c>
      <c r="M167">
        <v>1</v>
      </c>
      <c r="N167">
        <v>0</v>
      </c>
      <c r="O167">
        <v>9</v>
      </c>
      <c r="P167">
        <v>43.4</v>
      </c>
      <c r="R167">
        <v>1</v>
      </c>
      <c r="T167">
        <v>1</v>
      </c>
      <c r="V167">
        <v>1</v>
      </c>
      <c r="X167">
        <v>1</v>
      </c>
      <c r="Z167">
        <v>1</v>
      </c>
    </row>
    <row r="168" spans="1:26" x14ac:dyDescent="0.3">
      <c r="A168" t="s">
        <v>208</v>
      </c>
      <c r="B168">
        <v>45753</v>
      </c>
      <c r="C168" t="s">
        <v>27</v>
      </c>
      <c r="D168" t="s">
        <v>42</v>
      </c>
      <c r="E168" t="s">
        <v>34</v>
      </c>
      <c r="F168" t="s">
        <v>51</v>
      </c>
      <c r="G168" t="s">
        <v>36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P168">
        <v>59.7</v>
      </c>
      <c r="R168">
        <v>0</v>
      </c>
      <c r="T168">
        <v>1</v>
      </c>
      <c r="V168">
        <v>0</v>
      </c>
      <c r="X168">
        <v>0</v>
      </c>
      <c r="Z168">
        <v>0</v>
      </c>
    </row>
    <row r="169" spans="1:26" x14ac:dyDescent="0.3">
      <c r="A169" t="s">
        <v>209</v>
      </c>
      <c r="B169">
        <v>45722</v>
      </c>
      <c r="C169" t="s">
        <v>27</v>
      </c>
      <c r="D169" t="s">
        <v>42</v>
      </c>
      <c r="E169" t="s">
        <v>34</v>
      </c>
      <c r="F169" t="s">
        <v>39</v>
      </c>
      <c r="G169" t="s">
        <v>36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  <c r="R169">
        <v>0</v>
      </c>
      <c r="T169">
        <v>1</v>
      </c>
      <c r="V169">
        <v>0</v>
      </c>
      <c r="X169">
        <v>0</v>
      </c>
      <c r="Z169">
        <v>1</v>
      </c>
    </row>
    <row r="170" spans="1:26" x14ac:dyDescent="0.3">
      <c r="A170" t="s">
        <v>210</v>
      </c>
      <c r="B170">
        <v>45726</v>
      </c>
      <c r="C170" t="s">
        <v>27</v>
      </c>
      <c r="D170" t="s">
        <v>33</v>
      </c>
      <c r="E170" t="s">
        <v>34</v>
      </c>
      <c r="F170" t="s">
        <v>51</v>
      </c>
      <c r="G170" t="s">
        <v>31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P170">
        <v>54.5</v>
      </c>
      <c r="R170">
        <v>0</v>
      </c>
      <c r="T170">
        <v>0</v>
      </c>
      <c r="V170">
        <v>0</v>
      </c>
      <c r="X170">
        <v>0</v>
      </c>
      <c r="Z170">
        <v>0</v>
      </c>
    </row>
    <row r="171" spans="1:26" x14ac:dyDescent="0.3">
      <c r="A171" t="s">
        <v>211</v>
      </c>
      <c r="B171">
        <v>45746</v>
      </c>
      <c r="C171" t="s">
        <v>27</v>
      </c>
      <c r="D171" t="s">
        <v>28</v>
      </c>
      <c r="E171" t="s">
        <v>34</v>
      </c>
      <c r="F171" t="s">
        <v>35</v>
      </c>
      <c r="G171" t="s">
        <v>36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P171">
        <v>71.099999999999994</v>
      </c>
      <c r="R171">
        <v>0</v>
      </c>
      <c r="T171">
        <v>1</v>
      </c>
      <c r="V171">
        <v>0</v>
      </c>
      <c r="X171">
        <v>0</v>
      </c>
      <c r="Z171">
        <v>0</v>
      </c>
    </row>
    <row r="172" spans="1:26" x14ac:dyDescent="0.3">
      <c r="A172" t="s">
        <v>212</v>
      </c>
      <c r="B172">
        <v>45806</v>
      </c>
      <c r="C172" t="s">
        <v>27</v>
      </c>
      <c r="D172" t="s">
        <v>38</v>
      </c>
      <c r="F172" t="s">
        <v>39</v>
      </c>
      <c r="G172" t="s">
        <v>36</v>
      </c>
      <c r="H172">
        <v>1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0</v>
      </c>
      <c r="P172">
        <v>44.4</v>
      </c>
      <c r="R172">
        <v>0</v>
      </c>
      <c r="T172">
        <v>1</v>
      </c>
      <c r="V172">
        <v>1</v>
      </c>
      <c r="X172">
        <v>1</v>
      </c>
      <c r="Z172">
        <v>0</v>
      </c>
    </row>
    <row r="173" spans="1:26" x14ac:dyDescent="0.3">
      <c r="A173" t="s">
        <v>213</v>
      </c>
      <c r="B173">
        <v>45739</v>
      </c>
      <c r="C173" t="s">
        <v>27</v>
      </c>
      <c r="D173" t="s">
        <v>28</v>
      </c>
      <c r="E173" t="s">
        <v>34</v>
      </c>
      <c r="F173" t="s">
        <v>35</v>
      </c>
      <c r="G173" t="s">
        <v>36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P173">
        <v>61.7</v>
      </c>
      <c r="R173">
        <v>0</v>
      </c>
      <c r="T173">
        <v>1</v>
      </c>
      <c r="V173">
        <v>0</v>
      </c>
      <c r="X173">
        <v>0</v>
      </c>
      <c r="Z173">
        <v>0</v>
      </c>
    </row>
    <row r="174" spans="1:26" x14ac:dyDescent="0.3">
      <c r="A174" t="s">
        <v>214</v>
      </c>
      <c r="B174">
        <v>45706</v>
      </c>
      <c r="C174" t="s">
        <v>27</v>
      </c>
      <c r="D174" t="s">
        <v>28</v>
      </c>
      <c r="E174" t="s">
        <v>44</v>
      </c>
      <c r="F174" t="s">
        <v>35</v>
      </c>
      <c r="G174" t="s">
        <v>31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P174">
        <v>81.3</v>
      </c>
      <c r="R174">
        <v>0</v>
      </c>
      <c r="T174">
        <v>0</v>
      </c>
      <c r="V174">
        <v>0</v>
      </c>
      <c r="X174">
        <v>0</v>
      </c>
      <c r="Z174">
        <v>1</v>
      </c>
    </row>
    <row r="175" spans="1:26" x14ac:dyDescent="0.3">
      <c r="A175" t="s">
        <v>215</v>
      </c>
      <c r="B175">
        <v>45683</v>
      </c>
      <c r="C175" t="s">
        <v>27</v>
      </c>
      <c r="D175" t="s">
        <v>28</v>
      </c>
      <c r="E175" t="s">
        <v>29</v>
      </c>
      <c r="F175" t="s">
        <v>30</v>
      </c>
      <c r="G175" t="s">
        <v>36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2</v>
      </c>
      <c r="N175">
        <v>0</v>
      </c>
      <c r="P175">
        <v>28.7</v>
      </c>
      <c r="R175">
        <v>0</v>
      </c>
      <c r="T175">
        <v>1</v>
      </c>
      <c r="V175">
        <v>0</v>
      </c>
      <c r="X175">
        <v>0</v>
      </c>
      <c r="Z175">
        <v>2</v>
      </c>
    </row>
    <row r="176" spans="1:26" x14ac:dyDescent="0.3">
      <c r="A176" t="s">
        <v>216</v>
      </c>
      <c r="B176">
        <v>45770</v>
      </c>
      <c r="C176" t="s">
        <v>27</v>
      </c>
      <c r="D176" t="s">
        <v>38</v>
      </c>
      <c r="E176" t="s">
        <v>34</v>
      </c>
      <c r="F176" t="s">
        <v>51</v>
      </c>
      <c r="G176" t="s">
        <v>31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P176">
        <v>53</v>
      </c>
      <c r="R176">
        <v>0</v>
      </c>
      <c r="T176">
        <v>0</v>
      </c>
      <c r="V176">
        <v>0</v>
      </c>
      <c r="X176">
        <v>0</v>
      </c>
      <c r="Z176">
        <v>0</v>
      </c>
    </row>
    <row r="177" spans="1:26" x14ac:dyDescent="0.3">
      <c r="A177" t="s">
        <v>217</v>
      </c>
      <c r="B177">
        <v>45732</v>
      </c>
      <c r="C177" t="s">
        <v>27</v>
      </c>
      <c r="D177" t="s">
        <v>42</v>
      </c>
      <c r="E177" t="s">
        <v>44</v>
      </c>
      <c r="F177" t="s">
        <v>49</v>
      </c>
      <c r="G177" t="s">
        <v>31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P177">
        <v>54.9</v>
      </c>
      <c r="R177">
        <v>0</v>
      </c>
      <c r="T177">
        <v>1</v>
      </c>
      <c r="V177">
        <v>0</v>
      </c>
      <c r="X177">
        <v>0</v>
      </c>
      <c r="Z177">
        <v>0</v>
      </c>
    </row>
    <row r="178" spans="1:26" x14ac:dyDescent="0.3">
      <c r="A178" t="s">
        <v>218</v>
      </c>
      <c r="B178">
        <v>45776</v>
      </c>
      <c r="C178" t="s">
        <v>27</v>
      </c>
      <c r="D178" t="s">
        <v>33</v>
      </c>
      <c r="E178" t="s">
        <v>34</v>
      </c>
      <c r="F178" t="s">
        <v>35</v>
      </c>
      <c r="G178" t="s">
        <v>31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P178">
        <v>58.2</v>
      </c>
      <c r="R178">
        <v>0</v>
      </c>
      <c r="T178">
        <v>1</v>
      </c>
      <c r="V178">
        <v>0</v>
      </c>
      <c r="X178">
        <v>0</v>
      </c>
      <c r="Z178">
        <v>0</v>
      </c>
    </row>
    <row r="179" spans="1:26" x14ac:dyDescent="0.3">
      <c r="A179" t="s">
        <v>219</v>
      </c>
      <c r="B179">
        <v>45753</v>
      </c>
      <c r="C179" t="s">
        <v>27</v>
      </c>
      <c r="D179" t="s">
        <v>28</v>
      </c>
      <c r="E179" t="s">
        <v>34</v>
      </c>
      <c r="F179" t="s">
        <v>35</v>
      </c>
      <c r="G179" t="s">
        <v>36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P179">
        <v>80.599999999999994</v>
      </c>
      <c r="R179">
        <v>0</v>
      </c>
      <c r="T179">
        <v>0</v>
      </c>
      <c r="V179">
        <v>0</v>
      </c>
      <c r="X179">
        <v>0</v>
      </c>
      <c r="Z179">
        <v>0</v>
      </c>
    </row>
    <row r="180" spans="1:26" x14ac:dyDescent="0.3">
      <c r="A180" t="s">
        <v>220</v>
      </c>
      <c r="B180">
        <v>45764</v>
      </c>
      <c r="C180" t="s">
        <v>27</v>
      </c>
      <c r="D180" t="s">
        <v>28</v>
      </c>
      <c r="E180" t="s">
        <v>29</v>
      </c>
      <c r="F180" t="s">
        <v>49</v>
      </c>
      <c r="G180" t="s">
        <v>40</v>
      </c>
      <c r="H180">
        <v>1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0</v>
      </c>
      <c r="P180">
        <v>38.4</v>
      </c>
      <c r="R180">
        <v>0</v>
      </c>
      <c r="T180">
        <v>1</v>
      </c>
      <c r="V180">
        <v>1</v>
      </c>
      <c r="X180">
        <v>1</v>
      </c>
      <c r="Z180">
        <v>0</v>
      </c>
    </row>
    <row r="181" spans="1:26" x14ac:dyDescent="0.3">
      <c r="A181" t="s">
        <v>221</v>
      </c>
      <c r="B181">
        <v>45750</v>
      </c>
      <c r="C181" t="s">
        <v>27</v>
      </c>
      <c r="D181" t="s">
        <v>42</v>
      </c>
      <c r="E181" t="s">
        <v>34</v>
      </c>
      <c r="F181" t="s">
        <v>39</v>
      </c>
      <c r="G181" t="s">
        <v>36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P181">
        <v>56.1</v>
      </c>
      <c r="R181">
        <v>0</v>
      </c>
      <c r="T181">
        <v>1</v>
      </c>
      <c r="V181">
        <v>0</v>
      </c>
      <c r="X181">
        <v>0</v>
      </c>
      <c r="Z181">
        <v>0</v>
      </c>
    </row>
    <row r="182" spans="1:26" x14ac:dyDescent="0.3">
      <c r="A182" t="s">
        <v>222</v>
      </c>
      <c r="B182">
        <v>45772</v>
      </c>
      <c r="C182" t="s">
        <v>27</v>
      </c>
      <c r="D182" t="s">
        <v>33</v>
      </c>
      <c r="E182" t="s">
        <v>34</v>
      </c>
      <c r="F182" t="s">
        <v>39</v>
      </c>
      <c r="G182" t="s">
        <v>36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P182">
        <v>62.6</v>
      </c>
      <c r="R182">
        <v>0</v>
      </c>
      <c r="T182">
        <v>0</v>
      </c>
      <c r="V182">
        <v>0</v>
      </c>
      <c r="X182">
        <v>0</v>
      </c>
      <c r="Z182">
        <v>0</v>
      </c>
    </row>
    <row r="183" spans="1:26" x14ac:dyDescent="0.3">
      <c r="A183" t="s">
        <v>223</v>
      </c>
      <c r="B183">
        <v>45777</v>
      </c>
      <c r="C183" t="s">
        <v>27</v>
      </c>
      <c r="D183" t="s">
        <v>42</v>
      </c>
      <c r="E183" t="s">
        <v>34</v>
      </c>
      <c r="F183" t="s">
        <v>35</v>
      </c>
      <c r="G183" t="s">
        <v>40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P183">
        <v>36.299999999999997</v>
      </c>
      <c r="R183">
        <v>0</v>
      </c>
      <c r="T183">
        <v>0</v>
      </c>
      <c r="V183">
        <v>0</v>
      </c>
      <c r="X183">
        <v>0</v>
      </c>
      <c r="Z183">
        <v>0</v>
      </c>
    </row>
    <row r="184" spans="1:26" x14ac:dyDescent="0.3">
      <c r="A184" t="s">
        <v>224</v>
      </c>
      <c r="B184">
        <v>45728</v>
      </c>
      <c r="C184" t="s">
        <v>27</v>
      </c>
      <c r="D184" t="s">
        <v>42</v>
      </c>
      <c r="E184" t="s">
        <v>34</v>
      </c>
      <c r="F184" t="s">
        <v>39</v>
      </c>
      <c r="G184" t="s">
        <v>36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P184">
        <v>52.1</v>
      </c>
      <c r="R184">
        <v>0</v>
      </c>
      <c r="T184">
        <v>1</v>
      </c>
      <c r="V184">
        <v>0</v>
      </c>
      <c r="X184">
        <v>0</v>
      </c>
      <c r="Z184">
        <v>0</v>
      </c>
    </row>
    <row r="185" spans="1:26" x14ac:dyDescent="0.3">
      <c r="A185" t="s">
        <v>225</v>
      </c>
      <c r="B185">
        <v>45781</v>
      </c>
      <c r="C185" t="s">
        <v>27</v>
      </c>
      <c r="D185" t="s">
        <v>42</v>
      </c>
      <c r="E185" t="s">
        <v>34</v>
      </c>
      <c r="F185" t="s">
        <v>35</v>
      </c>
      <c r="G185" t="s">
        <v>36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P185">
        <v>45.1</v>
      </c>
      <c r="R185">
        <v>0</v>
      </c>
      <c r="T185">
        <v>1</v>
      </c>
      <c r="V185">
        <v>0</v>
      </c>
      <c r="X185">
        <v>0</v>
      </c>
      <c r="Z185">
        <v>0</v>
      </c>
    </row>
    <row r="186" spans="1:26" x14ac:dyDescent="0.3">
      <c r="A186" t="s">
        <v>226</v>
      </c>
      <c r="B186">
        <v>45695</v>
      </c>
      <c r="C186" t="s">
        <v>27</v>
      </c>
      <c r="D186" t="s">
        <v>42</v>
      </c>
      <c r="E186" t="s">
        <v>44</v>
      </c>
      <c r="F186" t="s">
        <v>39</v>
      </c>
      <c r="G186" t="s">
        <v>40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P186">
        <v>67.5</v>
      </c>
      <c r="R186">
        <v>0</v>
      </c>
      <c r="T186">
        <v>0</v>
      </c>
      <c r="V186">
        <v>0</v>
      </c>
      <c r="X186">
        <v>0</v>
      </c>
      <c r="Z186">
        <v>0</v>
      </c>
    </row>
    <row r="187" spans="1:26" x14ac:dyDescent="0.3">
      <c r="A187" t="s">
        <v>227</v>
      </c>
      <c r="B187">
        <v>45775</v>
      </c>
      <c r="C187" t="s">
        <v>27</v>
      </c>
      <c r="D187" t="s">
        <v>38</v>
      </c>
      <c r="E187" t="s">
        <v>44</v>
      </c>
      <c r="F187" t="s">
        <v>30</v>
      </c>
      <c r="G187" t="s">
        <v>31</v>
      </c>
      <c r="H187">
        <v>1</v>
      </c>
      <c r="I187">
        <v>1</v>
      </c>
      <c r="J187">
        <v>1</v>
      </c>
      <c r="K187">
        <v>0</v>
      </c>
      <c r="L187">
        <v>0</v>
      </c>
      <c r="M187">
        <v>0</v>
      </c>
      <c r="N187">
        <v>0</v>
      </c>
      <c r="P187">
        <v>80</v>
      </c>
      <c r="R187">
        <v>0</v>
      </c>
      <c r="T187">
        <v>1</v>
      </c>
      <c r="V187">
        <v>1</v>
      </c>
      <c r="X187">
        <v>1</v>
      </c>
      <c r="Z187">
        <v>0</v>
      </c>
    </row>
    <row r="188" spans="1:26" x14ac:dyDescent="0.3">
      <c r="A188" t="s">
        <v>228</v>
      </c>
      <c r="B188">
        <v>45792</v>
      </c>
      <c r="C188" t="s">
        <v>27</v>
      </c>
      <c r="D188" t="s">
        <v>38</v>
      </c>
      <c r="E188" t="s">
        <v>29</v>
      </c>
      <c r="F188" t="s">
        <v>49</v>
      </c>
      <c r="G188" t="s">
        <v>36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P188">
        <v>56.4</v>
      </c>
      <c r="R188">
        <v>0</v>
      </c>
      <c r="T188">
        <v>0</v>
      </c>
      <c r="V188">
        <v>0</v>
      </c>
      <c r="X188">
        <v>0</v>
      </c>
      <c r="Z188">
        <v>0</v>
      </c>
    </row>
    <row r="189" spans="1:26" x14ac:dyDescent="0.3">
      <c r="A189" t="s">
        <v>229</v>
      </c>
      <c r="B189">
        <v>45675</v>
      </c>
      <c r="C189" t="s">
        <v>27</v>
      </c>
      <c r="D189" t="s">
        <v>33</v>
      </c>
      <c r="E189" t="s">
        <v>34</v>
      </c>
      <c r="F189" t="s">
        <v>39</v>
      </c>
      <c r="G189" t="s">
        <v>31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P189">
        <v>55.4</v>
      </c>
      <c r="R189">
        <v>0</v>
      </c>
      <c r="T189">
        <v>0</v>
      </c>
      <c r="V189">
        <v>0</v>
      </c>
      <c r="X189">
        <v>0</v>
      </c>
      <c r="Z189">
        <v>0</v>
      </c>
    </row>
    <row r="190" spans="1:26" x14ac:dyDescent="0.3">
      <c r="A190" t="s">
        <v>230</v>
      </c>
      <c r="B190">
        <v>45703</v>
      </c>
      <c r="C190" t="s">
        <v>27</v>
      </c>
      <c r="D190" t="s">
        <v>42</v>
      </c>
      <c r="E190" t="s">
        <v>34</v>
      </c>
      <c r="F190" t="s">
        <v>51</v>
      </c>
      <c r="G190" t="s">
        <v>31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P190">
        <v>67.900000000000006</v>
      </c>
      <c r="R190">
        <v>0</v>
      </c>
      <c r="T190">
        <v>1</v>
      </c>
      <c r="V190">
        <v>0</v>
      </c>
      <c r="X190">
        <v>0</v>
      </c>
      <c r="Z190">
        <v>0</v>
      </c>
    </row>
    <row r="191" spans="1:26" x14ac:dyDescent="0.3">
      <c r="A191" t="s">
        <v>231</v>
      </c>
      <c r="B191">
        <v>45706</v>
      </c>
      <c r="C191" t="s">
        <v>27</v>
      </c>
      <c r="D191" t="s">
        <v>28</v>
      </c>
      <c r="E191" t="s">
        <v>44</v>
      </c>
      <c r="F191" t="s">
        <v>30</v>
      </c>
      <c r="G191" t="s">
        <v>36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P191">
        <v>62.5</v>
      </c>
      <c r="R191">
        <v>0</v>
      </c>
      <c r="T191">
        <v>1</v>
      </c>
      <c r="V191">
        <v>0</v>
      </c>
      <c r="X191">
        <v>0</v>
      </c>
      <c r="Z191">
        <v>0</v>
      </c>
    </row>
    <row r="192" spans="1:26" x14ac:dyDescent="0.3">
      <c r="A192" t="s">
        <v>232</v>
      </c>
      <c r="B192">
        <v>45687</v>
      </c>
      <c r="C192" t="s">
        <v>27</v>
      </c>
      <c r="D192" t="s">
        <v>42</v>
      </c>
      <c r="E192" t="s">
        <v>29</v>
      </c>
      <c r="F192" t="s">
        <v>30</v>
      </c>
      <c r="G192" t="s">
        <v>31</v>
      </c>
      <c r="H192">
        <v>1</v>
      </c>
      <c r="I192">
        <v>1</v>
      </c>
      <c r="J192">
        <v>1</v>
      </c>
      <c r="K192">
        <v>0</v>
      </c>
      <c r="L192">
        <v>0</v>
      </c>
      <c r="M192">
        <v>0</v>
      </c>
      <c r="N192">
        <v>0</v>
      </c>
      <c r="P192">
        <v>54.3</v>
      </c>
      <c r="R192">
        <v>0</v>
      </c>
      <c r="T192">
        <v>1</v>
      </c>
      <c r="V192">
        <v>1</v>
      </c>
      <c r="X192">
        <v>1</v>
      </c>
      <c r="Z192">
        <v>0</v>
      </c>
    </row>
    <row r="193" spans="1:26" x14ac:dyDescent="0.3">
      <c r="A193" t="s">
        <v>233</v>
      </c>
      <c r="B193">
        <v>45697</v>
      </c>
      <c r="C193" t="s">
        <v>27</v>
      </c>
      <c r="D193" t="s">
        <v>42</v>
      </c>
      <c r="E193" t="s">
        <v>29</v>
      </c>
      <c r="F193" t="s">
        <v>35</v>
      </c>
      <c r="G193" t="s">
        <v>31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P193">
        <v>37.5</v>
      </c>
      <c r="R193">
        <v>0</v>
      </c>
      <c r="T193">
        <v>1</v>
      </c>
      <c r="V193">
        <v>0</v>
      </c>
      <c r="X193">
        <v>0</v>
      </c>
      <c r="Z193">
        <v>0</v>
      </c>
    </row>
    <row r="194" spans="1:26" x14ac:dyDescent="0.3">
      <c r="A194" t="s">
        <v>234</v>
      </c>
      <c r="B194">
        <v>45732</v>
      </c>
      <c r="C194" t="s">
        <v>27</v>
      </c>
      <c r="D194" t="s">
        <v>33</v>
      </c>
      <c r="E194" t="s">
        <v>34</v>
      </c>
      <c r="F194" t="s">
        <v>39</v>
      </c>
      <c r="G194" t="s">
        <v>31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P194">
        <v>52.6</v>
      </c>
      <c r="R194">
        <v>0</v>
      </c>
      <c r="T194">
        <v>1</v>
      </c>
      <c r="V194">
        <v>0</v>
      </c>
      <c r="X194">
        <v>0</v>
      </c>
      <c r="Z194">
        <v>0</v>
      </c>
    </row>
    <row r="195" spans="1:26" x14ac:dyDescent="0.3">
      <c r="A195" t="s">
        <v>235</v>
      </c>
      <c r="B195">
        <v>45796</v>
      </c>
      <c r="C195" t="s">
        <v>27</v>
      </c>
      <c r="D195" t="s">
        <v>28</v>
      </c>
      <c r="E195" t="s">
        <v>34</v>
      </c>
      <c r="F195" t="s">
        <v>39</v>
      </c>
      <c r="G195" t="s">
        <v>36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P195">
        <v>46.1</v>
      </c>
      <c r="R195">
        <v>0</v>
      </c>
      <c r="T195">
        <v>1</v>
      </c>
      <c r="V195">
        <v>0</v>
      </c>
      <c r="X195">
        <v>0</v>
      </c>
      <c r="Z195">
        <v>0</v>
      </c>
    </row>
    <row r="196" spans="1:26" x14ac:dyDescent="0.3">
      <c r="A196" t="s">
        <v>236</v>
      </c>
      <c r="B196">
        <v>45793</v>
      </c>
      <c r="C196" t="s">
        <v>27</v>
      </c>
      <c r="D196" t="s">
        <v>42</v>
      </c>
      <c r="E196" t="s">
        <v>29</v>
      </c>
      <c r="F196" t="s">
        <v>35</v>
      </c>
      <c r="G196" t="s">
        <v>31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P196">
        <v>54.7</v>
      </c>
      <c r="R196">
        <v>0</v>
      </c>
      <c r="T196">
        <v>1</v>
      </c>
      <c r="V196">
        <v>0</v>
      </c>
      <c r="X196">
        <v>0</v>
      </c>
      <c r="Z196">
        <v>0</v>
      </c>
    </row>
    <row r="197" spans="1:26" x14ac:dyDescent="0.3">
      <c r="A197" t="s">
        <v>237</v>
      </c>
      <c r="B197">
        <v>45772</v>
      </c>
      <c r="C197" t="s">
        <v>27</v>
      </c>
      <c r="D197" t="s">
        <v>33</v>
      </c>
      <c r="E197" t="s">
        <v>29</v>
      </c>
      <c r="F197" t="s">
        <v>49</v>
      </c>
      <c r="G197" t="s">
        <v>31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P197">
        <v>74.2</v>
      </c>
      <c r="R197">
        <v>0</v>
      </c>
      <c r="T197">
        <v>0</v>
      </c>
      <c r="V197">
        <v>0</v>
      </c>
      <c r="X197">
        <v>0</v>
      </c>
      <c r="Z197">
        <v>0</v>
      </c>
    </row>
    <row r="198" spans="1:26" x14ac:dyDescent="0.3">
      <c r="A198" t="s">
        <v>238</v>
      </c>
      <c r="B198">
        <v>45715</v>
      </c>
      <c r="C198" t="s">
        <v>27</v>
      </c>
      <c r="D198" t="s">
        <v>28</v>
      </c>
      <c r="E198" t="s">
        <v>34</v>
      </c>
      <c r="F198" t="s">
        <v>51</v>
      </c>
      <c r="G198" t="s">
        <v>31</v>
      </c>
      <c r="H198">
        <v>1</v>
      </c>
      <c r="I198">
        <v>1</v>
      </c>
      <c r="J198">
        <v>1</v>
      </c>
      <c r="K198">
        <v>1</v>
      </c>
      <c r="L198">
        <v>1052.8</v>
      </c>
      <c r="M198">
        <v>2</v>
      </c>
      <c r="N198">
        <v>0</v>
      </c>
      <c r="O198">
        <v>6</v>
      </c>
      <c r="P198">
        <v>64.7</v>
      </c>
      <c r="R198">
        <v>1</v>
      </c>
      <c r="T198">
        <v>1</v>
      </c>
      <c r="V198">
        <v>1</v>
      </c>
      <c r="X198">
        <v>1</v>
      </c>
      <c r="Z198">
        <v>2</v>
      </c>
    </row>
    <row r="199" spans="1:26" x14ac:dyDescent="0.3">
      <c r="A199" t="s">
        <v>239</v>
      </c>
      <c r="B199">
        <v>45773</v>
      </c>
      <c r="C199" t="s">
        <v>27</v>
      </c>
      <c r="D199" t="s">
        <v>42</v>
      </c>
      <c r="E199" t="s">
        <v>34</v>
      </c>
      <c r="F199" t="s">
        <v>39</v>
      </c>
      <c r="G199" t="s">
        <v>31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P199">
        <v>65.900000000000006</v>
      </c>
      <c r="R199">
        <v>0</v>
      </c>
      <c r="T199">
        <v>0</v>
      </c>
      <c r="V199">
        <v>0</v>
      </c>
      <c r="X199">
        <v>0</v>
      </c>
      <c r="Z199">
        <v>0</v>
      </c>
    </row>
    <row r="200" spans="1:26" x14ac:dyDescent="0.3">
      <c r="A200" t="s">
        <v>240</v>
      </c>
      <c r="B200">
        <v>45791</v>
      </c>
      <c r="C200" t="s">
        <v>27</v>
      </c>
      <c r="D200" t="s">
        <v>28</v>
      </c>
      <c r="E200" t="s">
        <v>34</v>
      </c>
      <c r="F200" t="s">
        <v>35</v>
      </c>
      <c r="G200" t="s">
        <v>31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P200">
        <v>64</v>
      </c>
      <c r="R200">
        <v>0</v>
      </c>
      <c r="T200">
        <v>1</v>
      </c>
      <c r="V200">
        <v>0</v>
      </c>
      <c r="X200">
        <v>0</v>
      </c>
      <c r="Z200">
        <v>0</v>
      </c>
    </row>
    <row r="201" spans="1:26" x14ac:dyDescent="0.3">
      <c r="A201" t="s">
        <v>241</v>
      </c>
      <c r="B201">
        <v>45721</v>
      </c>
      <c r="C201" t="s">
        <v>27</v>
      </c>
      <c r="D201" t="s">
        <v>28</v>
      </c>
      <c r="E201" t="s">
        <v>34</v>
      </c>
      <c r="F201" t="s">
        <v>35</v>
      </c>
      <c r="G201" t="s">
        <v>40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P201">
        <v>57.2</v>
      </c>
      <c r="R201">
        <v>0</v>
      </c>
      <c r="T201">
        <v>1</v>
      </c>
      <c r="V201">
        <v>0</v>
      </c>
      <c r="X201">
        <v>0</v>
      </c>
      <c r="Z201">
        <v>0</v>
      </c>
    </row>
    <row r="202" spans="1:26" x14ac:dyDescent="0.3">
      <c r="A202" t="s">
        <v>242</v>
      </c>
      <c r="B202">
        <v>45749</v>
      </c>
      <c r="C202" t="s">
        <v>27</v>
      </c>
      <c r="D202" t="s">
        <v>33</v>
      </c>
      <c r="E202" t="s">
        <v>29</v>
      </c>
      <c r="F202" t="s">
        <v>35</v>
      </c>
      <c r="G202" t="s">
        <v>36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P202">
        <v>80.5</v>
      </c>
      <c r="R202">
        <v>0</v>
      </c>
      <c r="T202">
        <v>1</v>
      </c>
      <c r="V202">
        <v>0</v>
      </c>
      <c r="X202">
        <v>0</v>
      </c>
      <c r="Z202">
        <v>0</v>
      </c>
    </row>
    <row r="203" spans="1:26" x14ac:dyDescent="0.3">
      <c r="A203" t="s">
        <v>243</v>
      </c>
      <c r="B203">
        <v>45791</v>
      </c>
      <c r="C203" t="s">
        <v>27</v>
      </c>
      <c r="D203" t="s">
        <v>42</v>
      </c>
      <c r="E203" t="s">
        <v>44</v>
      </c>
      <c r="F203" t="s">
        <v>35</v>
      </c>
      <c r="G203" t="s">
        <v>36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P203">
        <v>53.9</v>
      </c>
      <c r="R203">
        <v>0</v>
      </c>
      <c r="T203">
        <v>0</v>
      </c>
      <c r="V203">
        <v>0</v>
      </c>
      <c r="X203">
        <v>0</v>
      </c>
      <c r="Z203">
        <v>0</v>
      </c>
    </row>
    <row r="204" spans="1:26" x14ac:dyDescent="0.3">
      <c r="A204" t="s">
        <v>244</v>
      </c>
      <c r="B204">
        <v>45798</v>
      </c>
      <c r="C204" t="s">
        <v>27</v>
      </c>
      <c r="D204" t="s">
        <v>28</v>
      </c>
      <c r="E204" t="s">
        <v>34</v>
      </c>
      <c r="F204" t="s">
        <v>39</v>
      </c>
      <c r="G204" t="s">
        <v>36</v>
      </c>
      <c r="H204">
        <v>1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P204">
        <v>77.5</v>
      </c>
      <c r="R204">
        <v>0</v>
      </c>
      <c r="T204">
        <v>1</v>
      </c>
      <c r="V204">
        <v>1</v>
      </c>
      <c r="X204">
        <v>0</v>
      </c>
      <c r="Z204">
        <v>0</v>
      </c>
    </row>
    <row r="205" spans="1:26" x14ac:dyDescent="0.3">
      <c r="A205" t="s">
        <v>245</v>
      </c>
      <c r="B205">
        <v>45684</v>
      </c>
      <c r="C205" t="s">
        <v>27</v>
      </c>
      <c r="D205" t="s">
        <v>38</v>
      </c>
      <c r="E205" t="s">
        <v>34</v>
      </c>
      <c r="F205" t="s">
        <v>51</v>
      </c>
      <c r="G205" t="s">
        <v>31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P205">
        <v>84.2</v>
      </c>
      <c r="R205">
        <v>0</v>
      </c>
      <c r="T205">
        <v>0</v>
      </c>
      <c r="V205">
        <v>0</v>
      </c>
      <c r="X205">
        <v>0</v>
      </c>
      <c r="Z205">
        <v>0</v>
      </c>
    </row>
    <row r="206" spans="1:26" x14ac:dyDescent="0.3">
      <c r="A206" t="s">
        <v>246</v>
      </c>
      <c r="B206">
        <v>45799</v>
      </c>
      <c r="C206" t="s">
        <v>27</v>
      </c>
      <c r="D206" t="s">
        <v>33</v>
      </c>
      <c r="E206" t="s">
        <v>29</v>
      </c>
      <c r="F206" t="s">
        <v>35</v>
      </c>
      <c r="G206" t="s">
        <v>36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P206">
        <v>54.9</v>
      </c>
      <c r="R206">
        <v>0</v>
      </c>
      <c r="T206">
        <v>1</v>
      </c>
      <c r="V206">
        <v>1</v>
      </c>
      <c r="X206">
        <v>0</v>
      </c>
      <c r="Z206">
        <v>0</v>
      </c>
    </row>
    <row r="207" spans="1:26" x14ac:dyDescent="0.3">
      <c r="A207" t="s">
        <v>247</v>
      </c>
      <c r="B207">
        <v>45796</v>
      </c>
      <c r="C207" t="s">
        <v>27</v>
      </c>
      <c r="D207" t="s">
        <v>42</v>
      </c>
      <c r="E207" t="s">
        <v>34</v>
      </c>
      <c r="F207" t="s">
        <v>39</v>
      </c>
      <c r="G207" t="s">
        <v>36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P207">
        <v>69.3</v>
      </c>
      <c r="R207">
        <v>0</v>
      </c>
      <c r="T207">
        <v>0</v>
      </c>
      <c r="V207">
        <v>0</v>
      </c>
      <c r="X207">
        <v>0</v>
      </c>
      <c r="Z207">
        <v>0</v>
      </c>
    </row>
    <row r="208" spans="1:26" x14ac:dyDescent="0.3">
      <c r="A208" t="s">
        <v>248</v>
      </c>
      <c r="B208">
        <v>45671</v>
      </c>
      <c r="C208" t="s">
        <v>27</v>
      </c>
      <c r="D208" t="s">
        <v>42</v>
      </c>
      <c r="E208" t="s">
        <v>29</v>
      </c>
      <c r="F208" t="s">
        <v>39</v>
      </c>
      <c r="G208" t="s">
        <v>36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2</v>
      </c>
      <c r="N208">
        <v>0</v>
      </c>
      <c r="P208">
        <v>42.3</v>
      </c>
      <c r="R208">
        <v>0</v>
      </c>
      <c r="T208">
        <v>1</v>
      </c>
      <c r="V208">
        <v>0</v>
      </c>
      <c r="X208">
        <v>0</v>
      </c>
      <c r="Z208">
        <v>2</v>
      </c>
    </row>
    <row r="209" spans="1:26" x14ac:dyDescent="0.3">
      <c r="A209" t="s">
        <v>249</v>
      </c>
      <c r="B209">
        <v>45678</v>
      </c>
      <c r="C209" t="s">
        <v>27</v>
      </c>
      <c r="D209" t="s">
        <v>28</v>
      </c>
      <c r="E209" t="s">
        <v>29</v>
      </c>
      <c r="F209" t="s">
        <v>49</v>
      </c>
      <c r="G209" t="s">
        <v>40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P209">
        <v>69.599999999999994</v>
      </c>
      <c r="R209">
        <v>0</v>
      </c>
      <c r="T209">
        <v>1</v>
      </c>
      <c r="V209">
        <v>0</v>
      </c>
      <c r="X209">
        <v>0</v>
      </c>
      <c r="Z209">
        <v>1</v>
      </c>
    </row>
    <row r="210" spans="1:26" x14ac:dyDescent="0.3">
      <c r="A210" t="s">
        <v>250</v>
      </c>
      <c r="B210">
        <v>45793</v>
      </c>
      <c r="C210" t="s">
        <v>27</v>
      </c>
      <c r="D210" t="s">
        <v>38</v>
      </c>
      <c r="E210" t="s">
        <v>34</v>
      </c>
      <c r="F210" t="s">
        <v>35</v>
      </c>
      <c r="G210" t="s">
        <v>36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P210">
        <v>40.700000000000003</v>
      </c>
      <c r="R210">
        <v>0</v>
      </c>
      <c r="T210">
        <v>0</v>
      </c>
      <c r="V210">
        <v>0</v>
      </c>
      <c r="X210">
        <v>0</v>
      </c>
      <c r="Z210">
        <v>0</v>
      </c>
    </row>
    <row r="211" spans="1:26" x14ac:dyDescent="0.3">
      <c r="A211" t="s">
        <v>251</v>
      </c>
      <c r="B211">
        <v>45690</v>
      </c>
      <c r="C211" t="s">
        <v>27</v>
      </c>
      <c r="D211" t="s">
        <v>28</v>
      </c>
      <c r="E211" t="s">
        <v>34</v>
      </c>
      <c r="F211" t="s">
        <v>30</v>
      </c>
      <c r="G211" t="s">
        <v>36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P211">
        <v>54</v>
      </c>
      <c r="R211">
        <v>0</v>
      </c>
      <c r="T211">
        <v>1</v>
      </c>
      <c r="V211">
        <v>0</v>
      </c>
      <c r="X211">
        <v>0</v>
      </c>
      <c r="Z211">
        <v>0</v>
      </c>
    </row>
    <row r="212" spans="1:26" x14ac:dyDescent="0.3">
      <c r="A212" t="s">
        <v>252</v>
      </c>
      <c r="B212">
        <v>45739</v>
      </c>
      <c r="C212" t="s">
        <v>27</v>
      </c>
      <c r="D212" t="s">
        <v>38</v>
      </c>
      <c r="F212" t="s">
        <v>49</v>
      </c>
      <c r="G212" t="s">
        <v>36</v>
      </c>
      <c r="H212">
        <v>1</v>
      </c>
      <c r="I212">
        <v>1</v>
      </c>
      <c r="J212">
        <v>1</v>
      </c>
      <c r="K212">
        <v>1</v>
      </c>
      <c r="L212">
        <v>553.37</v>
      </c>
      <c r="M212">
        <v>0</v>
      </c>
      <c r="N212">
        <v>0</v>
      </c>
      <c r="O212">
        <v>5</v>
      </c>
      <c r="P212">
        <v>46.3</v>
      </c>
      <c r="R212">
        <v>1</v>
      </c>
      <c r="T212">
        <v>1</v>
      </c>
      <c r="V212">
        <v>1</v>
      </c>
      <c r="X212">
        <v>1</v>
      </c>
      <c r="Z212">
        <v>0</v>
      </c>
    </row>
    <row r="213" spans="1:26" x14ac:dyDescent="0.3">
      <c r="A213" t="s">
        <v>253</v>
      </c>
      <c r="B213">
        <v>45681</v>
      </c>
      <c r="C213" t="s">
        <v>27</v>
      </c>
      <c r="D213" t="s">
        <v>38</v>
      </c>
      <c r="E213" t="s">
        <v>34</v>
      </c>
      <c r="F213" t="s">
        <v>35</v>
      </c>
      <c r="G213" t="s">
        <v>36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P213">
        <v>64.2</v>
      </c>
      <c r="R213">
        <v>0</v>
      </c>
      <c r="T213">
        <v>1</v>
      </c>
      <c r="V213">
        <v>0</v>
      </c>
      <c r="X213">
        <v>0</v>
      </c>
      <c r="Z213">
        <v>0</v>
      </c>
    </row>
    <row r="214" spans="1:26" x14ac:dyDescent="0.3">
      <c r="A214" t="s">
        <v>254</v>
      </c>
      <c r="B214">
        <v>45759</v>
      </c>
      <c r="C214" t="s">
        <v>27</v>
      </c>
      <c r="D214" t="s">
        <v>28</v>
      </c>
      <c r="E214" t="s">
        <v>29</v>
      </c>
      <c r="F214" t="s">
        <v>35</v>
      </c>
      <c r="G214" t="s">
        <v>36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P214">
        <v>75.2</v>
      </c>
      <c r="R214">
        <v>0</v>
      </c>
      <c r="T214">
        <v>1</v>
      </c>
      <c r="V214">
        <v>0</v>
      </c>
      <c r="X214">
        <v>0</v>
      </c>
      <c r="Z214">
        <v>0</v>
      </c>
    </row>
    <row r="215" spans="1:26" x14ac:dyDescent="0.3">
      <c r="A215" t="s">
        <v>255</v>
      </c>
      <c r="B215">
        <v>45706</v>
      </c>
      <c r="C215" t="s">
        <v>27</v>
      </c>
      <c r="D215" t="s">
        <v>38</v>
      </c>
      <c r="E215" t="s">
        <v>29</v>
      </c>
      <c r="F215" t="s">
        <v>39</v>
      </c>
      <c r="G215" t="s">
        <v>36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P215">
        <v>60.9</v>
      </c>
      <c r="R215">
        <v>0</v>
      </c>
      <c r="T215">
        <v>1</v>
      </c>
      <c r="V215">
        <v>1</v>
      </c>
      <c r="X215">
        <v>0</v>
      </c>
      <c r="Z215">
        <v>0</v>
      </c>
    </row>
    <row r="216" spans="1:26" x14ac:dyDescent="0.3">
      <c r="A216" t="s">
        <v>256</v>
      </c>
      <c r="B216">
        <v>45805</v>
      </c>
      <c r="C216" t="s">
        <v>27</v>
      </c>
      <c r="D216" t="s">
        <v>42</v>
      </c>
      <c r="E216" t="s">
        <v>34</v>
      </c>
      <c r="F216" t="s">
        <v>30</v>
      </c>
      <c r="G216" t="s">
        <v>31</v>
      </c>
      <c r="H216">
        <v>1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0</v>
      </c>
      <c r="P216">
        <v>62.1</v>
      </c>
      <c r="R216">
        <v>0</v>
      </c>
      <c r="T216">
        <v>1</v>
      </c>
      <c r="V216">
        <v>1</v>
      </c>
      <c r="X216">
        <v>1</v>
      </c>
      <c r="Z216">
        <v>0</v>
      </c>
    </row>
    <row r="217" spans="1:26" x14ac:dyDescent="0.3">
      <c r="A217" t="s">
        <v>257</v>
      </c>
      <c r="B217">
        <v>45765</v>
      </c>
      <c r="C217" t="s">
        <v>27</v>
      </c>
      <c r="D217" t="s">
        <v>42</v>
      </c>
      <c r="E217" t="s">
        <v>34</v>
      </c>
      <c r="F217" t="s">
        <v>51</v>
      </c>
      <c r="G217" t="s">
        <v>31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P217">
        <v>45.4</v>
      </c>
      <c r="R217">
        <v>0</v>
      </c>
      <c r="T217">
        <v>0</v>
      </c>
      <c r="V217">
        <v>0</v>
      </c>
      <c r="X217">
        <v>0</v>
      </c>
      <c r="Z217">
        <v>0</v>
      </c>
    </row>
    <row r="218" spans="1:26" x14ac:dyDescent="0.3">
      <c r="A218" t="s">
        <v>258</v>
      </c>
      <c r="B218">
        <v>45743</v>
      </c>
      <c r="C218" t="s">
        <v>27</v>
      </c>
      <c r="D218" t="s">
        <v>28</v>
      </c>
      <c r="E218" t="s">
        <v>34</v>
      </c>
      <c r="F218" t="s">
        <v>39</v>
      </c>
      <c r="G218" t="s">
        <v>31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P218">
        <v>53.3</v>
      </c>
      <c r="R218">
        <v>0</v>
      </c>
      <c r="T218">
        <v>1</v>
      </c>
      <c r="V218">
        <v>0</v>
      </c>
      <c r="X218">
        <v>0</v>
      </c>
      <c r="Z218">
        <v>0</v>
      </c>
    </row>
    <row r="219" spans="1:26" x14ac:dyDescent="0.3">
      <c r="A219" t="s">
        <v>259</v>
      </c>
      <c r="B219">
        <v>45713</v>
      </c>
      <c r="C219" t="s">
        <v>27</v>
      </c>
      <c r="D219" t="s">
        <v>28</v>
      </c>
      <c r="E219" t="s">
        <v>44</v>
      </c>
      <c r="F219" t="s">
        <v>51</v>
      </c>
      <c r="G219" t="s">
        <v>36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R219">
        <v>0</v>
      </c>
      <c r="T219">
        <v>1</v>
      </c>
      <c r="V219">
        <v>0</v>
      </c>
      <c r="X219">
        <v>0</v>
      </c>
      <c r="Z219">
        <v>0</v>
      </c>
    </row>
    <row r="220" spans="1:26" x14ac:dyDescent="0.3">
      <c r="A220" t="s">
        <v>260</v>
      </c>
      <c r="B220">
        <v>45707</v>
      </c>
      <c r="C220" t="s">
        <v>27</v>
      </c>
      <c r="D220" t="s">
        <v>38</v>
      </c>
      <c r="E220" t="s">
        <v>34</v>
      </c>
      <c r="F220" t="s">
        <v>39</v>
      </c>
      <c r="G220" t="s">
        <v>36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  <c r="P220">
        <v>38.200000000000003</v>
      </c>
      <c r="R220">
        <v>0</v>
      </c>
      <c r="T220">
        <v>0</v>
      </c>
      <c r="V220">
        <v>0</v>
      </c>
      <c r="X220">
        <v>0</v>
      </c>
      <c r="Z220">
        <v>1</v>
      </c>
    </row>
    <row r="221" spans="1:26" x14ac:dyDescent="0.3">
      <c r="A221" t="s">
        <v>261</v>
      </c>
      <c r="B221">
        <v>45758</v>
      </c>
      <c r="C221" t="s">
        <v>27</v>
      </c>
      <c r="D221" t="s">
        <v>33</v>
      </c>
      <c r="E221" t="s">
        <v>34</v>
      </c>
      <c r="F221" t="s">
        <v>39</v>
      </c>
      <c r="G221" t="s">
        <v>36</v>
      </c>
      <c r="H221">
        <v>1</v>
      </c>
      <c r="I221">
        <v>1</v>
      </c>
      <c r="J221">
        <v>0</v>
      </c>
      <c r="K221">
        <v>0</v>
      </c>
      <c r="L221">
        <v>0</v>
      </c>
      <c r="M221">
        <v>3</v>
      </c>
      <c r="N221">
        <v>0</v>
      </c>
      <c r="P221">
        <v>59</v>
      </c>
      <c r="R221">
        <v>0</v>
      </c>
      <c r="T221">
        <v>1</v>
      </c>
      <c r="V221">
        <v>1</v>
      </c>
      <c r="X221">
        <v>0</v>
      </c>
      <c r="Z221">
        <v>3</v>
      </c>
    </row>
    <row r="222" spans="1:26" x14ac:dyDescent="0.3">
      <c r="A222" t="s">
        <v>262</v>
      </c>
      <c r="B222">
        <v>45679</v>
      </c>
      <c r="C222" t="s">
        <v>27</v>
      </c>
      <c r="D222" t="s">
        <v>38</v>
      </c>
      <c r="E222" t="s">
        <v>44</v>
      </c>
      <c r="F222" t="s">
        <v>49</v>
      </c>
      <c r="G222" t="s">
        <v>40</v>
      </c>
      <c r="H222">
        <v>1</v>
      </c>
      <c r="I222">
        <v>1</v>
      </c>
      <c r="J222">
        <v>1</v>
      </c>
      <c r="K222">
        <v>0</v>
      </c>
      <c r="L222">
        <v>0</v>
      </c>
      <c r="M222">
        <v>0</v>
      </c>
      <c r="N222">
        <v>0</v>
      </c>
      <c r="P222">
        <v>80.599999999999994</v>
      </c>
      <c r="R222">
        <v>0</v>
      </c>
      <c r="T222">
        <v>1</v>
      </c>
      <c r="V222">
        <v>1</v>
      </c>
      <c r="X222">
        <v>1</v>
      </c>
      <c r="Z222">
        <v>0</v>
      </c>
    </row>
    <row r="223" spans="1:26" x14ac:dyDescent="0.3">
      <c r="A223" t="s">
        <v>263</v>
      </c>
      <c r="B223">
        <v>45669</v>
      </c>
      <c r="C223" t="s">
        <v>27</v>
      </c>
      <c r="D223" t="s">
        <v>42</v>
      </c>
      <c r="E223" t="s">
        <v>34</v>
      </c>
      <c r="F223" t="s">
        <v>51</v>
      </c>
      <c r="G223" t="s">
        <v>36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P223">
        <v>67</v>
      </c>
      <c r="R223">
        <v>0</v>
      </c>
      <c r="T223">
        <v>1</v>
      </c>
      <c r="V223">
        <v>0</v>
      </c>
      <c r="X223">
        <v>0</v>
      </c>
      <c r="Z223">
        <v>0</v>
      </c>
    </row>
    <row r="224" spans="1:26" x14ac:dyDescent="0.3">
      <c r="A224" t="s">
        <v>264</v>
      </c>
      <c r="B224">
        <v>45705</v>
      </c>
      <c r="C224" t="s">
        <v>27</v>
      </c>
      <c r="D224" t="s">
        <v>33</v>
      </c>
      <c r="E224" t="s">
        <v>34</v>
      </c>
      <c r="F224" t="s">
        <v>30</v>
      </c>
      <c r="G224" t="s">
        <v>36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  <c r="P224">
        <v>72.099999999999994</v>
      </c>
      <c r="R224">
        <v>0</v>
      </c>
      <c r="T224">
        <v>1</v>
      </c>
      <c r="V224">
        <v>0</v>
      </c>
      <c r="X224">
        <v>0</v>
      </c>
      <c r="Z224">
        <v>1</v>
      </c>
    </row>
    <row r="225" spans="1:26" x14ac:dyDescent="0.3">
      <c r="A225" t="s">
        <v>265</v>
      </c>
      <c r="B225">
        <v>45758</v>
      </c>
      <c r="C225" t="s">
        <v>27</v>
      </c>
      <c r="D225" t="s">
        <v>33</v>
      </c>
      <c r="E225" t="s">
        <v>29</v>
      </c>
      <c r="F225" t="s">
        <v>35</v>
      </c>
      <c r="G225" t="s">
        <v>36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P225">
        <v>74.099999999999994</v>
      </c>
      <c r="R225">
        <v>0</v>
      </c>
      <c r="T225">
        <v>0</v>
      </c>
      <c r="V225">
        <v>0</v>
      </c>
      <c r="X225">
        <v>0</v>
      </c>
      <c r="Z225">
        <v>0</v>
      </c>
    </row>
    <row r="226" spans="1:26" x14ac:dyDescent="0.3">
      <c r="A226" t="s">
        <v>266</v>
      </c>
      <c r="B226">
        <v>45802</v>
      </c>
      <c r="C226" t="s">
        <v>27</v>
      </c>
      <c r="D226" t="s">
        <v>42</v>
      </c>
      <c r="E226" t="s">
        <v>34</v>
      </c>
      <c r="F226" t="s">
        <v>49</v>
      </c>
      <c r="G226" t="s">
        <v>40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P226">
        <v>84.8</v>
      </c>
      <c r="R226">
        <v>0</v>
      </c>
      <c r="T226">
        <v>0</v>
      </c>
      <c r="V226">
        <v>0</v>
      </c>
      <c r="X226">
        <v>0</v>
      </c>
      <c r="Z226">
        <v>0</v>
      </c>
    </row>
    <row r="227" spans="1:26" x14ac:dyDescent="0.3">
      <c r="A227" t="s">
        <v>267</v>
      </c>
      <c r="B227">
        <v>45728</v>
      </c>
      <c r="C227" t="s">
        <v>27</v>
      </c>
      <c r="D227" t="s">
        <v>42</v>
      </c>
      <c r="E227" t="s">
        <v>34</v>
      </c>
      <c r="F227" t="s">
        <v>35</v>
      </c>
      <c r="G227" t="s">
        <v>31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P227">
        <v>33</v>
      </c>
      <c r="R227">
        <v>0</v>
      </c>
      <c r="T227">
        <v>1</v>
      </c>
      <c r="V227">
        <v>0</v>
      </c>
      <c r="X227">
        <v>0</v>
      </c>
      <c r="Z227">
        <v>0</v>
      </c>
    </row>
    <row r="228" spans="1:26" x14ac:dyDescent="0.3">
      <c r="A228" t="s">
        <v>268</v>
      </c>
      <c r="B228">
        <v>45767</v>
      </c>
      <c r="C228" t="s">
        <v>27</v>
      </c>
      <c r="D228" t="s">
        <v>28</v>
      </c>
      <c r="E228" t="s">
        <v>44</v>
      </c>
      <c r="F228" t="s">
        <v>30</v>
      </c>
      <c r="G228" t="s">
        <v>36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P228">
        <v>52.5</v>
      </c>
      <c r="R228">
        <v>0</v>
      </c>
      <c r="T228">
        <v>0</v>
      </c>
      <c r="V228">
        <v>0</v>
      </c>
      <c r="X228">
        <v>0</v>
      </c>
      <c r="Z228">
        <v>0</v>
      </c>
    </row>
    <row r="229" spans="1:26" x14ac:dyDescent="0.3">
      <c r="A229" t="s">
        <v>269</v>
      </c>
      <c r="B229">
        <v>45711</v>
      </c>
      <c r="C229" t="s">
        <v>27</v>
      </c>
      <c r="D229" t="s">
        <v>28</v>
      </c>
      <c r="E229" t="s">
        <v>44</v>
      </c>
      <c r="F229" t="s">
        <v>35</v>
      </c>
      <c r="G229" t="s">
        <v>36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P229">
        <v>66.900000000000006</v>
      </c>
      <c r="R229">
        <v>0</v>
      </c>
      <c r="T229">
        <v>0</v>
      </c>
      <c r="V229">
        <v>0</v>
      </c>
      <c r="X229">
        <v>0</v>
      </c>
      <c r="Z229">
        <v>0</v>
      </c>
    </row>
    <row r="230" spans="1:26" x14ac:dyDescent="0.3">
      <c r="A230" t="s">
        <v>270</v>
      </c>
      <c r="B230">
        <v>45681</v>
      </c>
      <c r="C230" t="s">
        <v>27</v>
      </c>
      <c r="D230" t="s">
        <v>28</v>
      </c>
      <c r="E230" t="s">
        <v>34</v>
      </c>
      <c r="F230" t="s">
        <v>35</v>
      </c>
      <c r="G230" t="s">
        <v>31</v>
      </c>
      <c r="H230">
        <v>1</v>
      </c>
      <c r="I230">
        <v>1</v>
      </c>
      <c r="J230">
        <v>1</v>
      </c>
      <c r="K230">
        <v>0</v>
      </c>
      <c r="L230">
        <v>0</v>
      </c>
      <c r="M230">
        <v>1</v>
      </c>
      <c r="N230">
        <v>0</v>
      </c>
      <c r="P230">
        <v>32.700000000000003</v>
      </c>
      <c r="R230">
        <v>0</v>
      </c>
      <c r="T230">
        <v>1</v>
      </c>
      <c r="V230">
        <v>1</v>
      </c>
      <c r="X230">
        <v>1</v>
      </c>
      <c r="Z230">
        <v>1</v>
      </c>
    </row>
    <row r="231" spans="1:26" x14ac:dyDescent="0.3">
      <c r="A231" t="s">
        <v>271</v>
      </c>
      <c r="B231">
        <v>45673</v>
      </c>
      <c r="C231" t="s">
        <v>27</v>
      </c>
      <c r="D231" t="s">
        <v>33</v>
      </c>
      <c r="E231" t="s">
        <v>34</v>
      </c>
      <c r="F231" t="s">
        <v>35</v>
      </c>
      <c r="G231" t="s">
        <v>40</v>
      </c>
      <c r="H231">
        <v>1</v>
      </c>
      <c r="I231">
        <v>1</v>
      </c>
      <c r="J231">
        <v>1</v>
      </c>
      <c r="K231">
        <v>0</v>
      </c>
      <c r="L231">
        <v>0</v>
      </c>
      <c r="M231">
        <v>1</v>
      </c>
      <c r="N231">
        <v>0</v>
      </c>
      <c r="P231">
        <v>70.599999999999994</v>
      </c>
      <c r="R231">
        <v>0</v>
      </c>
      <c r="T231">
        <v>1</v>
      </c>
      <c r="V231">
        <v>1</v>
      </c>
      <c r="X231">
        <v>1</v>
      </c>
      <c r="Z231">
        <v>1</v>
      </c>
    </row>
    <row r="232" spans="1:26" x14ac:dyDescent="0.3">
      <c r="A232" t="s">
        <v>272</v>
      </c>
      <c r="B232">
        <v>45705</v>
      </c>
      <c r="C232" t="s">
        <v>27</v>
      </c>
      <c r="D232" t="s">
        <v>28</v>
      </c>
      <c r="E232" t="s">
        <v>34</v>
      </c>
      <c r="F232" t="s">
        <v>51</v>
      </c>
      <c r="G232" t="s">
        <v>36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P232">
        <v>69.400000000000006</v>
      </c>
      <c r="R232">
        <v>0</v>
      </c>
      <c r="T232">
        <v>0</v>
      </c>
      <c r="V232">
        <v>0</v>
      </c>
      <c r="X232">
        <v>0</v>
      </c>
      <c r="Z232">
        <v>0</v>
      </c>
    </row>
    <row r="233" spans="1:26" x14ac:dyDescent="0.3">
      <c r="A233" t="s">
        <v>273</v>
      </c>
      <c r="B233">
        <v>45781</v>
      </c>
      <c r="C233" t="s">
        <v>27</v>
      </c>
      <c r="D233" t="s">
        <v>28</v>
      </c>
      <c r="E233" t="s">
        <v>29</v>
      </c>
      <c r="F233" t="s">
        <v>35</v>
      </c>
      <c r="G233" t="s">
        <v>31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P233">
        <v>56.1</v>
      </c>
      <c r="R233">
        <v>0</v>
      </c>
      <c r="T233">
        <v>1</v>
      </c>
      <c r="V233">
        <v>0</v>
      </c>
      <c r="X233">
        <v>0</v>
      </c>
      <c r="Z233">
        <v>0</v>
      </c>
    </row>
    <row r="234" spans="1:26" x14ac:dyDescent="0.3">
      <c r="A234" t="s">
        <v>274</v>
      </c>
      <c r="B234">
        <v>45669</v>
      </c>
      <c r="C234" t="s">
        <v>27</v>
      </c>
      <c r="D234" t="s">
        <v>33</v>
      </c>
      <c r="E234" t="s">
        <v>34</v>
      </c>
      <c r="F234" t="s">
        <v>35</v>
      </c>
      <c r="G234" t="s">
        <v>31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P234">
        <v>55.8</v>
      </c>
      <c r="R234">
        <v>0</v>
      </c>
      <c r="T234">
        <v>0</v>
      </c>
      <c r="V234">
        <v>0</v>
      </c>
      <c r="X234">
        <v>0</v>
      </c>
      <c r="Z234">
        <v>0</v>
      </c>
    </row>
    <row r="235" spans="1:26" x14ac:dyDescent="0.3">
      <c r="A235" t="s">
        <v>275</v>
      </c>
      <c r="B235">
        <v>45775</v>
      </c>
      <c r="C235" t="s">
        <v>27</v>
      </c>
      <c r="D235" t="s">
        <v>28</v>
      </c>
      <c r="E235" t="s">
        <v>44</v>
      </c>
      <c r="F235" t="s">
        <v>35</v>
      </c>
      <c r="G235" t="s">
        <v>36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P235">
        <v>49.3</v>
      </c>
      <c r="R235">
        <v>0</v>
      </c>
      <c r="T235">
        <v>0</v>
      </c>
      <c r="V235">
        <v>0</v>
      </c>
      <c r="X235">
        <v>0</v>
      </c>
      <c r="Z235">
        <v>0</v>
      </c>
    </row>
    <row r="236" spans="1:26" x14ac:dyDescent="0.3">
      <c r="A236" t="s">
        <v>276</v>
      </c>
      <c r="B236">
        <v>45714</v>
      </c>
      <c r="C236" t="s">
        <v>27</v>
      </c>
      <c r="D236" t="s">
        <v>28</v>
      </c>
      <c r="E236" t="s">
        <v>34</v>
      </c>
      <c r="F236" t="s">
        <v>35</v>
      </c>
      <c r="G236" t="s">
        <v>36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P236">
        <v>71.8</v>
      </c>
      <c r="R236">
        <v>0</v>
      </c>
      <c r="T236">
        <v>0</v>
      </c>
      <c r="V236">
        <v>0</v>
      </c>
      <c r="X236">
        <v>0</v>
      </c>
      <c r="Z236">
        <v>0</v>
      </c>
    </row>
    <row r="237" spans="1:26" x14ac:dyDescent="0.3">
      <c r="A237" t="s">
        <v>277</v>
      </c>
      <c r="B237">
        <v>45734</v>
      </c>
      <c r="C237" t="s">
        <v>27</v>
      </c>
      <c r="D237" t="s">
        <v>33</v>
      </c>
      <c r="E237" t="s">
        <v>34</v>
      </c>
      <c r="F237" t="s">
        <v>51</v>
      </c>
      <c r="G237" t="s">
        <v>36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3</v>
      </c>
      <c r="N237">
        <v>0</v>
      </c>
      <c r="P237">
        <v>39.700000000000003</v>
      </c>
      <c r="R237">
        <v>0</v>
      </c>
      <c r="T237">
        <v>1</v>
      </c>
      <c r="V237">
        <v>0</v>
      </c>
      <c r="X237">
        <v>0</v>
      </c>
      <c r="Z237">
        <v>3</v>
      </c>
    </row>
    <row r="238" spans="1:26" x14ac:dyDescent="0.3">
      <c r="A238" t="s">
        <v>278</v>
      </c>
      <c r="B238">
        <v>45717</v>
      </c>
      <c r="C238" t="s">
        <v>27</v>
      </c>
      <c r="D238" t="s">
        <v>42</v>
      </c>
      <c r="E238" t="s">
        <v>29</v>
      </c>
      <c r="F238" t="s">
        <v>35</v>
      </c>
      <c r="G238" t="s">
        <v>40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P238">
        <v>45.4</v>
      </c>
      <c r="R238">
        <v>0</v>
      </c>
      <c r="T238">
        <v>1</v>
      </c>
      <c r="V238">
        <v>0</v>
      </c>
      <c r="X238">
        <v>0</v>
      </c>
      <c r="Z238">
        <v>0</v>
      </c>
    </row>
    <row r="239" spans="1:26" x14ac:dyDescent="0.3">
      <c r="A239" t="s">
        <v>279</v>
      </c>
      <c r="B239">
        <v>45752</v>
      </c>
      <c r="C239" t="s">
        <v>27</v>
      </c>
      <c r="D239" t="s">
        <v>28</v>
      </c>
      <c r="E239" t="s">
        <v>29</v>
      </c>
      <c r="F239" t="s">
        <v>51</v>
      </c>
      <c r="G239" t="s">
        <v>40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P239">
        <v>69.900000000000006</v>
      </c>
      <c r="R239">
        <v>0</v>
      </c>
      <c r="T239">
        <v>1</v>
      </c>
      <c r="V239">
        <v>0</v>
      </c>
      <c r="X239">
        <v>0</v>
      </c>
      <c r="Z239">
        <v>0</v>
      </c>
    </row>
    <row r="240" spans="1:26" x14ac:dyDescent="0.3">
      <c r="A240" t="s">
        <v>280</v>
      </c>
      <c r="B240">
        <v>45728</v>
      </c>
      <c r="C240" t="s">
        <v>27</v>
      </c>
      <c r="D240" t="s">
        <v>28</v>
      </c>
      <c r="E240" t="s">
        <v>29</v>
      </c>
      <c r="F240" t="s">
        <v>51</v>
      </c>
      <c r="G240" t="s">
        <v>36</v>
      </c>
      <c r="H240">
        <v>1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0</v>
      </c>
      <c r="P240">
        <v>56.1</v>
      </c>
      <c r="R240">
        <v>0</v>
      </c>
      <c r="T240">
        <v>1</v>
      </c>
      <c r="V240">
        <v>1</v>
      </c>
      <c r="X240">
        <v>1</v>
      </c>
      <c r="Z240">
        <v>0</v>
      </c>
    </row>
    <row r="241" spans="1:26" x14ac:dyDescent="0.3">
      <c r="A241" t="s">
        <v>281</v>
      </c>
      <c r="B241">
        <v>45731</v>
      </c>
      <c r="C241" t="s">
        <v>27</v>
      </c>
      <c r="D241" t="s">
        <v>33</v>
      </c>
      <c r="E241" t="s">
        <v>34</v>
      </c>
      <c r="F241" t="s">
        <v>49</v>
      </c>
      <c r="G241" t="s">
        <v>31</v>
      </c>
      <c r="H241">
        <v>1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P241">
        <v>45.9</v>
      </c>
      <c r="R241">
        <v>0</v>
      </c>
      <c r="T241">
        <v>1</v>
      </c>
      <c r="V241">
        <v>1</v>
      </c>
      <c r="X241">
        <v>0</v>
      </c>
      <c r="Z241">
        <v>0</v>
      </c>
    </row>
    <row r="242" spans="1:26" x14ac:dyDescent="0.3">
      <c r="A242" t="s">
        <v>282</v>
      </c>
      <c r="B242">
        <v>45711</v>
      </c>
      <c r="C242" t="s">
        <v>27</v>
      </c>
      <c r="D242" t="s">
        <v>33</v>
      </c>
      <c r="E242" t="s">
        <v>34</v>
      </c>
      <c r="F242" t="s">
        <v>30</v>
      </c>
      <c r="G242" t="s">
        <v>36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P242">
        <v>65.8</v>
      </c>
      <c r="R242">
        <v>0</v>
      </c>
      <c r="T242">
        <v>0</v>
      </c>
      <c r="V242">
        <v>0</v>
      </c>
      <c r="X242">
        <v>0</v>
      </c>
      <c r="Z242">
        <v>0</v>
      </c>
    </row>
    <row r="243" spans="1:26" x14ac:dyDescent="0.3">
      <c r="A243" t="s">
        <v>283</v>
      </c>
      <c r="B243">
        <v>45769</v>
      </c>
      <c r="C243" t="s">
        <v>27</v>
      </c>
      <c r="D243" t="s">
        <v>28</v>
      </c>
      <c r="E243" t="s">
        <v>34</v>
      </c>
      <c r="F243" t="s">
        <v>35</v>
      </c>
      <c r="G243" t="s">
        <v>31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P243">
        <v>48.2</v>
      </c>
      <c r="R243">
        <v>0</v>
      </c>
      <c r="T243">
        <v>1</v>
      </c>
      <c r="V243">
        <v>0</v>
      </c>
      <c r="X243">
        <v>0</v>
      </c>
      <c r="Z243">
        <v>0</v>
      </c>
    </row>
    <row r="244" spans="1:26" x14ac:dyDescent="0.3">
      <c r="A244" t="s">
        <v>284</v>
      </c>
      <c r="B244">
        <v>45666</v>
      </c>
      <c r="C244" t="s">
        <v>27</v>
      </c>
      <c r="D244" t="s">
        <v>38</v>
      </c>
      <c r="E244" t="s">
        <v>34</v>
      </c>
      <c r="F244" t="s">
        <v>35</v>
      </c>
      <c r="G244" t="s">
        <v>31</v>
      </c>
      <c r="H244">
        <v>1</v>
      </c>
      <c r="I244">
        <v>1</v>
      </c>
      <c r="J244">
        <v>1</v>
      </c>
      <c r="K244">
        <v>0</v>
      </c>
      <c r="L244">
        <v>0</v>
      </c>
      <c r="M244">
        <v>0</v>
      </c>
      <c r="N244">
        <v>0</v>
      </c>
      <c r="P244">
        <v>81.099999999999994</v>
      </c>
      <c r="R244">
        <v>0</v>
      </c>
      <c r="T244">
        <v>1</v>
      </c>
      <c r="V244">
        <v>1</v>
      </c>
      <c r="X244">
        <v>1</v>
      </c>
      <c r="Z244">
        <v>0</v>
      </c>
    </row>
    <row r="245" spans="1:26" x14ac:dyDescent="0.3">
      <c r="A245" t="s">
        <v>285</v>
      </c>
      <c r="B245">
        <v>45721</v>
      </c>
      <c r="C245" t="s">
        <v>27</v>
      </c>
      <c r="D245" t="s">
        <v>38</v>
      </c>
      <c r="E245" t="s">
        <v>44</v>
      </c>
      <c r="F245" t="s">
        <v>51</v>
      </c>
      <c r="G245" t="s">
        <v>40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P245">
        <v>53.2</v>
      </c>
      <c r="R245">
        <v>0</v>
      </c>
      <c r="T245">
        <v>1</v>
      </c>
      <c r="V245">
        <v>1</v>
      </c>
      <c r="X245">
        <v>0</v>
      </c>
      <c r="Z245">
        <v>0</v>
      </c>
    </row>
    <row r="246" spans="1:26" x14ac:dyDescent="0.3">
      <c r="A246" t="s">
        <v>286</v>
      </c>
      <c r="B246">
        <v>45685</v>
      </c>
      <c r="C246" t="s">
        <v>27</v>
      </c>
      <c r="D246" t="s">
        <v>28</v>
      </c>
      <c r="E246" t="s">
        <v>34</v>
      </c>
      <c r="F246" t="s">
        <v>51</v>
      </c>
      <c r="G246" t="s">
        <v>36</v>
      </c>
      <c r="H246">
        <v>1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0</v>
      </c>
      <c r="P246">
        <v>57.7</v>
      </c>
      <c r="R246">
        <v>0</v>
      </c>
      <c r="T246">
        <v>1</v>
      </c>
      <c r="V246">
        <v>1</v>
      </c>
      <c r="X246">
        <v>1</v>
      </c>
      <c r="Z246">
        <v>0</v>
      </c>
    </row>
    <row r="247" spans="1:26" x14ac:dyDescent="0.3">
      <c r="A247" t="s">
        <v>287</v>
      </c>
      <c r="B247">
        <v>45678</v>
      </c>
      <c r="C247" t="s">
        <v>27</v>
      </c>
      <c r="D247" t="s">
        <v>33</v>
      </c>
      <c r="E247" t="s">
        <v>34</v>
      </c>
      <c r="F247" t="s">
        <v>39</v>
      </c>
      <c r="G247" t="s">
        <v>40</v>
      </c>
      <c r="H247">
        <v>1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P247">
        <v>78.900000000000006</v>
      </c>
      <c r="R247">
        <v>0</v>
      </c>
      <c r="T247">
        <v>1</v>
      </c>
      <c r="V247">
        <v>1</v>
      </c>
      <c r="X247">
        <v>0</v>
      </c>
      <c r="Z247">
        <v>0</v>
      </c>
    </row>
    <row r="248" spans="1:26" x14ac:dyDescent="0.3">
      <c r="A248" t="s">
        <v>288</v>
      </c>
      <c r="B248">
        <v>45730</v>
      </c>
      <c r="C248" t="s">
        <v>27</v>
      </c>
      <c r="D248" t="s">
        <v>42</v>
      </c>
      <c r="E248" t="s">
        <v>34</v>
      </c>
      <c r="F248" t="s">
        <v>49</v>
      </c>
      <c r="G248" t="s">
        <v>31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P248">
        <v>55.7</v>
      </c>
      <c r="R248">
        <v>0</v>
      </c>
      <c r="T248">
        <v>0</v>
      </c>
      <c r="V248">
        <v>0</v>
      </c>
      <c r="X248">
        <v>0</v>
      </c>
      <c r="Z248">
        <v>0</v>
      </c>
    </row>
    <row r="249" spans="1:26" x14ac:dyDescent="0.3">
      <c r="A249" t="s">
        <v>289</v>
      </c>
      <c r="B249">
        <v>45691</v>
      </c>
      <c r="C249" t="s">
        <v>27</v>
      </c>
      <c r="D249" t="s">
        <v>33</v>
      </c>
      <c r="E249" t="s">
        <v>34</v>
      </c>
      <c r="F249" t="s">
        <v>39</v>
      </c>
      <c r="G249" t="s">
        <v>36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P249">
        <v>52.3</v>
      </c>
      <c r="R249">
        <v>0</v>
      </c>
      <c r="T249">
        <v>0</v>
      </c>
      <c r="V249">
        <v>0</v>
      </c>
      <c r="X249">
        <v>0</v>
      </c>
      <c r="Z249">
        <v>0</v>
      </c>
    </row>
    <row r="250" spans="1:26" x14ac:dyDescent="0.3">
      <c r="A250" t="s">
        <v>290</v>
      </c>
      <c r="B250">
        <v>45799</v>
      </c>
      <c r="C250" t="s">
        <v>27</v>
      </c>
      <c r="D250" t="s">
        <v>28</v>
      </c>
      <c r="E250" t="s">
        <v>34</v>
      </c>
      <c r="F250" t="s">
        <v>51</v>
      </c>
      <c r="G250" t="s">
        <v>36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P250">
        <v>51.5</v>
      </c>
      <c r="R250">
        <v>0</v>
      </c>
      <c r="T250">
        <v>1</v>
      </c>
      <c r="V250">
        <v>0</v>
      </c>
      <c r="X250">
        <v>0</v>
      </c>
      <c r="Z250">
        <v>0</v>
      </c>
    </row>
    <row r="251" spans="1:26" x14ac:dyDescent="0.3">
      <c r="A251" t="s">
        <v>291</v>
      </c>
      <c r="B251">
        <v>45772</v>
      </c>
      <c r="C251" t="s">
        <v>27</v>
      </c>
      <c r="D251" t="s">
        <v>28</v>
      </c>
      <c r="E251" t="s">
        <v>29</v>
      </c>
      <c r="F251" t="s">
        <v>30</v>
      </c>
      <c r="G251" t="s">
        <v>36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P251">
        <v>70.8</v>
      </c>
      <c r="R251">
        <v>0</v>
      </c>
      <c r="T251">
        <v>1</v>
      </c>
      <c r="V251">
        <v>0</v>
      </c>
      <c r="X251">
        <v>0</v>
      </c>
      <c r="Z251">
        <v>0</v>
      </c>
    </row>
    <row r="252" spans="1:26" x14ac:dyDescent="0.3">
      <c r="A252" t="s">
        <v>292</v>
      </c>
      <c r="B252">
        <v>45687</v>
      </c>
      <c r="C252" t="s">
        <v>27</v>
      </c>
      <c r="D252" t="s">
        <v>28</v>
      </c>
      <c r="E252" t="s">
        <v>29</v>
      </c>
      <c r="F252" t="s">
        <v>30</v>
      </c>
      <c r="G252" t="s">
        <v>31</v>
      </c>
      <c r="H252">
        <v>1</v>
      </c>
      <c r="I252">
        <v>1</v>
      </c>
      <c r="J252">
        <v>1</v>
      </c>
      <c r="K252">
        <v>1</v>
      </c>
      <c r="L252">
        <v>1250.78</v>
      </c>
      <c r="M252">
        <v>0</v>
      </c>
      <c r="N252">
        <v>0</v>
      </c>
      <c r="O252">
        <v>10</v>
      </c>
      <c r="P252">
        <v>39</v>
      </c>
      <c r="R252">
        <v>1</v>
      </c>
      <c r="T252">
        <v>1</v>
      </c>
      <c r="V252">
        <v>1</v>
      </c>
      <c r="X252">
        <v>1</v>
      </c>
      <c r="Z252">
        <v>0</v>
      </c>
    </row>
    <row r="253" spans="1:26" x14ac:dyDescent="0.3">
      <c r="A253" t="s">
        <v>293</v>
      </c>
      <c r="B253">
        <v>45800</v>
      </c>
      <c r="C253" t="s">
        <v>27</v>
      </c>
      <c r="D253" t="s">
        <v>33</v>
      </c>
      <c r="E253" t="s">
        <v>34</v>
      </c>
      <c r="F253" t="s">
        <v>35</v>
      </c>
      <c r="G253" t="s">
        <v>36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P253">
        <v>61.6</v>
      </c>
      <c r="R253">
        <v>0</v>
      </c>
      <c r="T253">
        <v>1</v>
      </c>
      <c r="V253">
        <v>0</v>
      </c>
      <c r="X253">
        <v>0</v>
      </c>
      <c r="Z253">
        <v>0</v>
      </c>
    </row>
    <row r="254" spans="1:26" x14ac:dyDescent="0.3">
      <c r="A254" t="s">
        <v>294</v>
      </c>
      <c r="B254">
        <v>45702</v>
      </c>
      <c r="C254" t="s">
        <v>27</v>
      </c>
      <c r="D254" t="s">
        <v>38</v>
      </c>
      <c r="E254" t="s">
        <v>29</v>
      </c>
      <c r="F254" t="s">
        <v>35</v>
      </c>
      <c r="G254" t="s">
        <v>36</v>
      </c>
      <c r="H254">
        <v>1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0</v>
      </c>
      <c r="P254">
        <v>46.8</v>
      </c>
      <c r="R254">
        <v>0</v>
      </c>
      <c r="T254">
        <v>1</v>
      </c>
      <c r="V254">
        <v>1</v>
      </c>
      <c r="X254">
        <v>1</v>
      </c>
      <c r="Z254">
        <v>0</v>
      </c>
    </row>
    <row r="255" spans="1:26" x14ac:dyDescent="0.3">
      <c r="A255" t="s">
        <v>295</v>
      </c>
      <c r="B255">
        <v>45721</v>
      </c>
      <c r="C255" t="s">
        <v>27</v>
      </c>
      <c r="D255" t="s">
        <v>28</v>
      </c>
      <c r="E255" t="s">
        <v>34</v>
      </c>
      <c r="F255" t="s">
        <v>39</v>
      </c>
      <c r="G255" t="s">
        <v>40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0</v>
      </c>
      <c r="P255">
        <v>58.5</v>
      </c>
      <c r="R255">
        <v>0</v>
      </c>
      <c r="T255">
        <v>0</v>
      </c>
      <c r="V255">
        <v>0</v>
      </c>
      <c r="X255">
        <v>0</v>
      </c>
      <c r="Z255">
        <v>1</v>
      </c>
    </row>
    <row r="256" spans="1:26" x14ac:dyDescent="0.3">
      <c r="A256" t="s">
        <v>296</v>
      </c>
      <c r="B256">
        <v>45804</v>
      </c>
      <c r="C256" t="s">
        <v>27</v>
      </c>
      <c r="D256" t="s">
        <v>28</v>
      </c>
      <c r="E256" t="s">
        <v>34</v>
      </c>
      <c r="F256" t="s">
        <v>39</v>
      </c>
      <c r="G256" t="s">
        <v>31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P256">
        <v>70.900000000000006</v>
      </c>
      <c r="R256">
        <v>0</v>
      </c>
      <c r="T256">
        <v>0</v>
      </c>
      <c r="V256">
        <v>0</v>
      </c>
      <c r="X256">
        <v>0</v>
      </c>
      <c r="Z256">
        <v>0</v>
      </c>
    </row>
    <row r="257" spans="1:26" x14ac:dyDescent="0.3">
      <c r="A257" t="s">
        <v>297</v>
      </c>
      <c r="B257">
        <v>45664</v>
      </c>
      <c r="C257" t="s">
        <v>27</v>
      </c>
      <c r="D257" t="s">
        <v>42</v>
      </c>
      <c r="E257" t="s">
        <v>34</v>
      </c>
      <c r="F257" t="s">
        <v>39</v>
      </c>
      <c r="G257" t="s">
        <v>36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P257">
        <v>48.4</v>
      </c>
      <c r="R257">
        <v>0</v>
      </c>
      <c r="T257">
        <v>1</v>
      </c>
      <c r="V257">
        <v>0</v>
      </c>
      <c r="X257">
        <v>0</v>
      </c>
      <c r="Z257">
        <v>0</v>
      </c>
    </row>
    <row r="258" spans="1:26" x14ac:dyDescent="0.3">
      <c r="A258" t="s">
        <v>298</v>
      </c>
      <c r="B258">
        <v>45768</v>
      </c>
      <c r="C258" t="s">
        <v>27</v>
      </c>
      <c r="D258" t="s">
        <v>28</v>
      </c>
      <c r="E258" t="s">
        <v>34</v>
      </c>
      <c r="F258" t="s">
        <v>30</v>
      </c>
      <c r="G258" t="s">
        <v>36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P258">
        <v>58</v>
      </c>
      <c r="R258">
        <v>0</v>
      </c>
      <c r="T258">
        <v>1</v>
      </c>
      <c r="V258">
        <v>0</v>
      </c>
      <c r="X258">
        <v>0</v>
      </c>
      <c r="Z258">
        <v>0</v>
      </c>
    </row>
    <row r="259" spans="1:26" x14ac:dyDescent="0.3">
      <c r="A259" t="s">
        <v>299</v>
      </c>
      <c r="B259">
        <v>45790</v>
      </c>
      <c r="C259" t="s">
        <v>27</v>
      </c>
      <c r="D259" t="s">
        <v>28</v>
      </c>
      <c r="E259" t="s">
        <v>34</v>
      </c>
      <c r="F259" t="s">
        <v>39</v>
      </c>
      <c r="G259" t="s">
        <v>36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P259">
        <v>61.6</v>
      </c>
      <c r="R259">
        <v>0</v>
      </c>
      <c r="T259">
        <v>0</v>
      </c>
      <c r="V259">
        <v>0</v>
      </c>
      <c r="X259">
        <v>0</v>
      </c>
      <c r="Z259">
        <v>0</v>
      </c>
    </row>
    <row r="260" spans="1:26" x14ac:dyDescent="0.3">
      <c r="A260" t="s">
        <v>300</v>
      </c>
      <c r="B260">
        <v>45685</v>
      </c>
      <c r="C260" t="s">
        <v>27</v>
      </c>
      <c r="D260" t="s">
        <v>38</v>
      </c>
      <c r="E260" t="s">
        <v>29</v>
      </c>
      <c r="F260" t="s">
        <v>35</v>
      </c>
      <c r="G260" t="s">
        <v>36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P260">
        <v>43.2</v>
      </c>
      <c r="R260">
        <v>0</v>
      </c>
      <c r="T260">
        <v>1</v>
      </c>
      <c r="V260">
        <v>0</v>
      </c>
      <c r="X260">
        <v>0</v>
      </c>
      <c r="Z260">
        <v>0</v>
      </c>
    </row>
    <row r="261" spans="1:26" x14ac:dyDescent="0.3">
      <c r="A261" t="s">
        <v>301</v>
      </c>
      <c r="B261">
        <v>45732</v>
      </c>
      <c r="C261" t="s">
        <v>27</v>
      </c>
      <c r="D261" t="s">
        <v>38</v>
      </c>
      <c r="E261" t="s">
        <v>29</v>
      </c>
      <c r="F261" t="s">
        <v>39</v>
      </c>
      <c r="G261" t="s">
        <v>31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P261">
        <v>53.3</v>
      </c>
      <c r="R261">
        <v>0</v>
      </c>
      <c r="T261">
        <v>1</v>
      </c>
      <c r="V261">
        <v>0</v>
      </c>
      <c r="X261">
        <v>0</v>
      </c>
      <c r="Z261">
        <v>1</v>
      </c>
    </row>
    <row r="262" spans="1:26" x14ac:dyDescent="0.3">
      <c r="A262" t="s">
        <v>302</v>
      </c>
      <c r="B262">
        <v>45757</v>
      </c>
      <c r="C262" t="s">
        <v>27</v>
      </c>
      <c r="D262" t="s">
        <v>38</v>
      </c>
      <c r="E262" t="s">
        <v>29</v>
      </c>
      <c r="F262" t="s">
        <v>51</v>
      </c>
      <c r="G262" t="s">
        <v>31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P262">
        <v>33.9</v>
      </c>
      <c r="R262">
        <v>0</v>
      </c>
      <c r="T262">
        <v>0</v>
      </c>
      <c r="V262">
        <v>0</v>
      </c>
      <c r="X262">
        <v>0</v>
      </c>
      <c r="Z262">
        <v>0</v>
      </c>
    </row>
    <row r="263" spans="1:26" x14ac:dyDescent="0.3">
      <c r="A263" t="s">
        <v>303</v>
      </c>
      <c r="B263">
        <v>45731</v>
      </c>
      <c r="C263" t="s">
        <v>27</v>
      </c>
      <c r="D263" t="s">
        <v>38</v>
      </c>
      <c r="E263" t="s">
        <v>29</v>
      </c>
      <c r="F263" t="s">
        <v>49</v>
      </c>
      <c r="G263" t="s">
        <v>36</v>
      </c>
      <c r="H263">
        <v>1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P263">
        <v>35.4</v>
      </c>
      <c r="R263">
        <v>0</v>
      </c>
      <c r="T263">
        <v>1</v>
      </c>
      <c r="V263">
        <v>1</v>
      </c>
      <c r="X263">
        <v>1</v>
      </c>
      <c r="Z263">
        <v>0</v>
      </c>
    </row>
    <row r="264" spans="1:26" x14ac:dyDescent="0.3">
      <c r="A264" t="s">
        <v>304</v>
      </c>
      <c r="B264">
        <v>45754</v>
      </c>
      <c r="C264" t="s">
        <v>27</v>
      </c>
      <c r="D264" t="s">
        <v>33</v>
      </c>
      <c r="E264" t="s">
        <v>29</v>
      </c>
      <c r="F264" t="s">
        <v>35</v>
      </c>
      <c r="G264" t="s">
        <v>31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P264">
        <v>45</v>
      </c>
      <c r="R264">
        <v>0</v>
      </c>
      <c r="T264">
        <v>1</v>
      </c>
      <c r="V264">
        <v>0</v>
      </c>
      <c r="X264">
        <v>0</v>
      </c>
      <c r="Z264">
        <v>0</v>
      </c>
    </row>
    <row r="265" spans="1:26" x14ac:dyDescent="0.3">
      <c r="A265" t="s">
        <v>305</v>
      </c>
      <c r="B265">
        <v>45700</v>
      </c>
      <c r="C265" t="s">
        <v>27</v>
      </c>
      <c r="D265" t="s">
        <v>42</v>
      </c>
      <c r="E265" t="s">
        <v>34</v>
      </c>
      <c r="F265" t="s">
        <v>35</v>
      </c>
      <c r="G265" t="s">
        <v>36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P265">
        <v>86.5</v>
      </c>
      <c r="R265">
        <v>0</v>
      </c>
      <c r="T265">
        <v>1</v>
      </c>
      <c r="V265">
        <v>1</v>
      </c>
      <c r="X265">
        <v>0</v>
      </c>
      <c r="Z265">
        <v>0</v>
      </c>
    </row>
    <row r="266" spans="1:26" x14ac:dyDescent="0.3">
      <c r="A266" t="s">
        <v>306</v>
      </c>
      <c r="B266">
        <v>45782</v>
      </c>
      <c r="C266" t="s">
        <v>27</v>
      </c>
      <c r="D266" t="s">
        <v>33</v>
      </c>
      <c r="E266" t="s">
        <v>34</v>
      </c>
      <c r="F266" t="s">
        <v>51</v>
      </c>
      <c r="G266" t="s">
        <v>36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P266">
        <v>58.1</v>
      </c>
      <c r="R266">
        <v>0</v>
      </c>
      <c r="T266">
        <v>0</v>
      </c>
      <c r="V266">
        <v>0</v>
      </c>
      <c r="X266">
        <v>0</v>
      </c>
      <c r="Z266">
        <v>0</v>
      </c>
    </row>
    <row r="267" spans="1:26" x14ac:dyDescent="0.3">
      <c r="A267" t="s">
        <v>307</v>
      </c>
      <c r="B267">
        <v>45727</v>
      </c>
      <c r="C267" t="s">
        <v>27</v>
      </c>
      <c r="D267" t="s">
        <v>33</v>
      </c>
      <c r="E267" t="s">
        <v>34</v>
      </c>
      <c r="F267" t="s">
        <v>49</v>
      </c>
      <c r="G267" t="s">
        <v>36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P267">
        <v>36.1</v>
      </c>
      <c r="R267">
        <v>0</v>
      </c>
      <c r="T267">
        <v>1</v>
      </c>
      <c r="V267">
        <v>0</v>
      </c>
      <c r="X267">
        <v>0</v>
      </c>
      <c r="Z267">
        <v>0</v>
      </c>
    </row>
    <row r="268" spans="1:26" x14ac:dyDescent="0.3">
      <c r="A268" t="s">
        <v>308</v>
      </c>
      <c r="B268">
        <v>45698</v>
      </c>
      <c r="C268" t="s">
        <v>27</v>
      </c>
      <c r="D268" t="s">
        <v>38</v>
      </c>
      <c r="E268" t="s">
        <v>34</v>
      </c>
      <c r="F268" t="s">
        <v>51</v>
      </c>
      <c r="G268" t="s">
        <v>36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P268">
        <v>62.8</v>
      </c>
      <c r="R268">
        <v>0</v>
      </c>
      <c r="T268">
        <v>0</v>
      </c>
      <c r="V268">
        <v>0</v>
      </c>
      <c r="X268">
        <v>0</v>
      </c>
      <c r="Z268">
        <v>0</v>
      </c>
    </row>
    <row r="269" spans="1:26" x14ac:dyDescent="0.3">
      <c r="A269" t="s">
        <v>309</v>
      </c>
      <c r="B269">
        <v>45753</v>
      </c>
      <c r="C269" t="s">
        <v>27</v>
      </c>
      <c r="D269" t="s">
        <v>42</v>
      </c>
      <c r="E269" t="s">
        <v>34</v>
      </c>
      <c r="F269" t="s">
        <v>35</v>
      </c>
      <c r="G269" t="s">
        <v>36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P269">
        <v>54.2</v>
      </c>
      <c r="R269">
        <v>0</v>
      </c>
      <c r="T269">
        <v>0</v>
      </c>
      <c r="V269">
        <v>0</v>
      </c>
      <c r="X269">
        <v>0</v>
      </c>
      <c r="Z269">
        <v>0</v>
      </c>
    </row>
    <row r="270" spans="1:26" x14ac:dyDescent="0.3">
      <c r="A270" t="s">
        <v>310</v>
      </c>
      <c r="B270">
        <v>45663</v>
      </c>
      <c r="C270" t="s">
        <v>27</v>
      </c>
      <c r="D270" t="s">
        <v>38</v>
      </c>
      <c r="E270" t="s">
        <v>34</v>
      </c>
      <c r="F270" t="s">
        <v>49</v>
      </c>
      <c r="G270" t="s">
        <v>36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P270">
        <v>50</v>
      </c>
      <c r="R270">
        <v>0</v>
      </c>
      <c r="T270">
        <v>0</v>
      </c>
      <c r="V270">
        <v>0</v>
      </c>
      <c r="X270">
        <v>0</v>
      </c>
      <c r="Z270">
        <v>0</v>
      </c>
    </row>
    <row r="271" spans="1:26" x14ac:dyDescent="0.3">
      <c r="A271" t="s">
        <v>311</v>
      </c>
      <c r="B271">
        <v>45741</v>
      </c>
      <c r="C271" t="s">
        <v>27</v>
      </c>
      <c r="D271" t="s">
        <v>38</v>
      </c>
      <c r="E271" t="s">
        <v>44</v>
      </c>
      <c r="F271" t="s">
        <v>39</v>
      </c>
      <c r="G271" t="s">
        <v>31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P271">
        <v>62</v>
      </c>
      <c r="R271">
        <v>0</v>
      </c>
      <c r="T271">
        <v>1</v>
      </c>
      <c r="V271">
        <v>0</v>
      </c>
      <c r="X271">
        <v>0</v>
      </c>
      <c r="Z271">
        <v>0</v>
      </c>
    </row>
    <row r="272" spans="1:26" x14ac:dyDescent="0.3">
      <c r="A272" t="s">
        <v>312</v>
      </c>
      <c r="B272">
        <v>45701</v>
      </c>
      <c r="C272" t="s">
        <v>27</v>
      </c>
      <c r="D272" t="s">
        <v>38</v>
      </c>
      <c r="E272" t="s">
        <v>29</v>
      </c>
      <c r="F272" t="s">
        <v>49</v>
      </c>
      <c r="G272" t="s">
        <v>36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P272">
        <v>29.3</v>
      </c>
      <c r="R272">
        <v>0</v>
      </c>
      <c r="T272">
        <v>1</v>
      </c>
      <c r="V272">
        <v>0</v>
      </c>
      <c r="X272">
        <v>0</v>
      </c>
      <c r="Z272">
        <v>0</v>
      </c>
    </row>
    <row r="273" spans="1:26" x14ac:dyDescent="0.3">
      <c r="A273" t="s">
        <v>313</v>
      </c>
      <c r="B273">
        <v>45733</v>
      </c>
      <c r="C273" t="s">
        <v>27</v>
      </c>
      <c r="D273" t="s">
        <v>33</v>
      </c>
      <c r="E273" t="s">
        <v>29</v>
      </c>
      <c r="F273" t="s">
        <v>35</v>
      </c>
      <c r="G273" t="s">
        <v>36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P273">
        <v>67.900000000000006</v>
      </c>
      <c r="R273">
        <v>0</v>
      </c>
      <c r="T273">
        <v>1</v>
      </c>
      <c r="V273">
        <v>0</v>
      </c>
      <c r="X273">
        <v>0</v>
      </c>
      <c r="Z273">
        <v>0</v>
      </c>
    </row>
    <row r="274" spans="1:26" x14ac:dyDescent="0.3">
      <c r="A274" t="s">
        <v>314</v>
      </c>
      <c r="B274">
        <v>45787</v>
      </c>
      <c r="C274" t="s">
        <v>27</v>
      </c>
      <c r="D274" t="s">
        <v>28</v>
      </c>
      <c r="E274" t="s">
        <v>34</v>
      </c>
      <c r="F274" t="s">
        <v>49</v>
      </c>
      <c r="G274" t="s">
        <v>36</v>
      </c>
      <c r="H274">
        <v>1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0</v>
      </c>
      <c r="P274">
        <v>67.599999999999994</v>
      </c>
      <c r="R274">
        <v>0</v>
      </c>
      <c r="T274">
        <v>1</v>
      </c>
      <c r="V274">
        <v>1</v>
      </c>
      <c r="X274">
        <v>1</v>
      </c>
      <c r="Z274">
        <v>0</v>
      </c>
    </row>
    <row r="275" spans="1:26" x14ac:dyDescent="0.3">
      <c r="A275" t="s">
        <v>315</v>
      </c>
      <c r="B275">
        <v>45784</v>
      </c>
      <c r="C275" t="s">
        <v>27</v>
      </c>
      <c r="D275" t="s">
        <v>42</v>
      </c>
      <c r="E275" t="s">
        <v>34</v>
      </c>
      <c r="F275" t="s">
        <v>39</v>
      </c>
      <c r="G275" t="s">
        <v>31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P275">
        <v>67.400000000000006</v>
      </c>
      <c r="R275">
        <v>0</v>
      </c>
      <c r="T275">
        <v>0</v>
      </c>
      <c r="V275">
        <v>0</v>
      </c>
      <c r="X275">
        <v>0</v>
      </c>
      <c r="Z275">
        <v>0</v>
      </c>
    </row>
    <row r="276" spans="1:26" x14ac:dyDescent="0.3">
      <c r="A276" t="s">
        <v>316</v>
      </c>
      <c r="B276">
        <v>45714</v>
      </c>
      <c r="C276" t="s">
        <v>27</v>
      </c>
      <c r="D276" t="s">
        <v>33</v>
      </c>
      <c r="E276" t="s">
        <v>29</v>
      </c>
      <c r="F276" t="s">
        <v>39</v>
      </c>
      <c r="G276" t="s">
        <v>40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</v>
      </c>
      <c r="N276">
        <v>0</v>
      </c>
      <c r="P276">
        <v>53</v>
      </c>
      <c r="R276">
        <v>0</v>
      </c>
      <c r="T276">
        <v>0</v>
      </c>
      <c r="V276">
        <v>0</v>
      </c>
      <c r="X276">
        <v>0</v>
      </c>
      <c r="Z276">
        <v>2</v>
      </c>
    </row>
    <row r="277" spans="1:26" x14ac:dyDescent="0.3">
      <c r="A277" t="s">
        <v>317</v>
      </c>
      <c r="B277">
        <v>45788</v>
      </c>
      <c r="C277" t="s">
        <v>27</v>
      </c>
      <c r="D277" t="s">
        <v>28</v>
      </c>
      <c r="E277" t="s">
        <v>34</v>
      </c>
      <c r="F277" t="s">
        <v>35</v>
      </c>
      <c r="G277" t="s">
        <v>31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P277">
        <v>65.5</v>
      </c>
      <c r="R277">
        <v>0</v>
      </c>
      <c r="T277">
        <v>0</v>
      </c>
      <c r="V277">
        <v>0</v>
      </c>
      <c r="X277">
        <v>0</v>
      </c>
      <c r="Z277">
        <v>0</v>
      </c>
    </row>
    <row r="278" spans="1:26" x14ac:dyDescent="0.3">
      <c r="A278" t="s">
        <v>318</v>
      </c>
      <c r="B278">
        <v>45736</v>
      </c>
      <c r="C278" t="s">
        <v>27</v>
      </c>
      <c r="D278" t="s">
        <v>42</v>
      </c>
      <c r="E278" t="s">
        <v>34</v>
      </c>
      <c r="F278" t="s">
        <v>35</v>
      </c>
      <c r="G278" t="s">
        <v>31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P278">
        <v>49.6</v>
      </c>
      <c r="R278">
        <v>0</v>
      </c>
      <c r="T278">
        <v>1</v>
      </c>
      <c r="V278">
        <v>1</v>
      </c>
      <c r="X278">
        <v>0</v>
      </c>
      <c r="Z278">
        <v>0</v>
      </c>
    </row>
    <row r="279" spans="1:26" x14ac:dyDescent="0.3">
      <c r="A279" t="s">
        <v>319</v>
      </c>
      <c r="B279">
        <v>45676</v>
      </c>
      <c r="C279" t="s">
        <v>27</v>
      </c>
      <c r="D279" t="s">
        <v>28</v>
      </c>
      <c r="E279" t="s">
        <v>34</v>
      </c>
      <c r="F279" t="s">
        <v>30</v>
      </c>
      <c r="G279" t="s">
        <v>36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P279">
        <v>74.5</v>
      </c>
      <c r="R279">
        <v>0</v>
      </c>
      <c r="T279">
        <v>1</v>
      </c>
      <c r="V279">
        <v>1</v>
      </c>
      <c r="X279">
        <v>0</v>
      </c>
      <c r="Z279">
        <v>0</v>
      </c>
    </row>
    <row r="280" spans="1:26" x14ac:dyDescent="0.3">
      <c r="A280" t="s">
        <v>320</v>
      </c>
      <c r="B280">
        <v>45724</v>
      </c>
      <c r="C280" t="s">
        <v>27</v>
      </c>
      <c r="D280" t="s">
        <v>28</v>
      </c>
      <c r="E280" t="s">
        <v>44</v>
      </c>
      <c r="F280" t="s">
        <v>39</v>
      </c>
      <c r="G280" t="s">
        <v>40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P280">
        <v>46.9</v>
      </c>
      <c r="R280">
        <v>0</v>
      </c>
      <c r="T280">
        <v>1</v>
      </c>
      <c r="V280">
        <v>0</v>
      </c>
      <c r="X280">
        <v>0</v>
      </c>
      <c r="Z280">
        <v>1</v>
      </c>
    </row>
    <row r="281" spans="1:26" x14ac:dyDescent="0.3">
      <c r="A281" t="s">
        <v>321</v>
      </c>
      <c r="B281">
        <v>45772</v>
      </c>
      <c r="C281" t="s">
        <v>27</v>
      </c>
      <c r="D281" t="s">
        <v>28</v>
      </c>
      <c r="E281" t="s">
        <v>34</v>
      </c>
      <c r="F281" t="s">
        <v>35</v>
      </c>
      <c r="G281" t="s">
        <v>36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P281">
        <v>87.1</v>
      </c>
      <c r="R281">
        <v>0</v>
      </c>
      <c r="T281">
        <v>0</v>
      </c>
      <c r="V281">
        <v>0</v>
      </c>
      <c r="X281">
        <v>0</v>
      </c>
      <c r="Z281">
        <v>0</v>
      </c>
    </row>
    <row r="282" spans="1:26" x14ac:dyDescent="0.3">
      <c r="A282" t="s">
        <v>322</v>
      </c>
      <c r="B282">
        <v>45751</v>
      </c>
      <c r="C282" t="s">
        <v>27</v>
      </c>
      <c r="D282" t="s">
        <v>28</v>
      </c>
      <c r="E282" t="s">
        <v>29</v>
      </c>
      <c r="F282" t="s">
        <v>35</v>
      </c>
      <c r="G282" t="s">
        <v>36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P282">
        <v>56</v>
      </c>
      <c r="R282">
        <v>0</v>
      </c>
      <c r="T282">
        <v>1</v>
      </c>
      <c r="V282">
        <v>0</v>
      </c>
      <c r="X282">
        <v>0</v>
      </c>
      <c r="Z282">
        <v>0</v>
      </c>
    </row>
    <row r="283" spans="1:26" x14ac:dyDescent="0.3">
      <c r="A283" t="s">
        <v>323</v>
      </c>
      <c r="B283">
        <v>45778</v>
      </c>
      <c r="C283" t="s">
        <v>27</v>
      </c>
      <c r="D283" t="s">
        <v>38</v>
      </c>
      <c r="E283" t="s">
        <v>34</v>
      </c>
      <c r="F283" t="s">
        <v>39</v>
      </c>
      <c r="G283" t="s">
        <v>40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0</v>
      </c>
      <c r="P283">
        <v>61.7</v>
      </c>
      <c r="R283">
        <v>0</v>
      </c>
      <c r="T283">
        <v>1</v>
      </c>
      <c r="V283">
        <v>0</v>
      </c>
      <c r="X283">
        <v>0</v>
      </c>
      <c r="Z283">
        <v>1</v>
      </c>
    </row>
    <row r="284" spans="1:26" x14ac:dyDescent="0.3">
      <c r="A284" t="s">
        <v>324</v>
      </c>
      <c r="B284">
        <v>45678</v>
      </c>
      <c r="C284" t="s">
        <v>27</v>
      </c>
      <c r="D284" t="s">
        <v>42</v>
      </c>
      <c r="E284" t="s">
        <v>34</v>
      </c>
      <c r="F284" t="s">
        <v>51</v>
      </c>
      <c r="G284" t="s">
        <v>36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P284">
        <v>70.5</v>
      </c>
      <c r="R284">
        <v>0</v>
      </c>
      <c r="T284">
        <v>1</v>
      </c>
      <c r="V284">
        <v>0</v>
      </c>
      <c r="X284">
        <v>0</v>
      </c>
      <c r="Z284">
        <v>1</v>
      </c>
    </row>
    <row r="285" spans="1:26" x14ac:dyDescent="0.3">
      <c r="A285" t="s">
        <v>325</v>
      </c>
      <c r="B285">
        <v>45698</v>
      </c>
      <c r="C285" t="s">
        <v>27</v>
      </c>
      <c r="D285" t="s">
        <v>28</v>
      </c>
      <c r="E285" t="s">
        <v>29</v>
      </c>
      <c r="F285" t="s">
        <v>49</v>
      </c>
      <c r="G285" t="s">
        <v>31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P285">
        <v>33.4</v>
      </c>
      <c r="R285">
        <v>0</v>
      </c>
      <c r="T285">
        <v>1</v>
      </c>
      <c r="V285">
        <v>0</v>
      </c>
      <c r="X285">
        <v>0</v>
      </c>
      <c r="Z285">
        <v>0</v>
      </c>
    </row>
    <row r="286" spans="1:26" x14ac:dyDescent="0.3">
      <c r="A286" t="s">
        <v>326</v>
      </c>
      <c r="B286">
        <v>45783</v>
      </c>
      <c r="C286" t="s">
        <v>27</v>
      </c>
      <c r="D286" t="s">
        <v>42</v>
      </c>
      <c r="E286" t="s">
        <v>29</v>
      </c>
      <c r="F286" t="s">
        <v>35</v>
      </c>
      <c r="G286" t="s">
        <v>36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P286">
        <v>57.5</v>
      </c>
      <c r="R286">
        <v>0</v>
      </c>
      <c r="T286">
        <v>1</v>
      </c>
      <c r="V286">
        <v>0</v>
      </c>
      <c r="X286">
        <v>0</v>
      </c>
      <c r="Z286">
        <v>0</v>
      </c>
    </row>
    <row r="287" spans="1:26" x14ac:dyDescent="0.3">
      <c r="A287" t="s">
        <v>327</v>
      </c>
      <c r="B287">
        <v>45696</v>
      </c>
      <c r="C287" t="s">
        <v>27</v>
      </c>
      <c r="D287" t="s">
        <v>28</v>
      </c>
      <c r="E287" t="s">
        <v>29</v>
      </c>
      <c r="F287" t="s">
        <v>39</v>
      </c>
      <c r="G287" t="s">
        <v>31</v>
      </c>
      <c r="H287">
        <v>1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P287">
        <v>85.7</v>
      </c>
      <c r="R287">
        <v>0</v>
      </c>
      <c r="T287">
        <v>1</v>
      </c>
      <c r="V287">
        <v>1</v>
      </c>
      <c r="X287">
        <v>0</v>
      </c>
      <c r="Z287">
        <v>0</v>
      </c>
    </row>
    <row r="288" spans="1:26" x14ac:dyDescent="0.3">
      <c r="A288" t="s">
        <v>328</v>
      </c>
      <c r="B288">
        <v>45808</v>
      </c>
      <c r="C288" t="s">
        <v>27</v>
      </c>
      <c r="D288" t="s">
        <v>38</v>
      </c>
      <c r="E288" t="s">
        <v>34</v>
      </c>
      <c r="F288" t="s">
        <v>51</v>
      </c>
      <c r="G288" t="s">
        <v>36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P288">
        <v>41.9</v>
      </c>
      <c r="R288">
        <v>0</v>
      </c>
      <c r="T288">
        <v>1</v>
      </c>
      <c r="V288">
        <v>0</v>
      </c>
      <c r="X288">
        <v>0</v>
      </c>
      <c r="Z288">
        <v>0</v>
      </c>
    </row>
    <row r="289" spans="1:26" x14ac:dyDescent="0.3">
      <c r="A289" t="s">
        <v>329</v>
      </c>
      <c r="B289">
        <v>45695</v>
      </c>
      <c r="C289" t="s">
        <v>27</v>
      </c>
      <c r="D289" t="s">
        <v>33</v>
      </c>
      <c r="E289" t="s">
        <v>34</v>
      </c>
      <c r="F289" t="s">
        <v>30</v>
      </c>
      <c r="G289" t="s">
        <v>31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P289">
        <v>70.2</v>
      </c>
      <c r="R289">
        <v>0</v>
      </c>
      <c r="T289">
        <v>1</v>
      </c>
      <c r="V289">
        <v>0</v>
      </c>
      <c r="X289">
        <v>0</v>
      </c>
      <c r="Z289">
        <v>0</v>
      </c>
    </row>
    <row r="290" spans="1:26" x14ac:dyDescent="0.3">
      <c r="A290" t="s">
        <v>330</v>
      </c>
      <c r="B290">
        <v>45698</v>
      </c>
      <c r="C290" t="s">
        <v>27</v>
      </c>
      <c r="D290" t="s">
        <v>28</v>
      </c>
      <c r="E290" t="s">
        <v>34</v>
      </c>
      <c r="F290" t="s">
        <v>51</v>
      </c>
      <c r="G290" t="s">
        <v>36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P290">
        <v>42.6</v>
      </c>
      <c r="R290">
        <v>0</v>
      </c>
      <c r="T290">
        <v>1</v>
      </c>
      <c r="V290">
        <v>0</v>
      </c>
      <c r="X290">
        <v>0</v>
      </c>
      <c r="Z290">
        <v>0</v>
      </c>
    </row>
    <row r="291" spans="1:26" x14ac:dyDescent="0.3">
      <c r="A291" t="s">
        <v>331</v>
      </c>
      <c r="B291">
        <v>45688</v>
      </c>
      <c r="C291" t="s">
        <v>27</v>
      </c>
      <c r="D291" t="s">
        <v>33</v>
      </c>
      <c r="E291" t="s">
        <v>34</v>
      </c>
      <c r="F291" t="s">
        <v>51</v>
      </c>
      <c r="G291" t="s">
        <v>31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</v>
      </c>
      <c r="N291">
        <v>0</v>
      </c>
      <c r="P291">
        <v>30.4</v>
      </c>
      <c r="R291">
        <v>0</v>
      </c>
      <c r="T291">
        <v>0</v>
      </c>
      <c r="V291">
        <v>0</v>
      </c>
      <c r="X291">
        <v>0</v>
      </c>
      <c r="Z291">
        <v>2</v>
      </c>
    </row>
    <row r="292" spans="1:26" x14ac:dyDescent="0.3">
      <c r="A292" t="s">
        <v>332</v>
      </c>
      <c r="B292">
        <v>45732</v>
      </c>
      <c r="C292" t="s">
        <v>27</v>
      </c>
      <c r="D292" t="s">
        <v>38</v>
      </c>
      <c r="E292" t="s">
        <v>34</v>
      </c>
      <c r="F292" t="s">
        <v>39</v>
      </c>
      <c r="G292" t="s">
        <v>31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P292">
        <v>63.7</v>
      </c>
      <c r="R292">
        <v>0</v>
      </c>
      <c r="T292">
        <v>1</v>
      </c>
      <c r="V292">
        <v>0</v>
      </c>
      <c r="X292">
        <v>0</v>
      </c>
      <c r="Z292">
        <v>0</v>
      </c>
    </row>
    <row r="293" spans="1:26" x14ac:dyDescent="0.3">
      <c r="A293" t="s">
        <v>333</v>
      </c>
      <c r="B293">
        <v>45771</v>
      </c>
      <c r="C293" t="s">
        <v>27</v>
      </c>
      <c r="D293" t="s">
        <v>42</v>
      </c>
      <c r="E293" t="s">
        <v>34</v>
      </c>
      <c r="F293" t="s">
        <v>51</v>
      </c>
      <c r="G293" t="s">
        <v>31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P293">
        <v>42.7</v>
      </c>
      <c r="R293">
        <v>0</v>
      </c>
      <c r="T293">
        <v>0</v>
      </c>
      <c r="V293">
        <v>0</v>
      </c>
      <c r="X293">
        <v>0</v>
      </c>
      <c r="Z293">
        <v>0</v>
      </c>
    </row>
    <row r="294" spans="1:26" x14ac:dyDescent="0.3">
      <c r="A294" t="s">
        <v>334</v>
      </c>
      <c r="B294">
        <v>45685</v>
      </c>
      <c r="C294" t="s">
        <v>27</v>
      </c>
      <c r="D294" t="s">
        <v>28</v>
      </c>
      <c r="E294" t="s">
        <v>34</v>
      </c>
      <c r="F294" t="s">
        <v>35</v>
      </c>
      <c r="G294" t="s">
        <v>36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P294">
        <v>74.3</v>
      </c>
      <c r="R294">
        <v>0</v>
      </c>
      <c r="T294">
        <v>0</v>
      </c>
      <c r="V294">
        <v>0</v>
      </c>
      <c r="X294">
        <v>0</v>
      </c>
      <c r="Z294">
        <v>0</v>
      </c>
    </row>
    <row r="295" spans="1:26" x14ac:dyDescent="0.3">
      <c r="A295" t="s">
        <v>335</v>
      </c>
      <c r="B295">
        <v>45704</v>
      </c>
      <c r="C295" t="s">
        <v>27</v>
      </c>
      <c r="D295" t="s">
        <v>33</v>
      </c>
      <c r="E295" t="s">
        <v>29</v>
      </c>
      <c r="F295" t="s">
        <v>30</v>
      </c>
      <c r="G295" t="s">
        <v>36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P295">
        <v>40.6</v>
      </c>
      <c r="R295">
        <v>0</v>
      </c>
      <c r="T295">
        <v>1</v>
      </c>
      <c r="V295">
        <v>0</v>
      </c>
      <c r="X295">
        <v>0</v>
      </c>
      <c r="Z295">
        <v>0</v>
      </c>
    </row>
    <row r="296" spans="1:26" x14ac:dyDescent="0.3">
      <c r="A296" t="s">
        <v>336</v>
      </c>
      <c r="B296">
        <v>45739</v>
      </c>
      <c r="C296" t="s">
        <v>27</v>
      </c>
      <c r="D296" t="s">
        <v>38</v>
      </c>
      <c r="E296" t="s">
        <v>34</v>
      </c>
      <c r="F296" t="s">
        <v>35</v>
      </c>
      <c r="G296" t="s">
        <v>40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P296">
        <v>67</v>
      </c>
      <c r="R296">
        <v>0</v>
      </c>
      <c r="T296">
        <v>0</v>
      </c>
      <c r="V296">
        <v>0</v>
      </c>
      <c r="X296">
        <v>0</v>
      </c>
      <c r="Z296">
        <v>0</v>
      </c>
    </row>
    <row r="297" spans="1:26" x14ac:dyDescent="0.3">
      <c r="A297" t="s">
        <v>337</v>
      </c>
      <c r="B297">
        <v>45808</v>
      </c>
      <c r="C297" t="s">
        <v>27</v>
      </c>
      <c r="D297" t="s">
        <v>38</v>
      </c>
      <c r="E297" t="s">
        <v>34</v>
      </c>
      <c r="F297" t="s">
        <v>39</v>
      </c>
      <c r="G297" t="s">
        <v>40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P297">
        <v>51</v>
      </c>
      <c r="R297">
        <v>0</v>
      </c>
      <c r="T297">
        <v>0</v>
      </c>
      <c r="V297">
        <v>0</v>
      </c>
      <c r="X297">
        <v>0</v>
      </c>
      <c r="Z297">
        <v>0</v>
      </c>
    </row>
    <row r="298" spans="1:26" x14ac:dyDescent="0.3">
      <c r="A298" t="s">
        <v>338</v>
      </c>
      <c r="B298">
        <v>45760</v>
      </c>
      <c r="C298" t="s">
        <v>27</v>
      </c>
      <c r="D298" t="s">
        <v>33</v>
      </c>
      <c r="E298" t="s">
        <v>34</v>
      </c>
      <c r="F298" t="s">
        <v>51</v>
      </c>
      <c r="G298" t="s">
        <v>31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1</v>
      </c>
      <c r="N298">
        <v>0</v>
      </c>
      <c r="P298">
        <v>54.8</v>
      </c>
      <c r="R298">
        <v>0</v>
      </c>
      <c r="T298">
        <v>1</v>
      </c>
      <c r="V298">
        <v>1</v>
      </c>
      <c r="X298">
        <v>0</v>
      </c>
      <c r="Z298">
        <v>1</v>
      </c>
    </row>
    <row r="299" spans="1:26" x14ac:dyDescent="0.3">
      <c r="A299" t="s">
        <v>339</v>
      </c>
      <c r="B299">
        <v>45791</v>
      </c>
      <c r="C299" t="s">
        <v>27</v>
      </c>
      <c r="D299" t="s">
        <v>28</v>
      </c>
      <c r="E299" t="s">
        <v>44</v>
      </c>
      <c r="F299" t="s">
        <v>30</v>
      </c>
      <c r="G299" t="s">
        <v>31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P299">
        <v>40.799999999999997</v>
      </c>
      <c r="R299">
        <v>0</v>
      </c>
      <c r="T299">
        <v>0</v>
      </c>
      <c r="V299">
        <v>0</v>
      </c>
      <c r="X299">
        <v>0</v>
      </c>
      <c r="Z299">
        <v>0</v>
      </c>
    </row>
    <row r="300" spans="1:26" x14ac:dyDescent="0.3">
      <c r="A300" t="s">
        <v>340</v>
      </c>
      <c r="B300">
        <v>45707</v>
      </c>
      <c r="C300" t="s">
        <v>27</v>
      </c>
      <c r="D300" t="s">
        <v>38</v>
      </c>
      <c r="E300" t="s">
        <v>34</v>
      </c>
      <c r="F300" t="s">
        <v>39</v>
      </c>
      <c r="G300" t="s">
        <v>36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P300">
        <v>48.8</v>
      </c>
      <c r="R300">
        <v>0</v>
      </c>
      <c r="T300">
        <v>0</v>
      </c>
      <c r="V300">
        <v>0</v>
      </c>
      <c r="X300">
        <v>0</v>
      </c>
      <c r="Z300">
        <v>0</v>
      </c>
    </row>
    <row r="301" spans="1:26" x14ac:dyDescent="0.3">
      <c r="A301" t="s">
        <v>341</v>
      </c>
      <c r="B301">
        <v>45681</v>
      </c>
      <c r="C301" t="s">
        <v>27</v>
      </c>
      <c r="D301" t="s">
        <v>42</v>
      </c>
      <c r="E301" t="s">
        <v>34</v>
      </c>
      <c r="G301" t="s">
        <v>31</v>
      </c>
      <c r="H301">
        <v>1</v>
      </c>
      <c r="I301">
        <v>1</v>
      </c>
      <c r="J301">
        <v>1</v>
      </c>
      <c r="K301">
        <v>1</v>
      </c>
      <c r="L301">
        <v>1198.69</v>
      </c>
      <c r="M301">
        <v>1</v>
      </c>
      <c r="N301">
        <v>0</v>
      </c>
      <c r="O301">
        <v>6</v>
      </c>
      <c r="P301">
        <v>88.9</v>
      </c>
      <c r="R301">
        <v>1</v>
      </c>
      <c r="T301">
        <v>1</v>
      </c>
      <c r="V301">
        <v>1</v>
      </c>
      <c r="X301">
        <v>1</v>
      </c>
      <c r="Z301">
        <v>1</v>
      </c>
    </row>
    <row r="302" spans="1:26" x14ac:dyDescent="0.3">
      <c r="A302" t="s">
        <v>342</v>
      </c>
      <c r="B302">
        <v>45786</v>
      </c>
      <c r="C302" t="s">
        <v>27</v>
      </c>
      <c r="D302" t="s">
        <v>28</v>
      </c>
      <c r="E302" t="s">
        <v>34</v>
      </c>
      <c r="F302" t="s">
        <v>30</v>
      </c>
      <c r="G302" t="s">
        <v>31</v>
      </c>
      <c r="H302">
        <v>1</v>
      </c>
      <c r="I302">
        <v>1</v>
      </c>
      <c r="J302">
        <v>1</v>
      </c>
      <c r="K302">
        <v>0</v>
      </c>
      <c r="L302">
        <v>0</v>
      </c>
      <c r="M302">
        <v>1</v>
      </c>
      <c r="N302">
        <v>0</v>
      </c>
      <c r="P302">
        <v>60.5</v>
      </c>
      <c r="R302">
        <v>0</v>
      </c>
      <c r="T302">
        <v>1</v>
      </c>
      <c r="V302">
        <v>1</v>
      </c>
      <c r="X302">
        <v>1</v>
      </c>
      <c r="Z302">
        <v>1</v>
      </c>
    </row>
    <row r="303" spans="1:26" x14ac:dyDescent="0.3">
      <c r="A303" t="s">
        <v>343</v>
      </c>
      <c r="B303">
        <v>45699</v>
      </c>
      <c r="C303" t="s">
        <v>27</v>
      </c>
      <c r="D303" t="s">
        <v>28</v>
      </c>
      <c r="E303" t="s">
        <v>34</v>
      </c>
      <c r="F303" t="s">
        <v>35</v>
      </c>
      <c r="G303" t="s">
        <v>31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P303">
        <v>63.6</v>
      </c>
      <c r="R303">
        <v>0</v>
      </c>
      <c r="T303">
        <v>1</v>
      </c>
      <c r="V303">
        <v>0</v>
      </c>
      <c r="X303">
        <v>0</v>
      </c>
      <c r="Z303">
        <v>0</v>
      </c>
    </row>
    <row r="304" spans="1:26" x14ac:dyDescent="0.3">
      <c r="A304" t="s">
        <v>344</v>
      </c>
      <c r="B304">
        <v>45714</v>
      </c>
      <c r="C304" t="s">
        <v>27</v>
      </c>
      <c r="D304" t="s">
        <v>28</v>
      </c>
      <c r="E304" t="s">
        <v>29</v>
      </c>
      <c r="F304" t="s">
        <v>35</v>
      </c>
      <c r="G304" t="s">
        <v>31</v>
      </c>
      <c r="H304">
        <v>1</v>
      </c>
      <c r="I304">
        <v>1</v>
      </c>
      <c r="J304">
        <v>1</v>
      </c>
      <c r="K304">
        <v>1</v>
      </c>
      <c r="L304">
        <v>6788.95</v>
      </c>
      <c r="M304">
        <v>0</v>
      </c>
      <c r="N304">
        <v>0</v>
      </c>
      <c r="O304">
        <v>17</v>
      </c>
      <c r="P304">
        <v>58.4</v>
      </c>
      <c r="R304">
        <v>1</v>
      </c>
      <c r="T304">
        <v>1</v>
      </c>
      <c r="V304">
        <v>1</v>
      </c>
      <c r="X304">
        <v>1</v>
      </c>
      <c r="Z304">
        <v>0</v>
      </c>
    </row>
    <row r="305" spans="1:26" x14ac:dyDescent="0.3">
      <c r="A305" t="s">
        <v>345</v>
      </c>
      <c r="B305">
        <v>45700</v>
      </c>
      <c r="C305" t="s">
        <v>27</v>
      </c>
      <c r="D305" t="s">
        <v>42</v>
      </c>
      <c r="E305" t="s">
        <v>34</v>
      </c>
      <c r="F305" t="s">
        <v>51</v>
      </c>
      <c r="G305" t="s">
        <v>40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P305">
        <v>52.7</v>
      </c>
      <c r="R305">
        <v>0</v>
      </c>
      <c r="T305">
        <v>0</v>
      </c>
      <c r="V305">
        <v>0</v>
      </c>
      <c r="X305">
        <v>0</v>
      </c>
      <c r="Z305">
        <v>0</v>
      </c>
    </row>
    <row r="306" spans="1:26" x14ac:dyDescent="0.3">
      <c r="A306" t="s">
        <v>346</v>
      </c>
      <c r="B306">
        <v>45662</v>
      </c>
      <c r="C306" t="s">
        <v>27</v>
      </c>
      <c r="D306" t="s">
        <v>42</v>
      </c>
      <c r="E306" t="s">
        <v>44</v>
      </c>
      <c r="F306" t="s">
        <v>51</v>
      </c>
      <c r="G306" t="s">
        <v>40</v>
      </c>
      <c r="H306">
        <v>1</v>
      </c>
      <c r="I306">
        <v>1</v>
      </c>
      <c r="J306">
        <v>1</v>
      </c>
      <c r="K306">
        <v>0</v>
      </c>
      <c r="L306">
        <v>0</v>
      </c>
      <c r="M306">
        <v>2</v>
      </c>
      <c r="N306">
        <v>0</v>
      </c>
      <c r="P306">
        <v>48.9</v>
      </c>
      <c r="R306">
        <v>0</v>
      </c>
      <c r="T306">
        <v>1</v>
      </c>
      <c r="V306">
        <v>1</v>
      </c>
      <c r="X306">
        <v>1</v>
      </c>
      <c r="Z306">
        <v>2</v>
      </c>
    </row>
    <row r="307" spans="1:26" x14ac:dyDescent="0.3">
      <c r="A307" t="s">
        <v>347</v>
      </c>
      <c r="B307">
        <v>45796</v>
      </c>
      <c r="C307" t="s">
        <v>27</v>
      </c>
      <c r="D307" t="s">
        <v>33</v>
      </c>
      <c r="E307" t="s">
        <v>34</v>
      </c>
      <c r="F307" t="s">
        <v>35</v>
      </c>
      <c r="G307" t="s">
        <v>40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P307">
        <v>79.7</v>
      </c>
      <c r="R307">
        <v>0</v>
      </c>
      <c r="T307">
        <v>0</v>
      </c>
      <c r="V307">
        <v>0</v>
      </c>
      <c r="X307">
        <v>0</v>
      </c>
      <c r="Z307">
        <v>0</v>
      </c>
    </row>
    <row r="308" spans="1:26" x14ac:dyDescent="0.3">
      <c r="A308" t="s">
        <v>348</v>
      </c>
      <c r="B308">
        <v>45690</v>
      </c>
      <c r="C308" t="s">
        <v>27</v>
      </c>
      <c r="D308" t="s">
        <v>28</v>
      </c>
      <c r="E308" t="s">
        <v>34</v>
      </c>
      <c r="F308" t="s">
        <v>51</v>
      </c>
      <c r="G308" t="s">
        <v>36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P308">
        <v>44.9</v>
      </c>
      <c r="R308">
        <v>0</v>
      </c>
      <c r="T308">
        <v>1</v>
      </c>
      <c r="V308">
        <v>0</v>
      </c>
      <c r="X308">
        <v>0</v>
      </c>
      <c r="Z308">
        <v>0</v>
      </c>
    </row>
    <row r="309" spans="1:26" x14ac:dyDescent="0.3">
      <c r="A309" t="s">
        <v>349</v>
      </c>
      <c r="B309">
        <v>45687</v>
      </c>
      <c r="C309" t="s">
        <v>27</v>
      </c>
      <c r="D309" t="s">
        <v>33</v>
      </c>
      <c r="E309" t="s">
        <v>44</v>
      </c>
      <c r="F309" t="s">
        <v>39</v>
      </c>
      <c r="G309" t="s">
        <v>36</v>
      </c>
      <c r="H309">
        <v>1</v>
      </c>
      <c r="I309">
        <v>1</v>
      </c>
      <c r="J309">
        <v>1</v>
      </c>
      <c r="K309">
        <v>1</v>
      </c>
      <c r="L309">
        <v>409.39</v>
      </c>
      <c r="M309">
        <v>0</v>
      </c>
      <c r="N309">
        <v>0</v>
      </c>
      <c r="O309">
        <v>10</v>
      </c>
      <c r="P309">
        <v>38.799999999999997</v>
      </c>
      <c r="R309">
        <v>1</v>
      </c>
      <c r="T309">
        <v>1</v>
      </c>
      <c r="V309">
        <v>1</v>
      </c>
      <c r="X309">
        <v>1</v>
      </c>
      <c r="Z309">
        <v>0</v>
      </c>
    </row>
    <row r="310" spans="1:26" x14ac:dyDescent="0.3">
      <c r="A310" t="s">
        <v>350</v>
      </c>
      <c r="B310">
        <v>45778</v>
      </c>
      <c r="C310" t="s">
        <v>27</v>
      </c>
      <c r="D310" t="s">
        <v>42</v>
      </c>
      <c r="E310" t="s">
        <v>29</v>
      </c>
      <c r="F310" t="s">
        <v>30</v>
      </c>
      <c r="G310" t="s">
        <v>36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P310">
        <v>70</v>
      </c>
      <c r="R310">
        <v>0</v>
      </c>
      <c r="T310">
        <v>0</v>
      </c>
      <c r="V310">
        <v>0</v>
      </c>
      <c r="X310">
        <v>0</v>
      </c>
      <c r="Z310">
        <v>0</v>
      </c>
    </row>
    <row r="311" spans="1:26" x14ac:dyDescent="0.3">
      <c r="A311" t="s">
        <v>351</v>
      </c>
      <c r="B311">
        <v>45793</v>
      </c>
      <c r="C311" t="s">
        <v>27</v>
      </c>
      <c r="D311" t="s">
        <v>42</v>
      </c>
      <c r="E311" t="s">
        <v>29</v>
      </c>
      <c r="F311" t="s">
        <v>49</v>
      </c>
      <c r="G311" t="s">
        <v>31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P311">
        <v>77.7</v>
      </c>
      <c r="R311">
        <v>0</v>
      </c>
      <c r="T311">
        <v>1</v>
      </c>
      <c r="V311">
        <v>0</v>
      </c>
      <c r="X311">
        <v>0</v>
      </c>
      <c r="Z311">
        <v>0</v>
      </c>
    </row>
    <row r="312" spans="1:26" x14ac:dyDescent="0.3">
      <c r="A312" t="s">
        <v>352</v>
      </c>
      <c r="B312">
        <v>45724</v>
      </c>
      <c r="C312" t="s">
        <v>27</v>
      </c>
      <c r="D312" t="s">
        <v>33</v>
      </c>
      <c r="E312" t="s">
        <v>34</v>
      </c>
      <c r="F312" t="s">
        <v>35</v>
      </c>
      <c r="G312" t="s">
        <v>36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P312">
        <v>71.2</v>
      </c>
      <c r="R312">
        <v>0</v>
      </c>
      <c r="T312">
        <v>0</v>
      </c>
      <c r="V312">
        <v>0</v>
      </c>
      <c r="X312">
        <v>0</v>
      </c>
      <c r="Z312">
        <v>0</v>
      </c>
    </row>
    <row r="313" spans="1:26" x14ac:dyDescent="0.3">
      <c r="A313" t="s">
        <v>353</v>
      </c>
      <c r="B313">
        <v>45751</v>
      </c>
      <c r="C313" t="s">
        <v>27</v>
      </c>
      <c r="D313" t="s">
        <v>28</v>
      </c>
      <c r="E313" t="s">
        <v>34</v>
      </c>
      <c r="F313" t="s">
        <v>35</v>
      </c>
      <c r="G313" t="s">
        <v>31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P313">
        <v>43.8</v>
      </c>
      <c r="R313">
        <v>0</v>
      </c>
      <c r="T313">
        <v>1</v>
      </c>
      <c r="V313">
        <v>0</v>
      </c>
      <c r="X313">
        <v>0</v>
      </c>
      <c r="Z313">
        <v>0</v>
      </c>
    </row>
    <row r="314" spans="1:26" x14ac:dyDescent="0.3">
      <c r="A314" t="s">
        <v>354</v>
      </c>
      <c r="B314">
        <v>45807</v>
      </c>
      <c r="C314" t="s">
        <v>27</v>
      </c>
      <c r="D314" t="s">
        <v>42</v>
      </c>
      <c r="E314" t="s">
        <v>44</v>
      </c>
      <c r="F314" t="s">
        <v>35</v>
      </c>
      <c r="G314" t="s">
        <v>36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P314">
        <v>50.9</v>
      </c>
      <c r="R314">
        <v>0</v>
      </c>
      <c r="T314">
        <v>1</v>
      </c>
      <c r="V314">
        <v>0</v>
      </c>
      <c r="X314">
        <v>0</v>
      </c>
      <c r="Z314">
        <v>0</v>
      </c>
    </row>
    <row r="315" spans="1:26" x14ac:dyDescent="0.3">
      <c r="A315" t="s">
        <v>355</v>
      </c>
      <c r="B315">
        <v>45662</v>
      </c>
      <c r="C315" t="s">
        <v>27</v>
      </c>
      <c r="D315" t="s">
        <v>33</v>
      </c>
      <c r="E315" t="s">
        <v>34</v>
      </c>
      <c r="F315" t="s">
        <v>35</v>
      </c>
      <c r="G315" t="s">
        <v>40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P315">
        <v>58.5</v>
      </c>
      <c r="R315">
        <v>0</v>
      </c>
      <c r="T315">
        <v>0</v>
      </c>
      <c r="V315">
        <v>0</v>
      </c>
      <c r="X315">
        <v>0</v>
      </c>
      <c r="Z315">
        <v>0</v>
      </c>
    </row>
    <row r="316" spans="1:26" x14ac:dyDescent="0.3">
      <c r="A316" t="s">
        <v>356</v>
      </c>
      <c r="B316">
        <v>45677</v>
      </c>
      <c r="C316" t="s">
        <v>27</v>
      </c>
      <c r="D316" t="s">
        <v>38</v>
      </c>
      <c r="E316" t="s">
        <v>34</v>
      </c>
      <c r="F316" t="s">
        <v>35</v>
      </c>
      <c r="G316" t="s">
        <v>36</v>
      </c>
      <c r="H316">
        <v>1</v>
      </c>
      <c r="I316">
        <v>1</v>
      </c>
      <c r="J316">
        <v>1</v>
      </c>
      <c r="K316">
        <v>0</v>
      </c>
      <c r="L316">
        <v>0</v>
      </c>
      <c r="M316">
        <v>0</v>
      </c>
      <c r="N316">
        <v>0</v>
      </c>
      <c r="P316">
        <v>53.6</v>
      </c>
      <c r="R316">
        <v>0</v>
      </c>
      <c r="T316">
        <v>1</v>
      </c>
      <c r="V316">
        <v>1</v>
      </c>
      <c r="X316">
        <v>1</v>
      </c>
      <c r="Z316">
        <v>0</v>
      </c>
    </row>
    <row r="317" spans="1:26" x14ac:dyDescent="0.3">
      <c r="A317" t="s">
        <v>357</v>
      </c>
      <c r="B317">
        <v>45778</v>
      </c>
      <c r="C317" t="s">
        <v>27</v>
      </c>
      <c r="D317" t="s">
        <v>38</v>
      </c>
      <c r="E317" t="s">
        <v>34</v>
      </c>
      <c r="F317" t="s">
        <v>30</v>
      </c>
      <c r="G317" t="s">
        <v>36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P317">
        <v>54.9</v>
      </c>
      <c r="R317">
        <v>0</v>
      </c>
      <c r="T317">
        <v>0</v>
      </c>
      <c r="V317">
        <v>0</v>
      </c>
      <c r="X317">
        <v>0</v>
      </c>
      <c r="Z317">
        <v>0</v>
      </c>
    </row>
    <row r="318" spans="1:26" x14ac:dyDescent="0.3">
      <c r="A318" t="s">
        <v>358</v>
      </c>
      <c r="B318">
        <v>45721</v>
      </c>
      <c r="C318" t="s">
        <v>27</v>
      </c>
      <c r="D318" t="s">
        <v>28</v>
      </c>
      <c r="E318" t="s">
        <v>29</v>
      </c>
      <c r="F318" t="s">
        <v>35</v>
      </c>
      <c r="G318" t="s">
        <v>40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P318">
        <v>57.3</v>
      </c>
      <c r="R318">
        <v>0</v>
      </c>
      <c r="T318">
        <v>0</v>
      </c>
      <c r="V318">
        <v>0</v>
      </c>
      <c r="X318">
        <v>0</v>
      </c>
      <c r="Z318">
        <v>0</v>
      </c>
    </row>
    <row r="319" spans="1:26" x14ac:dyDescent="0.3">
      <c r="A319" t="s">
        <v>359</v>
      </c>
      <c r="B319">
        <v>45748</v>
      </c>
      <c r="C319" t="s">
        <v>27</v>
      </c>
      <c r="D319" t="s">
        <v>38</v>
      </c>
      <c r="E319" t="s">
        <v>29</v>
      </c>
      <c r="F319" t="s">
        <v>49</v>
      </c>
      <c r="G319" t="s">
        <v>36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P319">
        <v>52.1</v>
      </c>
      <c r="R319">
        <v>0</v>
      </c>
      <c r="T319">
        <v>1</v>
      </c>
      <c r="V319">
        <v>0</v>
      </c>
      <c r="X319">
        <v>0</v>
      </c>
      <c r="Z319">
        <v>0</v>
      </c>
    </row>
    <row r="320" spans="1:26" x14ac:dyDescent="0.3">
      <c r="A320" t="s">
        <v>360</v>
      </c>
      <c r="B320">
        <v>45780</v>
      </c>
      <c r="C320" t="s">
        <v>27</v>
      </c>
      <c r="D320" t="s">
        <v>28</v>
      </c>
      <c r="E320" t="s">
        <v>34</v>
      </c>
      <c r="F320" t="s">
        <v>35</v>
      </c>
      <c r="G320" t="s">
        <v>36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P320">
        <v>80</v>
      </c>
      <c r="R320">
        <v>0</v>
      </c>
      <c r="T320">
        <v>1</v>
      </c>
      <c r="V320">
        <v>0</v>
      </c>
      <c r="X320">
        <v>0</v>
      </c>
      <c r="Z320">
        <v>0</v>
      </c>
    </row>
    <row r="321" spans="1:26" x14ac:dyDescent="0.3">
      <c r="A321" t="s">
        <v>361</v>
      </c>
      <c r="B321">
        <v>45722</v>
      </c>
      <c r="C321" t="s">
        <v>27</v>
      </c>
      <c r="D321" t="s">
        <v>42</v>
      </c>
      <c r="E321" t="s">
        <v>29</v>
      </c>
      <c r="F321" t="s">
        <v>39</v>
      </c>
      <c r="G321" t="s">
        <v>40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P321">
        <v>39.299999999999997</v>
      </c>
      <c r="R321">
        <v>0</v>
      </c>
      <c r="T321">
        <v>1</v>
      </c>
      <c r="V321">
        <v>0</v>
      </c>
      <c r="X321">
        <v>0</v>
      </c>
      <c r="Z321">
        <v>0</v>
      </c>
    </row>
    <row r="322" spans="1:26" x14ac:dyDescent="0.3">
      <c r="A322" t="s">
        <v>362</v>
      </c>
      <c r="B322">
        <v>45748</v>
      </c>
      <c r="C322" t="s">
        <v>27</v>
      </c>
      <c r="D322" t="s">
        <v>28</v>
      </c>
      <c r="E322" t="s">
        <v>29</v>
      </c>
      <c r="F322" t="s">
        <v>49</v>
      </c>
      <c r="G322" t="s">
        <v>40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P322">
        <v>45.7</v>
      </c>
      <c r="R322">
        <v>0</v>
      </c>
      <c r="T322">
        <v>0</v>
      </c>
      <c r="V322">
        <v>0</v>
      </c>
      <c r="X322">
        <v>0</v>
      </c>
      <c r="Z322">
        <v>0</v>
      </c>
    </row>
    <row r="323" spans="1:26" x14ac:dyDescent="0.3">
      <c r="A323" t="s">
        <v>363</v>
      </c>
      <c r="B323">
        <v>45697</v>
      </c>
      <c r="C323" t="s">
        <v>27</v>
      </c>
      <c r="D323" t="s">
        <v>28</v>
      </c>
      <c r="E323" t="s">
        <v>29</v>
      </c>
      <c r="F323" t="s">
        <v>51</v>
      </c>
      <c r="G323" t="s">
        <v>31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2</v>
      </c>
      <c r="N323">
        <v>0</v>
      </c>
      <c r="P323">
        <v>61.2</v>
      </c>
      <c r="R323">
        <v>0</v>
      </c>
      <c r="T323">
        <v>1</v>
      </c>
      <c r="V323">
        <v>0</v>
      </c>
      <c r="X323">
        <v>0</v>
      </c>
      <c r="Z323">
        <v>2</v>
      </c>
    </row>
    <row r="324" spans="1:26" x14ac:dyDescent="0.3">
      <c r="A324" t="s">
        <v>364</v>
      </c>
      <c r="B324">
        <v>45759</v>
      </c>
      <c r="C324" t="s">
        <v>27</v>
      </c>
      <c r="D324" t="s">
        <v>33</v>
      </c>
      <c r="E324" t="s">
        <v>34</v>
      </c>
      <c r="F324" t="s">
        <v>35</v>
      </c>
      <c r="G324" t="s">
        <v>31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P324">
        <v>66.2</v>
      </c>
      <c r="R324">
        <v>0</v>
      </c>
      <c r="T324">
        <v>1</v>
      </c>
      <c r="V324">
        <v>1</v>
      </c>
      <c r="X324">
        <v>0</v>
      </c>
      <c r="Z324">
        <v>0</v>
      </c>
    </row>
    <row r="325" spans="1:26" x14ac:dyDescent="0.3">
      <c r="A325" t="s">
        <v>365</v>
      </c>
      <c r="B325">
        <v>45734</v>
      </c>
      <c r="C325" t="s">
        <v>27</v>
      </c>
      <c r="D325" t="s">
        <v>38</v>
      </c>
      <c r="E325" t="s">
        <v>34</v>
      </c>
      <c r="F325" t="s">
        <v>51</v>
      </c>
      <c r="G325" t="s">
        <v>36</v>
      </c>
      <c r="H325">
        <v>1</v>
      </c>
      <c r="I325">
        <v>1</v>
      </c>
      <c r="J325">
        <v>1</v>
      </c>
      <c r="K325">
        <v>0</v>
      </c>
      <c r="L325">
        <v>0</v>
      </c>
      <c r="M325">
        <v>0</v>
      </c>
      <c r="N325">
        <v>0</v>
      </c>
      <c r="P325">
        <v>61.3</v>
      </c>
      <c r="R325">
        <v>0</v>
      </c>
      <c r="T325">
        <v>1</v>
      </c>
      <c r="V325">
        <v>1</v>
      </c>
      <c r="X325">
        <v>1</v>
      </c>
      <c r="Z325">
        <v>0</v>
      </c>
    </row>
    <row r="326" spans="1:26" x14ac:dyDescent="0.3">
      <c r="A326" t="s">
        <v>366</v>
      </c>
      <c r="B326">
        <v>45750</v>
      </c>
      <c r="C326" t="s">
        <v>27</v>
      </c>
      <c r="D326" t="s">
        <v>38</v>
      </c>
      <c r="E326" t="s">
        <v>34</v>
      </c>
      <c r="F326" t="s">
        <v>39</v>
      </c>
      <c r="G326" t="s">
        <v>36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P326">
        <v>72.2</v>
      </c>
      <c r="R326">
        <v>0</v>
      </c>
      <c r="T326">
        <v>1</v>
      </c>
      <c r="V326">
        <v>0</v>
      </c>
      <c r="X326">
        <v>0</v>
      </c>
      <c r="Z326">
        <v>0</v>
      </c>
    </row>
    <row r="327" spans="1:26" x14ac:dyDescent="0.3">
      <c r="A327" t="s">
        <v>367</v>
      </c>
      <c r="B327">
        <v>45749</v>
      </c>
      <c r="C327" t="s">
        <v>27</v>
      </c>
      <c r="D327" t="s">
        <v>33</v>
      </c>
      <c r="E327" t="s">
        <v>34</v>
      </c>
      <c r="F327" t="s">
        <v>30</v>
      </c>
      <c r="G327" t="s">
        <v>40</v>
      </c>
      <c r="H327">
        <v>1</v>
      </c>
      <c r="I327">
        <v>1</v>
      </c>
      <c r="J327">
        <v>1</v>
      </c>
      <c r="K327">
        <v>0</v>
      </c>
      <c r="L327">
        <v>0</v>
      </c>
      <c r="M327">
        <v>0</v>
      </c>
      <c r="N327">
        <v>0</v>
      </c>
      <c r="P327">
        <v>84</v>
      </c>
      <c r="R327">
        <v>0</v>
      </c>
      <c r="T327">
        <v>1</v>
      </c>
      <c r="V327">
        <v>1</v>
      </c>
      <c r="X327">
        <v>1</v>
      </c>
      <c r="Z327">
        <v>0</v>
      </c>
    </row>
    <row r="328" spans="1:26" x14ac:dyDescent="0.3">
      <c r="A328" t="s">
        <v>368</v>
      </c>
      <c r="B328">
        <v>45787</v>
      </c>
      <c r="C328" t="s">
        <v>27</v>
      </c>
      <c r="D328" t="s">
        <v>33</v>
      </c>
      <c r="E328" t="s">
        <v>29</v>
      </c>
      <c r="F328" t="s">
        <v>30</v>
      </c>
      <c r="G328" t="s">
        <v>31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P328">
        <v>59.8</v>
      </c>
      <c r="R328">
        <v>0</v>
      </c>
      <c r="T328">
        <v>0</v>
      </c>
      <c r="V328">
        <v>0</v>
      </c>
      <c r="X328">
        <v>0</v>
      </c>
      <c r="Z328">
        <v>0</v>
      </c>
    </row>
    <row r="329" spans="1:26" x14ac:dyDescent="0.3">
      <c r="A329" t="s">
        <v>369</v>
      </c>
      <c r="B329">
        <v>45776</v>
      </c>
      <c r="C329" t="s">
        <v>27</v>
      </c>
      <c r="D329" t="s">
        <v>33</v>
      </c>
      <c r="E329" t="s">
        <v>29</v>
      </c>
      <c r="F329" t="s">
        <v>39</v>
      </c>
      <c r="G329" t="s">
        <v>36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P329">
        <v>64.900000000000006</v>
      </c>
      <c r="R329">
        <v>0</v>
      </c>
      <c r="T329">
        <v>1</v>
      </c>
      <c r="V329">
        <v>0</v>
      </c>
      <c r="X329">
        <v>0</v>
      </c>
      <c r="Z329">
        <v>0</v>
      </c>
    </row>
    <row r="330" spans="1:26" x14ac:dyDescent="0.3">
      <c r="A330" t="s">
        <v>370</v>
      </c>
      <c r="B330">
        <v>45715</v>
      </c>
      <c r="C330" t="s">
        <v>27</v>
      </c>
      <c r="D330" t="s">
        <v>42</v>
      </c>
      <c r="E330" t="s">
        <v>34</v>
      </c>
      <c r="F330" t="s">
        <v>39</v>
      </c>
      <c r="G330" t="s">
        <v>36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P330">
        <v>66.8</v>
      </c>
      <c r="R330">
        <v>0</v>
      </c>
      <c r="T330">
        <v>1</v>
      </c>
      <c r="V330">
        <v>0</v>
      </c>
      <c r="X330">
        <v>0</v>
      </c>
      <c r="Z330">
        <v>0</v>
      </c>
    </row>
    <row r="331" spans="1:26" x14ac:dyDescent="0.3">
      <c r="A331" t="s">
        <v>371</v>
      </c>
      <c r="B331">
        <v>45757</v>
      </c>
      <c r="C331" t="s">
        <v>27</v>
      </c>
      <c r="D331" t="s">
        <v>28</v>
      </c>
      <c r="E331" t="s">
        <v>29</v>
      </c>
      <c r="F331" t="s">
        <v>35</v>
      </c>
      <c r="G331" t="s">
        <v>40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P331">
        <v>70.900000000000006</v>
      </c>
      <c r="R331">
        <v>0</v>
      </c>
      <c r="T331">
        <v>0</v>
      </c>
      <c r="V331">
        <v>0</v>
      </c>
      <c r="X331">
        <v>0</v>
      </c>
      <c r="Z331">
        <v>0</v>
      </c>
    </row>
    <row r="332" spans="1:26" x14ac:dyDescent="0.3">
      <c r="A332" t="s">
        <v>372</v>
      </c>
      <c r="B332">
        <v>45701</v>
      </c>
      <c r="C332" t="s">
        <v>27</v>
      </c>
      <c r="D332" t="s">
        <v>38</v>
      </c>
      <c r="E332" t="s">
        <v>34</v>
      </c>
      <c r="F332" t="s">
        <v>35</v>
      </c>
      <c r="G332" t="s">
        <v>36</v>
      </c>
      <c r="H332">
        <v>1</v>
      </c>
      <c r="I332">
        <v>1</v>
      </c>
      <c r="J332">
        <v>1</v>
      </c>
      <c r="K332">
        <v>1</v>
      </c>
      <c r="L332">
        <v>426.82</v>
      </c>
      <c r="M332">
        <v>1</v>
      </c>
      <c r="N332">
        <v>0</v>
      </c>
      <c r="O332">
        <v>14</v>
      </c>
      <c r="P332">
        <v>68.8</v>
      </c>
      <c r="R332">
        <v>1</v>
      </c>
      <c r="T332">
        <v>1</v>
      </c>
      <c r="V332">
        <v>1</v>
      </c>
      <c r="X332">
        <v>1</v>
      </c>
      <c r="Z332">
        <v>1</v>
      </c>
    </row>
    <row r="333" spans="1:26" x14ac:dyDescent="0.3">
      <c r="A333" t="s">
        <v>373</v>
      </c>
      <c r="B333">
        <v>45780</v>
      </c>
      <c r="C333" t="s">
        <v>27</v>
      </c>
      <c r="D333" t="s">
        <v>28</v>
      </c>
      <c r="E333" t="s">
        <v>34</v>
      </c>
      <c r="F333" t="s">
        <v>35</v>
      </c>
      <c r="G333" t="s">
        <v>31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P333">
        <v>72.400000000000006</v>
      </c>
      <c r="R333">
        <v>0</v>
      </c>
      <c r="T333">
        <v>1</v>
      </c>
      <c r="V333">
        <v>0</v>
      </c>
      <c r="X333">
        <v>0</v>
      </c>
      <c r="Z333">
        <v>0</v>
      </c>
    </row>
    <row r="334" spans="1:26" x14ac:dyDescent="0.3">
      <c r="A334" t="s">
        <v>374</v>
      </c>
      <c r="B334">
        <v>45726</v>
      </c>
      <c r="C334" t="s">
        <v>27</v>
      </c>
      <c r="D334" t="s">
        <v>38</v>
      </c>
      <c r="E334" t="s">
        <v>34</v>
      </c>
      <c r="F334" t="s">
        <v>35</v>
      </c>
      <c r="G334" t="s">
        <v>31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P334">
        <v>63.3</v>
      </c>
      <c r="R334">
        <v>0</v>
      </c>
      <c r="T334">
        <v>0</v>
      </c>
      <c r="V334">
        <v>0</v>
      </c>
      <c r="X334">
        <v>0</v>
      </c>
      <c r="Z334">
        <v>0</v>
      </c>
    </row>
    <row r="335" spans="1:26" x14ac:dyDescent="0.3">
      <c r="A335" t="s">
        <v>375</v>
      </c>
      <c r="B335">
        <v>45667</v>
      </c>
      <c r="C335" t="s">
        <v>27</v>
      </c>
      <c r="D335" t="s">
        <v>33</v>
      </c>
      <c r="E335" t="s">
        <v>44</v>
      </c>
      <c r="F335" t="s">
        <v>51</v>
      </c>
      <c r="G335" t="s">
        <v>36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P335">
        <v>30.8</v>
      </c>
      <c r="R335">
        <v>0</v>
      </c>
      <c r="T335">
        <v>1</v>
      </c>
      <c r="V335">
        <v>0</v>
      </c>
      <c r="X335">
        <v>0</v>
      </c>
      <c r="Z335">
        <v>0</v>
      </c>
    </row>
    <row r="336" spans="1:26" x14ac:dyDescent="0.3">
      <c r="A336" t="s">
        <v>376</v>
      </c>
      <c r="B336">
        <v>45673</v>
      </c>
      <c r="C336" t="s">
        <v>27</v>
      </c>
      <c r="D336" t="s">
        <v>42</v>
      </c>
      <c r="E336" t="s">
        <v>34</v>
      </c>
      <c r="F336" t="s">
        <v>30</v>
      </c>
      <c r="G336" t="s">
        <v>31</v>
      </c>
      <c r="H336">
        <v>1</v>
      </c>
      <c r="I336">
        <v>1</v>
      </c>
      <c r="J336">
        <v>1</v>
      </c>
      <c r="K336">
        <v>1</v>
      </c>
      <c r="L336">
        <v>874.55</v>
      </c>
      <c r="M336">
        <v>0</v>
      </c>
      <c r="N336">
        <v>0</v>
      </c>
      <c r="O336">
        <v>9</v>
      </c>
      <c r="P336">
        <v>44.2</v>
      </c>
      <c r="R336">
        <v>1</v>
      </c>
      <c r="T336">
        <v>1</v>
      </c>
      <c r="V336">
        <v>1</v>
      </c>
      <c r="X336">
        <v>1</v>
      </c>
      <c r="Z336">
        <v>0</v>
      </c>
    </row>
    <row r="337" spans="1:26" x14ac:dyDescent="0.3">
      <c r="A337" t="s">
        <v>377</v>
      </c>
      <c r="B337">
        <v>45699</v>
      </c>
      <c r="C337" t="s">
        <v>27</v>
      </c>
      <c r="D337" t="s">
        <v>42</v>
      </c>
      <c r="E337" t="s">
        <v>29</v>
      </c>
      <c r="F337" t="s">
        <v>35</v>
      </c>
      <c r="G337" t="s">
        <v>40</v>
      </c>
      <c r="H337">
        <v>1</v>
      </c>
      <c r="I337">
        <v>1</v>
      </c>
      <c r="J337">
        <v>1</v>
      </c>
      <c r="K337">
        <v>1</v>
      </c>
      <c r="L337">
        <v>2206.88</v>
      </c>
      <c r="M337">
        <v>0</v>
      </c>
      <c r="N337">
        <v>0</v>
      </c>
      <c r="O337">
        <v>10</v>
      </c>
      <c r="P337">
        <v>56.2</v>
      </c>
      <c r="R337">
        <v>1</v>
      </c>
      <c r="T337">
        <v>1</v>
      </c>
      <c r="V337">
        <v>1</v>
      </c>
      <c r="X337">
        <v>1</v>
      </c>
      <c r="Z337">
        <v>0</v>
      </c>
    </row>
    <row r="338" spans="1:26" x14ac:dyDescent="0.3">
      <c r="A338" t="s">
        <v>378</v>
      </c>
      <c r="B338">
        <v>45760</v>
      </c>
      <c r="C338" t="s">
        <v>27</v>
      </c>
      <c r="D338" t="s">
        <v>33</v>
      </c>
      <c r="E338" t="s">
        <v>34</v>
      </c>
      <c r="F338" t="s">
        <v>35</v>
      </c>
      <c r="G338" t="s">
        <v>36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P338">
        <v>40.4</v>
      </c>
      <c r="R338">
        <v>0</v>
      </c>
      <c r="T338">
        <v>0</v>
      </c>
      <c r="V338">
        <v>0</v>
      </c>
      <c r="X338">
        <v>0</v>
      </c>
      <c r="Z338">
        <v>0</v>
      </c>
    </row>
    <row r="339" spans="1:26" x14ac:dyDescent="0.3">
      <c r="A339" t="s">
        <v>379</v>
      </c>
      <c r="B339">
        <v>45696</v>
      </c>
      <c r="C339" t="s">
        <v>27</v>
      </c>
      <c r="D339" t="s">
        <v>38</v>
      </c>
      <c r="E339" t="s">
        <v>34</v>
      </c>
      <c r="F339" t="s">
        <v>39</v>
      </c>
      <c r="G339" t="s">
        <v>36</v>
      </c>
      <c r="H339">
        <v>1</v>
      </c>
      <c r="I339">
        <v>1</v>
      </c>
      <c r="J339">
        <v>1</v>
      </c>
      <c r="K339">
        <v>0</v>
      </c>
      <c r="L339">
        <v>0</v>
      </c>
      <c r="M339">
        <v>0</v>
      </c>
      <c r="N339">
        <v>0</v>
      </c>
      <c r="P339">
        <v>68.099999999999994</v>
      </c>
      <c r="R339">
        <v>0</v>
      </c>
      <c r="T339">
        <v>1</v>
      </c>
      <c r="V339">
        <v>1</v>
      </c>
      <c r="X339">
        <v>1</v>
      </c>
      <c r="Z339">
        <v>0</v>
      </c>
    </row>
    <row r="340" spans="1:26" x14ac:dyDescent="0.3">
      <c r="A340" t="s">
        <v>380</v>
      </c>
      <c r="B340">
        <v>45747</v>
      </c>
      <c r="C340" t="s">
        <v>27</v>
      </c>
      <c r="D340" t="s">
        <v>33</v>
      </c>
      <c r="E340" t="s">
        <v>29</v>
      </c>
      <c r="F340" t="s">
        <v>49</v>
      </c>
      <c r="G340" t="s">
        <v>36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P340">
        <v>86.3</v>
      </c>
      <c r="R340">
        <v>0</v>
      </c>
      <c r="T340">
        <v>1</v>
      </c>
      <c r="V340">
        <v>0</v>
      </c>
      <c r="X340">
        <v>0</v>
      </c>
      <c r="Z340">
        <v>0</v>
      </c>
    </row>
    <row r="341" spans="1:26" x14ac:dyDescent="0.3">
      <c r="A341" t="s">
        <v>381</v>
      </c>
      <c r="B341">
        <v>45688</v>
      </c>
      <c r="C341" t="s">
        <v>27</v>
      </c>
      <c r="D341" t="s">
        <v>33</v>
      </c>
      <c r="E341" t="s">
        <v>29</v>
      </c>
      <c r="F341" t="s">
        <v>49</v>
      </c>
      <c r="G341" t="s">
        <v>36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P341">
        <v>42.9</v>
      </c>
      <c r="R341">
        <v>0</v>
      </c>
      <c r="T341">
        <v>1</v>
      </c>
      <c r="V341">
        <v>1</v>
      </c>
      <c r="X341">
        <v>0</v>
      </c>
      <c r="Z341">
        <v>0</v>
      </c>
    </row>
    <row r="342" spans="1:26" x14ac:dyDescent="0.3">
      <c r="A342" t="s">
        <v>382</v>
      </c>
      <c r="B342">
        <v>45785</v>
      </c>
      <c r="C342" t="s">
        <v>27</v>
      </c>
      <c r="D342" t="s">
        <v>33</v>
      </c>
      <c r="E342" t="s">
        <v>44</v>
      </c>
      <c r="F342" t="s">
        <v>35</v>
      </c>
      <c r="G342" t="s">
        <v>36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P342">
        <v>61.4</v>
      </c>
      <c r="R342">
        <v>0</v>
      </c>
      <c r="T342">
        <v>0</v>
      </c>
      <c r="V342">
        <v>0</v>
      </c>
      <c r="X342">
        <v>0</v>
      </c>
      <c r="Z342">
        <v>0</v>
      </c>
    </row>
    <row r="343" spans="1:26" x14ac:dyDescent="0.3">
      <c r="A343" t="s">
        <v>383</v>
      </c>
      <c r="B343">
        <v>45731</v>
      </c>
      <c r="C343" t="s">
        <v>27</v>
      </c>
      <c r="D343" t="s">
        <v>28</v>
      </c>
      <c r="E343" t="s">
        <v>34</v>
      </c>
      <c r="F343" t="s">
        <v>39</v>
      </c>
      <c r="G343" t="s">
        <v>36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P343">
        <v>73.3</v>
      </c>
      <c r="R343">
        <v>0</v>
      </c>
      <c r="T343">
        <v>1</v>
      </c>
      <c r="V343">
        <v>0</v>
      </c>
      <c r="X343">
        <v>0</v>
      </c>
      <c r="Z343">
        <v>1</v>
      </c>
    </row>
    <row r="344" spans="1:26" x14ac:dyDescent="0.3">
      <c r="A344" t="s">
        <v>384</v>
      </c>
      <c r="B344">
        <v>45670</v>
      </c>
      <c r="C344" t="s">
        <v>27</v>
      </c>
      <c r="D344" t="s">
        <v>42</v>
      </c>
      <c r="E344" t="s">
        <v>34</v>
      </c>
      <c r="F344" t="s">
        <v>49</v>
      </c>
      <c r="G344" t="s">
        <v>31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P344">
        <v>59.4</v>
      </c>
      <c r="R344">
        <v>0</v>
      </c>
      <c r="T344">
        <v>1</v>
      </c>
      <c r="V344">
        <v>0</v>
      </c>
      <c r="X344">
        <v>0</v>
      </c>
      <c r="Z344">
        <v>0</v>
      </c>
    </row>
    <row r="345" spans="1:26" x14ac:dyDescent="0.3">
      <c r="A345" t="s">
        <v>385</v>
      </c>
      <c r="B345">
        <v>45723</v>
      </c>
      <c r="C345" t="s">
        <v>27</v>
      </c>
      <c r="D345" t="s">
        <v>42</v>
      </c>
      <c r="E345" t="s">
        <v>44</v>
      </c>
      <c r="F345" t="s">
        <v>35</v>
      </c>
      <c r="G345" t="s">
        <v>31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P345">
        <v>35.200000000000003</v>
      </c>
      <c r="R345">
        <v>0</v>
      </c>
      <c r="T345">
        <v>1</v>
      </c>
      <c r="V345">
        <v>0</v>
      </c>
      <c r="X345">
        <v>0</v>
      </c>
      <c r="Z345">
        <v>0</v>
      </c>
    </row>
    <row r="346" spans="1:26" x14ac:dyDescent="0.3">
      <c r="A346" t="s">
        <v>386</v>
      </c>
      <c r="B346">
        <v>45698</v>
      </c>
      <c r="C346" t="s">
        <v>27</v>
      </c>
      <c r="D346" t="s">
        <v>42</v>
      </c>
      <c r="E346" t="s">
        <v>34</v>
      </c>
      <c r="F346" t="s">
        <v>51</v>
      </c>
      <c r="G346" t="s">
        <v>40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P346">
        <v>55.3</v>
      </c>
      <c r="R346">
        <v>0</v>
      </c>
      <c r="T346">
        <v>1</v>
      </c>
      <c r="V346">
        <v>1</v>
      </c>
      <c r="X346">
        <v>0</v>
      </c>
      <c r="Z346">
        <v>0</v>
      </c>
    </row>
    <row r="347" spans="1:26" x14ac:dyDescent="0.3">
      <c r="A347" t="s">
        <v>387</v>
      </c>
      <c r="B347">
        <v>45728</v>
      </c>
      <c r="C347" t="s">
        <v>27</v>
      </c>
      <c r="D347" t="s">
        <v>38</v>
      </c>
      <c r="E347" t="s">
        <v>34</v>
      </c>
      <c r="F347" t="s">
        <v>39</v>
      </c>
      <c r="G347" t="s">
        <v>36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P347">
        <v>37.5</v>
      </c>
      <c r="R347">
        <v>0</v>
      </c>
      <c r="T347">
        <v>0</v>
      </c>
      <c r="V347">
        <v>0</v>
      </c>
      <c r="X347">
        <v>0</v>
      </c>
      <c r="Z347">
        <v>0</v>
      </c>
    </row>
    <row r="348" spans="1:26" x14ac:dyDescent="0.3">
      <c r="A348" t="s">
        <v>388</v>
      </c>
      <c r="B348">
        <v>45660</v>
      </c>
      <c r="C348" t="s">
        <v>27</v>
      </c>
      <c r="D348" t="s">
        <v>42</v>
      </c>
      <c r="E348" t="s">
        <v>29</v>
      </c>
      <c r="F348" t="s">
        <v>39</v>
      </c>
      <c r="G348" t="s">
        <v>36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P348">
        <v>66.400000000000006</v>
      </c>
      <c r="R348">
        <v>0</v>
      </c>
      <c r="T348">
        <v>0</v>
      </c>
      <c r="V348">
        <v>0</v>
      </c>
      <c r="X348">
        <v>0</v>
      </c>
      <c r="Z348">
        <v>1</v>
      </c>
    </row>
    <row r="349" spans="1:26" x14ac:dyDescent="0.3">
      <c r="A349" t="s">
        <v>389</v>
      </c>
      <c r="B349">
        <v>45775</v>
      </c>
      <c r="C349" t="s">
        <v>27</v>
      </c>
      <c r="D349" t="s">
        <v>28</v>
      </c>
      <c r="E349" t="s">
        <v>44</v>
      </c>
      <c r="F349" t="s">
        <v>51</v>
      </c>
      <c r="G349" t="s">
        <v>31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P349">
        <v>61.9</v>
      </c>
      <c r="R349">
        <v>0</v>
      </c>
      <c r="T349">
        <v>1</v>
      </c>
      <c r="V349">
        <v>0</v>
      </c>
      <c r="X349">
        <v>0</v>
      </c>
      <c r="Z349">
        <v>0</v>
      </c>
    </row>
    <row r="350" spans="1:26" x14ac:dyDescent="0.3">
      <c r="A350" t="s">
        <v>390</v>
      </c>
      <c r="B350">
        <v>45764</v>
      </c>
      <c r="C350" t="s">
        <v>27</v>
      </c>
      <c r="D350" t="s">
        <v>38</v>
      </c>
      <c r="E350" t="s">
        <v>34</v>
      </c>
      <c r="F350" t="s">
        <v>35</v>
      </c>
      <c r="G350" t="s">
        <v>36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P350">
        <v>56</v>
      </c>
      <c r="R350">
        <v>0</v>
      </c>
      <c r="T350">
        <v>0</v>
      </c>
      <c r="V350">
        <v>0</v>
      </c>
      <c r="X350">
        <v>0</v>
      </c>
      <c r="Z350">
        <v>0</v>
      </c>
    </row>
    <row r="351" spans="1:26" x14ac:dyDescent="0.3">
      <c r="A351" t="s">
        <v>391</v>
      </c>
      <c r="B351">
        <v>45800</v>
      </c>
      <c r="C351" t="s">
        <v>27</v>
      </c>
      <c r="D351" t="s">
        <v>42</v>
      </c>
      <c r="E351" t="s">
        <v>29</v>
      </c>
      <c r="F351" t="s">
        <v>51</v>
      </c>
      <c r="G351" t="s">
        <v>31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P351">
        <v>55.5</v>
      </c>
      <c r="R351">
        <v>0</v>
      </c>
      <c r="T351">
        <v>1</v>
      </c>
      <c r="V351">
        <v>0</v>
      </c>
      <c r="X351">
        <v>0</v>
      </c>
      <c r="Z351">
        <v>0</v>
      </c>
    </row>
    <row r="352" spans="1:26" x14ac:dyDescent="0.3">
      <c r="A352" t="s">
        <v>392</v>
      </c>
      <c r="B352">
        <v>45707</v>
      </c>
      <c r="C352" t="s">
        <v>27</v>
      </c>
      <c r="D352" t="s">
        <v>33</v>
      </c>
      <c r="E352" t="s">
        <v>44</v>
      </c>
      <c r="F352" t="s">
        <v>49</v>
      </c>
      <c r="G352" t="s">
        <v>31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P352">
        <v>37.200000000000003</v>
      </c>
      <c r="R352">
        <v>0</v>
      </c>
      <c r="T352">
        <v>1</v>
      </c>
      <c r="V352">
        <v>0</v>
      </c>
      <c r="X352">
        <v>0</v>
      </c>
      <c r="Z352">
        <v>0</v>
      </c>
    </row>
    <row r="353" spans="1:26" x14ac:dyDescent="0.3">
      <c r="A353" t="s">
        <v>393</v>
      </c>
      <c r="B353">
        <v>45675</v>
      </c>
      <c r="C353" t="s">
        <v>27</v>
      </c>
      <c r="D353" t="s">
        <v>42</v>
      </c>
      <c r="E353" t="s">
        <v>29</v>
      </c>
      <c r="F353" t="s">
        <v>35</v>
      </c>
      <c r="G353" t="s">
        <v>36</v>
      </c>
      <c r="H353">
        <v>1</v>
      </c>
      <c r="I353">
        <v>1</v>
      </c>
      <c r="J353">
        <v>0</v>
      </c>
      <c r="K353">
        <v>0</v>
      </c>
      <c r="L353">
        <v>0</v>
      </c>
      <c r="M353">
        <v>1</v>
      </c>
      <c r="N353">
        <v>0</v>
      </c>
      <c r="P353">
        <v>70.5</v>
      </c>
      <c r="R353">
        <v>0</v>
      </c>
      <c r="T353">
        <v>1</v>
      </c>
      <c r="V353">
        <v>1</v>
      </c>
      <c r="X353">
        <v>0</v>
      </c>
      <c r="Z353">
        <v>1</v>
      </c>
    </row>
    <row r="354" spans="1:26" x14ac:dyDescent="0.3">
      <c r="A354" t="s">
        <v>394</v>
      </c>
      <c r="B354">
        <v>45764</v>
      </c>
      <c r="C354" t="s">
        <v>27</v>
      </c>
      <c r="D354" t="s">
        <v>28</v>
      </c>
      <c r="E354" t="s">
        <v>34</v>
      </c>
      <c r="F354" t="s">
        <v>35</v>
      </c>
      <c r="G354" t="s">
        <v>36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P354">
        <v>61.2</v>
      </c>
      <c r="R354">
        <v>0</v>
      </c>
      <c r="T354">
        <v>0</v>
      </c>
      <c r="V354">
        <v>0</v>
      </c>
      <c r="X354">
        <v>0</v>
      </c>
      <c r="Z354">
        <v>0</v>
      </c>
    </row>
    <row r="355" spans="1:26" x14ac:dyDescent="0.3">
      <c r="A355" t="s">
        <v>395</v>
      </c>
      <c r="B355">
        <v>45759</v>
      </c>
      <c r="C355" t="s">
        <v>27</v>
      </c>
      <c r="D355" t="s">
        <v>38</v>
      </c>
      <c r="E355" t="s">
        <v>44</v>
      </c>
      <c r="F355" t="s">
        <v>51</v>
      </c>
      <c r="G355" t="s">
        <v>36</v>
      </c>
      <c r="H355">
        <v>1</v>
      </c>
      <c r="I355">
        <v>1</v>
      </c>
      <c r="J355">
        <v>1</v>
      </c>
      <c r="K355">
        <v>0</v>
      </c>
      <c r="L355">
        <v>0</v>
      </c>
      <c r="M355">
        <v>0</v>
      </c>
      <c r="N355">
        <v>0</v>
      </c>
      <c r="P355">
        <v>64.599999999999994</v>
      </c>
      <c r="R355">
        <v>0</v>
      </c>
      <c r="T355">
        <v>1</v>
      </c>
      <c r="V355">
        <v>1</v>
      </c>
      <c r="X355">
        <v>1</v>
      </c>
      <c r="Z355">
        <v>0</v>
      </c>
    </row>
    <row r="356" spans="1:26" x14ac:dyDescent="0.3">
      <c r="A356" t="s">
        <v>396</v>
      </c>
      <c r="B356">
        <v>45793</v>
      </c>
      <c r="C356" t="s">
        <v>27</v>
      </c>
      <c r="D356" t="s">
        <v>38</v>
      </c>
      <c r="E356" t="s">
        <v>34</v>
      </c>
      <c r="F356" t="s">
        <v>30</v>
      </c>
      <c r="G356" t="s">
        <v>36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P356">
        <v>91.7</v>
      </c>
      <c r="R356">
        <v>0</v>
      </c>
      <c r="T356">
        <v>1</v>
      </c>
      <c r="V356">
        <v>1</v>
      </c>
      <c r="X356">
        <v>0</v>
      </c>
      <c r="Z356">
        <v>0</v>
      </c>
    </row>
    <row r="357" spans="1:26" x14ac:dyDescent="0.3">
      <c r="A357" t="s">
        <v>397</v>
      </c>
      <c r="B357">
        <v>45740</v>
      </c>
      <c r="C357" t="s">
        <v>27</v>
      </c>
      <c r="D357" t="s">
        <v>33</v>
      </c>
      <c r="E357" t="s">
        <v>34</v>
      </c>
      <c r="F357" t="s">
        <v>51</v>
      </c>
      <c r="G357" t="s">
        <v>36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P357">
        <v>46</v>
      </c>
      <c r="R357">
        <v>0</v>
      </c>
      <c r="T357">
        <v>0</v>
      </c>
      <c r="V357">
        <v>0</v>
      </c>
      <c r="X357">
        <v>0</v>
      </c>
      <c r="Z357">
        <v>0</v>
      </c>
    </row>
    <row r="358" spans="1:26" x14ac:dyDescent="0.3">
      <c r="A358" t="s">
        <v>398</v>
      </c>
      <c r="B358">
        <v>45704</v>
      </c>
      <c r="C358" t="s">
        <v>27</v>
      </c>
      <c r="D358" t="s">
        <v>33</v>
      </c>
      <c r="E358" t="s">
        <v>34</v>
      </c>
      <c r="F358" t="s">
        <v>35</v>
      </c>
      <c r="G358" t="s">
        <v>31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P358">
        <v>50.8</v>
      </c>
      <c r="R358">
        <v>0</v>
      </c>
      <c r="T358">
        <v>0</v>
      </c>
      <c r="V358">
        <v>0</v>
      </c>
      <c r="X358">
        <v>0</v>
      </c>
      <c r="Z358">
        <v>0</v>
      </c>
    </row>
    <row r="359" spans="1:26" x14ac:dyDescent="0.3">
      <c r="A359" t="s">
        <v>399</v>
      </c>
      <c r="B359">
        <v>45735</v>
      </c>
      <c r="C359" t="s">
        <v>27</v>
      </c>
      <c r="D359" t="s">
        <v>28</v>
      </c>
      <c r="E359" t="s">
        <v>44</v>
      </c>
      <c r="F359" t="s">
        <v>35</v>
      </c>
      <c r="G359" t="s">
        <v>36</v>
      </c>
      <c r="H359">
        <v>1</v>
      </c>
      <c r="I359">
        <v>1</v>
      </c>
      <c r="J359">
        <v>1</v>
      </c>
      <c r="K359">
        <v>0</v>
      </c>
      <c r="L359">
        <v>0</v>
      </c>
      <c r="M359">
        <v>0</v>
      </c>
      <c r="N359">
        <v>0</v>
      </c>
      <c r="P359">
        <v>52.8</v>
      </c>
      <c r="R359">
        <v>0</v>
      </c>
      <c r="T359">
        <v>1</v>
      </c>
      <c r="V359">
        <v>1</v>
      </c>
      <c r="X359">
        <v>1</v>
      </c>
      <c r="Z359">
        <v>0</v>
      </c>
    </row>
    <row r="360" spans="1:26" x14ac:dyDescent="0.3">
      <c r="A360" t="s">
        <v>400</v>
      </c>
      <c r="B360">
        <v>45768</v>
      </c>
      <c r="C360" t="s">
        <v>27</v>
      </c>
      <c r="D360" t="s">
        <v>42</v>
      </c>
      <c r="E360" t="s">
        <v>34</v>
      </c>
      <c r="F360" t="s">
        <v>35</v>
      </c>
      <c r="G360" t="s">
        <v>31</v>
      </c>
      <c r="H360">
        <v>1</v>
      </c>
      <c r="I360">
        <v>1</v>
      </c>
      <c r="J360">
        <v>1</v>
      </c>
      <c r="K360">
        <v>0</v>
      </c>
      <c r="L360">
        <v>0</v>
      </c>
      <c r="M360">
        <v>0</v>
      </c>
      <c r="N360">
        <v>0</v>
      </c>
      <c r="P360">
        <v>63</v>
      </c>
      <c r="R360">
        <v>0</v>
      </c>
      <c r="T360">
        <v>1</v>
      </c>
      <c r="V360">
        <v>1</v>
      </c>
      <c r="X360">
        <v>1</v>
      </c>
      <c r="Z360">
        <v>0</v>
      </c>
    </row>
    <row r="361" spans="1:26" x14ac:dyDescent="0.3">
      <c r="A361" t="s">
        <v>401</v>
      </c>
      <c r="B361">
        <v>45668</v>
      </c>
      <c r="C361" t="s">
        <v>27</v>
      </c>
      <c r="D361" t="s">
        <v>33</v>
      </c>
      <c r="E361" t="s">
        <v>34</v>
      </c>
      <c r="F361" t="s">
        <v>35</v>
      </c>
      <c r="G361" t="s">
        <v>36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P361">
        <v>28.4</v>
      </c>
      <c r="R361">
        <v>0</v>
      </c>
      <c r="T361">
        <v>0</v>
      </c>
      <c r="V361">
        <v>0</v>
      </c>
      <c r="X361">
        <v>0</v>
      </c>
      <c r="Z361">
        <v>0</v>
      </c>
    </row>
    <row r="362" spans="1:26" x14ac:dyDescent="0.3">
      <c r="A362" t="s">
        <v>402</v>
      </c>
      <c r="B362">
        <v>45771</v>
      </c>
      <c r="C362" t="s">
        <v>27</v>
      </c>
      <c r="D362" t="s">
        <v>33</v>
      </c>
      <c r="E362" t="s">
        <v>29</v>
      </c>
      <c r="F362" t="s">
        <v>35</v>
      </c>
      <c r="G362" t="s">
        <v>36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P362">
        <v>65.599999999999994</v>
      </c>
      <c r="R362">
        <v>0</v>
      </c>
      <c r="T362">
        <v>1</v>
      </c>
      <c r="V362">
        <v>1</v>
      </c>
      <c r="X362">
        <v>0</v>
      </c>
      <c r="Z362">
        <v>0</v>
      </c>
    </row>
    <row r="363" spans="1:26" x14ac:dyDescent="0.3">
      <c r="A363" t="s">
        <v>403</v>
      </c>
      <c r="B363">
        <v>45729</v>
      </c>
      <c r="C363" t="s">
        <v>27</v>
      </c>
      <c r="D363" t="s">
        <v>28</v>
      </c>
      <c r="E363" t="s">
        <v>34</v>
      </c>
      <c r="F363" t="s">
        <v>51</v>
      </c>
      <c r="G363" t="s">
        <v>40</v>
      </c>
      <c r="H363">
        <v>1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0</v>
      </c>
      <c r="P363">
        <v>54.7</v>
      </c>
      <c r="R363">
        <v>0</v>
      </c>
      <c r="T363">
        <v>1</v>
      </c>
      <c r="V363">
        <v>1</v>
      </c>
      <c r="X363">
        <v>1</v>
      </c>
      <c r="Z363">
        <v>0</v>
      </c>
    </row>
    <row r="364" spans="1:26" x14ac:dyDescent="0.3">
      <c r="A364" t="s">
        <v>404</v>
      </c>
      <c r="B364">
        <v>45687</v>
      </c>
      <c r="C364" t="s">
        <v>27</v>
      </c>
      <c r="D364" t="s">
        <v>28</v>
      </c>
      <c r="E364" t="s">
        <v>34</v>
      </c>
      <c r="F364" t="s">
        <v>51</v>
      </c>
      <c r="G364" t="s">
        <v>31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P364">
        <v>36.1</v>
      </c>
      <c r="R364">
        <v>0</v>
      </c>
      <c r="T364">
        <v>0</v>
      </c>
      <c r="V364">
        <v>0</v>
      </c>
      <c r="X364">
        <v>0</v>
      </c>
      <c r="Z364">
        <v>0</v>
      </c>
    </row>
    <row r="365" spans="1:26" x14ac:dyDescent="0.3">
      <c r="A365" t="s">
        <v>405</v>
      </c>
      <c r="B365">
        <v>45785</v>
      </c>
      <c r="C365" t="s">
        <v>27</v>
      </c>
      <c r="D365" t="s">
        <v>42</v>
      </c>
      <c r="E365" t="s">
        <v>34</v>
      </c>
      <c r="F365" t="s">
        <v>51</v>
      </c>
      <c r="G365" t="s">
        <v>31</v>
      </c>
      <c r="H365">
        <v>1</v>
      </c>
      <c r="I365">
        <v>1</v>
      </c>
      <c r="J365">
        <v>1</v>
      </c>
      <c r="K365">
        <v>0</v>
      </c>
      <c r="L365">
        <v>0</v>
      </c>
      <c r="M365">
        <v>0</v>
      </c>
      <c r="N365">
        <v>0</v>
      </c>
      <c r="P365">
        <v>70.400000000000006</v>
      </c>
      <c r="R365">
        <v>0</v>
      </c>
      <c r="T365">
        <v>1</v>
      </c>
      <c r="V365">
        <v>1</v>
      </c>
      <c r="X365">
        <v>1</v>
      </c>
      <c r="Z365">
        <v>0</v>
      </c>
    </row>
    <row r="366" spans="1:26" x14ac:dyDescent="0.3">
      <c r="A366" t="s">
        <v>406</v>
      </c>
      <c r="B366">
        <v>45665</v>
      </c>
      <c r="C366" t="s">
        <v>27</v>
      </c>
      <c r="D366" t="s">
        <v>38</v>
      </c>
      <c r="E366" t="s">
        <v>29</v>
      </c>
      <c r="F366" t="s">
        <v>51</v>
      </c>
      <c r="G366" t="s">
        <v>36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P366">
        <v>56.4</v>
      </c>
      <c r="R366">
        <v>0</v>
      </c>
      <c r="T366">
        <v>1</v>
      </c>
      <c r="V366">
        <v>0</v>
      </c>
      <c r="X366">
        <v>0</v>
      </c>
      <c r="Z366">
        <v>0</v>
      </c>
    </row>
    <row r="367" spans="1:26" x14ac:dyDescent="0.3">
      <c r="A367" t="s">
        <v>407</v>
      </c>
      <c r="B367">
        <v>45780</v>
      </c>
      <c r="C367" t="s">
        <v>27</v>
      </c>
      <c r="D367" t="s">
        <v>42</v>
      </c>
      <c r="E367" t="s">
        <v>34</v>
      </c>
      <c r="F367" t="s">
        <v>35</v>
      </c>
      <c r="G367" t="s">
        <v>36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P367">
        <v>79.2</v>
      </c>
      <c r="R367">
        <v>0</v>
      </c>
      <c r="T367">
        <v>1</v>
      </c>
      <c r="V367">
        <v>0</v>
      </c>
      <c r="X367">
        <v>0</v>
      </c>
      <c r="Z367">
        <v>0</v>
      </c>
    </row>
    <row r="368" spans="1:26" x14ac:dyDescent="0.3">
      <c r="A368" t="s">
        <v>408</v>
      </c>
      <c r="B368">
        <v>45700</v>
      </c>
      <c r="C368" t="s">
        <v>27</v>
      </c>
      <c r="D368" t="s">
        <v>38</v>
      </c>
      <c r="E368" t="s">
        <v>34</v>
      </c>
      <c r="F368" t="s">
        <v>39</v>
      </c>
      <c r="G368" t="s">
        <v>36</v>
      </c>
      <c r="H368">
        <v>1</v>
      </c>
      <c r="I368">
        <v>1</v>
      </c>
      <c r="J368">
        <v>1</v>
      </c>
      <c r="K368">
        <v>0</v>
      </c>
      <c r="L368">
        <v>0</v>
      </c>
      <c r="M368">
        <v>0</v>
      </c>
      <c r="N368">
        <v>0</v>
      </c>
      <c r="P368">
        <v>60.1</v>
      </c>
      <c r="R368">
        <v>0</v>
      </c>
      <c r="T368">
        <v>1</v>
      </c>
      <c r="V368">
        <v>1</v>
      </c>
      <c r="X368">
        <v>1</v>
      </c>
      <c r="Z368">
        <v>0</v>
      </c>
    </row>
    <row r="369" spans="1:26" x14ac:dyDescent="0.3">
      <c r="A369" t="s">
        <v>409</v>
      </c>
      <c r="B369">
        <v>45713</v>
      </c>
      <c r="C369" t="s">
        <v>27</v>
      </c>
      <c r="D369" t="s">
        <v>42</v>
      </c>
      <c r="E369" t="s">
        <v>44</v>
      </c>
      <c r="F369" t="s">
        <v>35</v>
      </c>
      <c r="G369" t="s">
        <v>36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P369">
        <v>58</v>
      </c>
      <c r="R369">
        <v>0</v>
      </c>
      <c r="T369">
        <v>0</v>
      </c>
      <c r="V369">
        <v>0</v>
      </c>
      <c r="X369">
        <v>0</v>
      </c>
      <c r="Z369">
        <v>0</v>
      </c>
    </row>
    <row r="370" spans="1:26" x14ac:dyDescent="0.3">
      <c r="A370" t="s">
        <v>410</v>
      </c>
      <c r="B370">
        <v>45761</v>
      </c>
      <c r="C370" t="s">
        <v>27</v>
      </c>
      <c r="D370" t="s">
        <v>42</v>
      </c>
      <c r="E370" t="s">
        <v>34</v>
      </c>
      <c r="F370" t="s">
        <v>49</v>
      </c>
      <c r="G370" t="s">
        <v>36</v>
      </c>
      <c r="H370">
        <v>1</v>
      </c>
      <c r="I370">
        <v>1</v>
      </c>
      <c r="J370">
        <v>1</v>
      </c>
      <c r="K370">
        <v>0</v>
      </c>
      <c r="L370">
        <v>0</v>
      </c>
      <c r="M370">
        <v>0</v>
      </c>
      <c r="N370">
        <v>0</v>
      </c>
      <c r="P370">
        <v>69</v>
      </c>
      <c r="R370">
        <v>0</v>
      </c>
      <c r="T370">
        <v>1</v>
      </c>
      <c r="V370">
        <v>1</v>
      </c>
      <c r="X370">
        <v>1</v>
      </c>
      <c r="Z370">
        <v>0</v>
      </c>
    </row>
    <row r="371" spans="1:26" x14ac:dyDescent="0.3">
      <c r="A371" t="s">
        <v>411</v>
      </c>
      <c r="B371">
        <v>45665</v>
      </c>
      <c r="C371" t="s">
        <v>27</v>
      </c>
      <c r="D371" t="s">
        <v>28</v>
      </c>
      <c r="E371" t="s">
        <v>34</v>
      </c>
      <c r="F371" t="s">
        <v>49</v>
      </c>
      <c r="G371" t="s">
        <v>40</v>
      </c>
      <c r="H371">
        <v>1</v>
      </c>
      <c r="I371">
        <v>1</v>
      </c>
      <c r="J371">
        <v>1</v>
      </c>
      <c r="K371">
        <v>0</v>
      </c>
      <c r="L371">
        <v>0</v>
      </c>
      <c r="M371">
        <v>1</v>
      </c>
      <c r="N371">
        <v>0</v>
      </c>
      <c r="P371">
        <v>80.8</v>
      </c>
      <c r="R371">
        <v>0</v>
      </c>
      <c r="T371">
        <v>1</v>
      </c>
      <c r="V371">
        <v>1</v>
      </c>
      <c r="X371">
        <v>1</v>
      </c>
      <c r="Z371">
        <v>1</v>
      </c>
    </row>
    <row r="372" spans="1:26" x14ac:dyDescent="0.3">
      <c r="A372" t="s">
        <v>412</v>
      </c>
      <c r="B372">
        <v>45730</v>
      </c>
      <c r="C372" t="s">
        <v>27</v>
      </c>
      <c r="D372" t="s">
        <v>38</v>
      </c>
      <c r="E372" t="s">
        <v>34</v>
      </c>
      <c r="F372" t="s">
        <v>30</v>
      </c>
      <c r="G372" t="s">
        <v>36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P372">
        <v>32.799999999999997</v>
      </c>
      <c r="R372">
        <v>0</v>
      </c>
      <c r="T372">
        <v>0</v>
      </c>
      <c r="V372">
        <v>0</v>
      </c>
      <c r="X372">
        <v>0</v>
      </c>
      <c r="Z372">
        <v>0</v>
      </c>
    </row>
    <row r="373" spans="1:26" x14ac:dyDescent="0.3">
      <c r="A373" t="s">
        <v>413</v>
      </c>
      <c r="B373">
        <v>45776</v>
      </c>
      <c r="C373" t="s">
        <v>27</v>
      </c>
      <c r="D373" t="s">
        <v>28</v>
      </c>
      <c r="E373" t="s">
        <v>29</v>
      </c>
      <c r="F373" t="s">
        <v>39</v>
      </c>
      <c r="G373" t="s">
        <v>40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P373">
        <v>56</v>
      </c>
      <c r="R373">
        <v>0</v>
      </c>
      <c r="T373">
        <v>1</v>
      </c>
      <c r="V373">
        <v>0</v>
      </c>
      <c r="X373">
        <v>0</v>
      </c>
      <c r="Z373">
        <v>0</v>
      </c>
    </row>
    <row r="374" spans="1:26" x14ac:dyDescent="0.3">
      <c r="A374" t="s">
        <v>414</v>
      </c>
      <c r="B374">
        <v>45778</v>
      </c>
      <c r="C374" t="s">
        <v>27</v>
      </c>
      <c r="D374" t="s">
        <v>38</v>
      </c>
      <c r="E374" t="s">
        <v>29</v>
      </c>
      <c r="F374" t="s">
        <v>51</v>
      </c>
      <c r="G374" t="s">
        <v>36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P374">
        <v>76.400000000000006</v>
      </c>
      <c r="R374">
        <v>0</v>
      </c>
      <c r="T374">
        <v>1</v>
      </c>
      <c r="V374">
        <v>0</v>
      </c>
      <c r="X374">
        <v>0</v>
      </c>
      <c r="Z374">
        <v>0</v>
      </c>
    </row>
    <row r="375" spans="1:26" x14ac:dyDescent="0.3">
      <c r="A375" t="s">
        <v>415</v>
      </c>
      <c r="B375">
        <v>45735</v>
      </c>
      <c r="C375" t="s">
        <v>27</v>
      </c>
      <c r="D375" t="s">
        <v>28</v>
      </c>
      <c r="E375" t="s">
        <v>34</v>
      </c>
      <c r="F375" t="s">
        <v>49</v>
      </c>
      <c r="G375" t="s">
        <v>36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P375">
        <v>28.5</v>
      </c>
      <c r="R375">
        <v>0</v>
      </c>
      <c r="T375">
        <v>1</v>
      </c>
      <c r="V375">
        <v>0</v>
      </c>
      <c r="X375">
        <v>0</v>
      </c>
      <c r="Z375">
        <v>0</v>
      </c>
    </row>
    <row r="376" spans="1:26" x14ac:dyDescent="0.3">
      <c r="A376" t="s">
        <v>416</v>
      </c>
      <c r="B376">
        <v>45778</v>
      </c>
      <c r="C376" t="s">
        <v>27</v>
      </c>
      <c r="D376" t="s">
        <v>42</v>
      </c>
      <c r="E376" t="s">
        <v>29</v>
      </c>
      <c r="F376" t="s">
        <v>51</v>
      </c>
      <c r="G376" t="s">
        <v>31</v>
      </c>
      <c r="H376">
        <v>1</v>
      </c>
      <c r="I376">
        <v>1</v>
      </c>
      <c r="J376">
        <v>1</v>
      </c>
      <c r="K376">
        <v>0</v>
      </c>
      <c r="L376">
        <v>0</v>
      </c>
      <c r="M376">
        <v>0</v>
      </c>
      <c r="N376">
        <v>0</v>
      </c>
      <c r="P376">
        <v>48.3</v>
      </c>
      <c r="R376">
        <v>0</v>
      </c>
      <c r="T376">
        <v>1</v>
      </c>
      <c r="V376">
        <v>1</v>
      </c>
      <c r="X376">
        <v>1</v>
      </c>
      <c r="Z376">
        <v>0</v>
      </c>
    </row>
    <row r="377" spans="1:26" x14ac:dyDescent="0.3">
      <c r="A377" t="s">
        <v>417</v>
      </c>
      <c r="B377">
        <v>45730</v>
      </c>
      <c r="C377" t="s">
        <v>27</v>
      </c>
      <c r="D377" t="s">
        <v>33</v>
      </c>
      <c r="E377" t="s">
        <v>34</v>
      </c>
      <c r="F377" t="s">
        <v>35</v>
      </c>
      <c r="G377" t="s">
        <v>36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P377">
        <v>43.4</v>
      </c>
      <c r="R377">
        <v>0</v>
      </c>
      <c r="T377">
        <v>1</v>
      </c>
      <c r="V377">
        <v>1</v>
      </c>
      <c r="X377">
        <v>0</v>
      </c>
      <c r="Z377">
        <v>0</v>
      </c>
    </row>
    <row r="378" spans="1:26" x14ac:dyDescent="0.3">
      <c r="A378" t="s">
        <v>418</v>
      </c>
      <c r="B378">
        <v>45739</v>
      </c>
      <c r="C378" t="s">
        <v>27</v>
      </c>
      <c r="D378" t="s">
        <v>28</v>
      </c>
      <c r="E378" t="s">
        <v>34</v>
      </c>
      <c r="F378" t="s">
        <v>39</v>
      </c>
      <c r="G378" t="s">
        <v>36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P378">
        <v>43</v>
      </c>
      <c r="R378">
        <v>0</v>
      </c>
      <c r="T378">
        <v>0</v>
      </c>
      <c r="V378">
        <v>0</v>
      </c>
      <c r="X378">
        <v>0</v>
      </c>
      <c r="Z378">
        <v>0</v>
      </c>
    </row>
    <row r="379" spans="1:26" x14ac:dyDescent="0.3">
      <c r="A379" t="s">
        <v>419</v>
      </c>
      <c r="B379">
        <v>45696</v>
      </c>
      <c r="C379" t="s">
        <v>27</v>
      </c>
      <c r="D379" t="s">
        <v>38</v>
      </c>
      <c r="E379" t="s">
        <v>34</v>
      </c>
      <c r="F379" t="s">
        <v>49</v>
      </c>
      <c r="G379" t="s">
        <v>31</v>
      </c>
      <c r="H379">
        <v>1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0</v>
      </c>
      <c r="P379">
        <v>91.8</v>
      </c>
      <c r="R379">
        <v>0</v>
      </c>
      <c r="T379">
        <v>1</v>
      </c>
      <c r="V379">
        <v>1</v>
      </c>
      <c r="X379">
        <v>1</v>
      </c>
      <c r="Z379">
        <v>0</v>
      </c>
    </row>
    <row r="380" spans="1:26" x14ac:dyDescent="0.3">
      <c r="A380" t="s">
        <v>420</v>
      </c>
      <c r="B380">
        <v>45762</v>
      </c>
      <c r="C380" t="s">
        <v>27</v>
      </c>
      <c r="D380" t="s">
        <v>33</v>
      </c>
      <c r="E380" t="s">
        <v>44</v>
      </c>
      <c r="F380" t="s">
        <v>39</v>
      </c>
      <c r="G380" t="s">
        <v>31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0</v>
      </c>
      <c r="P380">
        <v>69.3</v>
      </c>
      <c r="R380">
        <v>0</v>
      </c>
      <c r="T380">
        <v>1</v>
      </c>
      <c r="V380">
        <v>0</v>
      </c>
      <c r="X380">
        <v>0</v>
      </c>
      <c r="Z380">
        <v>1</v>
      </c>
    </row>
    <row r="381" spans="1:26" x14ac:dyDescent="0.3">
      <c r="A381" t="s">
        <v>421</v>
      </c>
      <c r="B381">
        <v>45660</v>
      </c>
      <c r="C381" t="s">
        <v>27</v>
      </c>
      <c r="D381" t="s">
        <v>42</v>
      </c>
      <c r="E381" t="s">
        <v>29</v>
      </c>
      <c r="F381" t="s">
        <v>39</v>
      </c>
      <c r="G381" t="s">
        <v>31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P381">
        <v>58.9</v>
      </c>
      <c r="R381">
        <v>0</v>
      </c>
      <c r="T381">
        <v>1</v>
      </c>
      <c r="V381">
        <v>0</v>
      </c>
      <c r="X381">
        <v>0</v>
      </c>
      <c r="Z381">
        <v>0</v>
      </c>
    </row>
    <row r="382" spans="1:26" x14ac:dyDescent="0.3">
      <c r="A382" t="s">
        <v>422</v>
      </c>
      <c r="B382">
        <v>45739</v>
      </c>
      <c r="C382" t="s">
        <v>27</v>
      </c>
      <c r="D382" t="s">
        <v>33</v>
      </c>
      <c r="E382" t="s">
        <v>34</v>
      </c>
      <c r="F382" t="s">
        <v>51</v>
      </c>
      <c r="G382" t="s">
        <v>36</v>
      </c>
      <c r="H382">
        <v>1</v>
      </c>
      <c r="I382">
        <v>1</v>
      </c>
      <c r="J382">
        <v>1</v>
      </c>
      <c r="K382">
        <v>0</v>
      </c>
      <c r="L382">
        <v>0</v>
      </c>
      <c r="M382">
        <v>0</v>
      </c>
      <c r="N382">
        <v>0</v>
      </c>
      <c r="P382">
        <v>76</v>
      </c>
      <c r="R382">
        <v>0</v>
      </c>
      <c r="T382">
        <v>1</v>
      </c>
      <c r="V382">
        <v>1</v>
      </c>
      <c r="X382">
        <v>1</v>
      </c>
      <c r="Z382">
        <v>0</v>
      </c>
    </row>
    <row r="383" spans="1:26" x14ac:dyDescent="0.3">
      <c r="A383" t="s">
        <v>423</v>
      </c>
      <c r="B383">
        <v>45804</v>
      </c>
      <c r="C383" t="s">
        <v>27</v>
      </c>
      <c r="D383" t="s">
        <v>42</v>
      </c>
      <c r="E383" t="s">
        <v>34</v>
      </c>
      <c r="F383" t="s">
        <v>49</v>
      </c>
      <c r="G383" t="s">
        <v>40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P383">
        <v>46</v>
      </c>
      <c r="R383">
        <v>0</v>
      </c>
      <c r="T383">
        <v>1</v>
      </c>
      <c r="V383">
        <v>0</v>
      </c>
      <c r="X383">
        <v>0</v>
      </c>
      <c r="Z383">
        <v>0</v>
      </c>
    </row>
    <row r="384" spans="1:26" x14ac:dyDescent="0.3">
      <c r="A384" t="s">
        <v>424</v>
      </c>
      <c r="B384">
        <v>45777</v>
      </c>
      <c r="C384" t="s">
        <v>27</v>
      </c>
      <c r="D384" t="s">
        <v>38</v>
      </c>
      <c r="E384" t="s">
        <v>34</v>
      </c>
      <c r="F384" t="s">
        <v>35</v>
      </c>
      <c r="G384" t="s">
        <v>36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P384">
        <v>54.1</v>
      </c>
      <c r="R384">
        <v>0</v>
      </c>
      <c r="T384">
        <v>1</v>
      </c>
      <c r="V384">
        <v>0</v>
      </c>
      <c r="X384">
        <v>0</v>
      </c>
      <c r="Z384">
        <v>0</v>
      </c>
    </row>
    <row r="385" spans="1:26" x14ac:dyDescent="0.3">
      <c r="A385" t="s">
        <v>425</v>
      </c>
      <c r="B385">
        <v>45723</v>
      </c>
      <c r="C385" t="s">
        <v>27</v>
      </c>
      <c r="D385" t="s">
        <v>33</v>
      </c>
      <c r="E385" t="s">
        <v>34</v>
      </c>
      <c r="F385" t="s">
        <v>51</v>
      </c>
      <c r="G385" t="s">
        <v>31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P385">
        <v>82.4</v>
      </c>
      <c r="R385">
        <v>0</v>
      </c>
      <c r="T385">
        <v>1</v>
      </c>
      <c r="V385">
        <v>0</v>
      </c>
      <c r="X385">
        <v>0</v>
      </c>
      <c r="Z385">
        <v>0</v>
      </c>
    </row>
    <row r="386" spans="1:26" x14ac:dyDescent="0.3">
      <c r="A386" t="s">
        <v>426</v>
      </c>
      <c r="B386">
        <v>45787</v>
      </c>
      <c r="C386" t="s">
        <v>27</v>
      </c>
      <c r="D386" t="s">
        <v>42</v>
      </c>
      <c r="E386" t="s">
        <v>34</v>
      </c>
      <c r="F386" t="s">
        <v>35</v>
      </c>
      <c r="G386" t="s">
        <v>31</v>
      </c>
      <c r="H386">
        <v>1</v>
      </c>
      <c r="I386">
        <v>1</v>
      </c>
      <c r="J386">
        <v>1</v>
      </c>
      <c r="K386">
        <v>0</v>
      </c>
      <c r="L386">
        <v>0</v>
      </c>
      <c r="M386">
        <v>0</v>
      </c>
      <c r="N386">
        <v>0</v>
      </c>
      <c r="P386">
        <v>71.900000000000006</v>
      </c>
      <c r="R386">
        <v>0</v>
      </c>
      <c r="T386">
        <v>1</v>
      </c>
      <c r="V386">
        <v>1</v>
      </c>
      <c r="X386">
        <v>1</v>
      </c>
      <c r="Z386">
        <v>0</v>
      </c>
    </row>
    <row r="387" spans="1:26" x14ac:dyDescent="0.3">
      <c r="A387" t="s">
        <v>427</v>
      </c>
      <c r="B387">
        <v>45799</v>
      </c>
      <c r="C387" t="s">
        <v>27</v>
      </c>
      <c r="D387" t="s">
        <v>38</v>
      </c>
      <c r="E387" t="s">
        <v>34</v>
      </c>
      <c r="F387" t="s">
        <v>35</v>
      </c>
      <c r="G387" t="s">
        <v>36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</v>
      </c>
      <c r="N387">
        <v>0</v>
      </c>
      <c r="P387">
        <v>38</v>
      </c>
      <c r="R387">
        <v>0</v>
      </c>
      <c r="T387">
        <v>0</v>
      </c>
      <c r="V387">
        <v>0</v>
      </c>
      <c r="X387">
        <v>0</v>
      </c>
      <c r="Z387">
        <v>2</v>
      </c>
    </row>
    <row r="388" spans="1:26" x14ac:dyDescent="0.3">
      <c r="A388" t="s">
        <v>428</v>
      </c>
      <c r="B388">
        <v>45697</v>
      </c>
      <c r="C388" t="s">
        <v>27</v>
      </c>
      <c r="D388" t="s">
        <v>38</v>
      </c>
      <c r="E388" t="s">
        <v>34</v>
      </c>
      <c r="F388" t="s">
        <v>39</v>
      </c>
      <c r="G388" t="s">
        <v>36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P388">
        <v>43.7</v>
      </c>
      <c r="R388">
        <v>0</v>
      </c>
      <c r="T388">
        <v>1</v>
      </c>
      <c r="V388">
        <v>1</v>
      </c>
      <c r="X388">
        <v>0</v>
      </c>
      <c r="Z388">
        <v>0</v>
      </c>
    </row>
    <row r="389" spans="1:26" x14ac:dyDescent="0.3">
      <c r="A389" t="s">
        <v>429</v>
      </c>
      <c r="B389">
        <v>45807</v>
      </c>
      <c r="C389" t="s">
        <v>27</v>
      </c>
      <c r="D389" t="s">
        <v>33</v>
      </c>
      <c r="E389" t="s">
        <v>29</v>
      </c>
      <c r="F389" t="s">
        <v>35</v>
      </c>
      <c r="G389" t="s">
        <v>40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  <c r="P389">
        <v>32.200000000000003</v>
      </c>
      <c r="R389">
        <v>0</v>
      </c>
      <c r="T389">
        <v>1</v>
      </c>
      <c r="V389">
        <v>0</v>
      </c>
      <c r="X389">
        <v>0</v>
      </c>
      <c r="Z389">
        <v>1</v>
      </c>
    </row>
    <row r="390" spans="1:26" x14ac:dyDescent="0.3">
      <c r="A390" t="s">
        <v>430</v>
      </c>
      <c r="B390">
        <v>45778</v>
      </c>
      <c r="C390" t="s">
        <v>27</v>
      </c>
      <c r="D390" t="s">
        <v>42</v>
      </c>
      <c r="E390" t="s">
        <v>34</v>
      </c>
      <c r="F390" t="s">
        <v>35</v>
      </c>
      <c r="G390" t="s">
        <v>40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P390">
        <v>61</v>
      </c>
      <c r="R390">
        <v>0</v>
      </c>
      <c r="T390">
        <v>1</v>
      </c>
      <c r="V390">
        <v>0</v>
      </c>
      <c r="X390">
        <v>0</v>
      </c>
      <c r="Z390">
        <v>0</v>
      </c>
    </row>
    <row r="391" spans="1:26" x14ac:dyDescent="0.3">
      <c r="A391" t="s">
        <v>431</v>
      </c>
      <c r="B391">
        <v>45660</v>
      </c>
      <c r="C391" t="s">
        <v>27</v>
      </c>
      <c r="D391" t="s">
        <v>42</v>
      </c>
      <c r="E391" t="s">
        <v>34</v>
      </c>
      <c r="F391" t="s">
        <v>39</v>
      </c>
      <c r="G391" t="s">
        <v>36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P391">
        <v>49</v>
      </c>
      <c r="R391">
        <v>0</v>
      </c>
      <c r="T391">
        <v>1</v>
      </c>
      <c r="V391">
        <v>0</v>
      </c>
      <c r="X391">
        <v>0</v>
      </c>
      <c r="Z391">
        <v>0</v>
      </c>
    </row>
    <row r="392" spans="1:26" x14ac:dyDescent="0.3">
      <c r="A392" t="s">
        <v>432</v>
      </c>
      <c r="B392">
        <v>45701</v>
      </c>
      <c r="C392" t="s">
        <v>27</v>
      </c>
      <c r="D392" t="s">
        <v>38</v>
      </c>
      <c r="E392" t="s">
        <v>34</v>
      </c>
      <c r="F392" t="s">
        <v>35</v>
      </c>
      <c r="G392" t="s">
        <v>36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P392">
        <v>48.1</v>
      </c>
      <c r="R392">
        <v>0</v>
      </c>
      <c r="T392">
        <v>0</v>
      </c>
      <c r="V392">
        <v>0</v>
      </c>
      <c r="X392">
        <v>0</v>
      </c>
      <c r="Z392">
        <v>0</v>
      </c>
    </row>
    <row r="393" spans="1:26" x14ac:dyDescent="0.3">
      <c r="A393" t="s">
        <v>433</v>
      </c>
      <c r="B393">
        <v>45671</v>
      </c>
      <c r="C393" t="s">
        <v>27</v>
      </c>
      <c r="D393" t="s">
        <v>42</v>
      </c>
      <c r="E393" t="s">
        <v>29</v>
      </c>
      <c r="F393" t="s">
        <v>35</v>
      </c>
      <c r="G393" t="s">
        <v>36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2</v>
      </c>
      <c r="N393">
        <v>0</v>
      </c>
      <c r="P393">
        <v>46.3</v>
      </c>
      <c r="R393">
        <v>0</v>
      </c>
      <c r="T393">
        <v>0</v>
      </c>
      <c r="V393">
        <v>0</v>
      </c>
      <c r="X393">
        <v>0</v>
      </c>
      <c r="Z393">
        <v>2</v>
      </c>
    </row>
    <row r="394" spans="1:26" x14ac:dyDescent="0.3">
      <c r="A394" t="s">
        <v>434</v>
      </c>
      <c r="B394">
        <v>45712</v>
      </c>
      <c r="C394" t="s">
        <v>27</v>
      </c>
      <c r="D394" t="s">
        <v>28</v>
      </c>
      <c r="E394" t="s">
        <v>34</v>
      </c>
      <c r="F394" t="s">
        <v>49</v>
      </c>
      <c r="G394" t="s">
        <v>36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P394">
        <v>64</v>
      </c>
      <c r="R394">
        <v>0</v>
      </c>
      <c r="T394">
        <v>0</v>
      </c>
      <c r="V394">
        <v>0</v>
      </c>
      <c r="X394">
        <v>0</v>
      </c>
      <c r="Z394">
        <v>0</v>
      </c>
    </row>
    <row r="395" spans="1:26" x14ac:dyDescent="0.3">
      <c r="A395" t="s">
        <v>435</v>
      </c>
      <c r="B395">
        <v>45793</v>
      </c>
      <c r="C395" t="s">
        <v>27</v>
      </c>
      <c r="D395" t="s">
        <v>33</v>
      </c>
      <c r="E395" t="s">
        <v>29</v>
      </c>
      <c r="F395" t="s">
        <v>35</v>
      </c>
      <c r="G395" t="s">
        <v>31</v>
      </c>
      <c r="H395">
        <v>1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P395">
        <v>56.2</v>
      </c>
      <c r="R395">
        <v>0</v>
      </c>
      <c r="T395">
        <v>1</v>
      </c>
      <c r="V395">
        <v>1</v>
      </c>
      <c r="X395">
        <v>0</v>
      </c>
      <c r="Z395">
        <v>0</v>
      </c>
    </row>
    <row r="396" spans="1:26" x14ac:dyDescent="0.3">
      <c r="A396" t="s">
        <v>436</v>
      </c>
      <c r="B396">
        <v>45776</v>
      </c>
      <c r="C396" t="s">
        <v>27</v>
      </c>
      <c r="D396" t="s">
        <v>28</v>
      </c>
      <c r="E396" t="s">
        <v>34</v>
      </c>
      <c r="F396" t="s">
        <v>39</v>
      </c>
      <c r="G396" t="s">
        <v>36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P396">
        <v>77.5</v>
      </c>
      <c r="R396">
        <v>0</v>
      </c>
      <c r="T396">
        <v>1</v>
      </c>
      <c r="V396">
        <v>1</v>
      </c>
      <c r="X396">
        <v>1</v>
      </c>
      <c r="Z396">
        <v>0</v>
      </c>
    </row>
    <row r="397" spans="1:26" x14ac:dyDescent="0.3">
      <c r="A397" t="s">
        <v>437</v>
      </c>
      <c r="B397">
        <v>45777</v>
      </c>
      <c r="C397" t="s">
        <v>27</v>
      </c>
      <c r="D397" t="s">
        <v>42</v>
      </c>
      <c r="E397" t="s">
        <v>29</v>
      </c>
      <c r="F397" t="s">
        <v>30</v>
      </c>
      <c r="G397" t="s">
        <v>31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P397">
        <v>59.9</v>
      </c>
      <c r="R397">
        <v>0</v>
      </c>
      <c r="T397">
        <v>1</v>
      </c>
      <c r="V397">
        <v>0</v>
      </c>
      <c r="X397">
        <v>0</v>
      </c>
      <c r="Z397">
        <v>0</v>
      </c>
    </row>
    <row r="398" spans="1:26" x14ac:dyDescent="0.3">
      <c r="A398" t="s">
        <v>438</v>
      </c>
      <c r="B398">
        <v>45666</v>
      </c>
      <c r="C398" t="s">
        <v>27</v>
      </c>
      <c r="D398" t="s">
        <v>42</v>
      </c>
      <c r="E398" t="s">
        <v>29</v>
      </c>
      <c r="F398" t="s">
        <v>35</v>
      </c>
      <c r="G398" t="s">
        <v>36</v>
      </c>
      <c r="H398">
        <v>1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P398">
        <v>63</v>
      </c>
      <c r="R398">
        <v>0</v>
      </c>
      <c r="T398">
        <v>1</v>
      </c>
      <c r="V398">
        <v>1</v>
      </c>
      <c r="X398">
        <v>0</v>
      </c>
      <c r="Z398">
        <v>0</v>
      </c>
    </row>
    <row r="399" spans="1:26" x14ac:dyDescent="0.3">
      <c r="A399" t="s">
        <v>439</v>
      </c>
      <c r="B399">
        <v>45772</v>
      </c>
      <c r="C399" t="s">
        <v>27</v>
      </c>
      <c r="D399" t="s">
        <v>42</v>
      </c>
      <c r="E399" t="s">
        <v>34</v>
      </c>
      <c r="F399" t="s">
        <v>35</v>
      </c>
      <c r="G399" t="s">
        <v>36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P399">
        <v>76.5</v>
      </c>
      <c r="R399">
        <v>0</v>
      </c>
      <c r="T399">
        <v>1</v>
      </c>
      <c r="V399">
        <v>1</v>
      </c>
      <c r="X399">
        <v>0</v>
      </c>
      <c r="Z399">
        <v>0</v>
      </c>
    </row>
    <row r="400" spans="1:26" x14ac:dyDescent="0.3">
      <c r="A400" t="s">
        <v>440</v>
      </c>
      <c r="B400">
        <v>45728</v>
      </c>
      <c r="C400" t="s">
        <v>27</v>
      </c>
      <c r="D400" t="s">
        <v>28</v>
      </c>
      <c r="E400" t="s">
        <v>29</v>
      </c>
      <c r="F400" t="s">
        <v>39</v>
      </c>
      <c r="G400" t="s">
        <v>36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P400">
        <v>39.700000000000003</v>
      </c>
      <c r="R400">
        <v>0</v>
      </c>
      <c r="T400">
        <v>1</v>
      </c>
      <c r="V400">
        <v>0</v>
      </c>
      <c r="X400">
        <v>0</v>
      </c>
      <c r="Z400">
        <v>0</v>
      </c>
    </row>
    <row r="401" spans="1:26" x14ac:dyDescent="0.3">
      <c r="A401" t="s">
        <v>441</v>
      </c>
      <c r="B401">
        <v>45736</v>
      </c>
      <c r="C401" t="s">
        <v>27</v>
      </c>
      <c r="D401" t="s">
        <v>28</v>
      </c>
      <c r="E401" t="s">
        <v>34</v>
      </c>
      <c r="F401" t="s">
        <v>35</v>
      </c>
      <c r="G401" t="s">
        <v>36</v>
      </c>
      <c r="H401">
        <v>1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P401">
        <v>80.2</v>
      </c>
      <c r="R401">
        <v>0</v>
      </c>
      <c r="T401">
        <v>1</v>
      </c>
      <c r="V401">
        <v>1</v>
      </c>
      <c r="X401">
        <v>0</v>
      </c>
      <c r="Z401">
        <v>0</v>
      </c>
    </row>
    <row r="402" spans="1:26" x14ac:dyDescent="0.3">
      <c r="A402" t="s">
        <v>442</v>
      </c>
      <c r="B402">
        <v>45706</v>
      </c>
      <c r="C402" t="s">
        <v>27</v>
      </c>
      <c r="D402" t="s">
        <v>33</v>
      </c>
      <c r="E402" t="s">
        <v>34</v>
      </c>
      <c r="F402" t="s">
        <v>39</v>
      </c>
      <c r="G402" t="s">
        <v>36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P402">
        <v>72.2</v>
      </c>
      <c r="R402">
        <v>0</v>
      </c>
      <c r="T402">
        <v>1</v>
      </c>
      <c r="V402">
        <v>0</v>
      </c>
      <c r="X402">
        <v>0</v>
      </c>
      <c r="Z402">
        <v>0</v>
      </c>
    </row>
    <row r="403" spans="1:26" x14ac:dyDescent="0.3">
      <c r="A403" t="s">
        <v>443</v>
      </c>
      <c r="B403">
        <v>45679</v>
      </c>
      <c r="C403" t="s">
        <v>27</v>
      </c>
      <c r="D403" t="s">
        <v>28</v>
      </c>
      <c r="E403" t="s">
        <v>34</v>
      </c>
      <c r="F403" t="s">
        <v>51</v>
      </c>
      <c r="G403" t="s">
        <v>31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P403">
        <v>56</v>
      </c>
      <c r="R403">
        <v>0</v>
      </c>
      <c r="T403">
        <v>0</v>
      </c>
      <c r="V403">
        <v>0</v>
      </c>
      <c r="X403">
        <v>0</v>
      </c>
      <c r="Z403">
        <v>0</v>
      </c>
    </row>
    <row r="404" spans="1:26" x14ac:dyDescent="0.3">
      <c r="A404" t="s">
        <v>444</v>
      </c>
      <c r="B404">
        <v>45696</v>
      </c>
      <c r="C404" t="s">
        <v>27</v>
      </c>
      <c r="D404" t="s">
        <v>33</v>
      </c>
      <c r="E404" t="s">
        <v>34</v>
      </c>
      <c r="F404" t="s">
        <v>30</v>
      </c>
      <c r="G404" t="s">
        <v>31</v>
      </c>
      <c r="H404">
        <v>1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P404">
        <v>69.099999999999994</v>
      </c>
      <c r="R404">
        <v>0</v>
      </c>
      <c r="T404">
        <v>1</v>
      </c>
      <c r="V404">
        <v>1</v>
      </c>
      <c r="X404">
        <v>1</v>
      </c>
      <c r="Z404">
        <v>0</v>
      </c>
    </row>
    <row r="405" spans="1:26" x14ac:dyDescent="0.3">
      <c r="A405" t="s">
        <v>445</v>
      </c>
      <c r="B405">
        <v>45677</v>
      </c>
      <c r="C405" t="s">
        <v>27</v>
      </c>
      <c r="D405" t="s">
        <v>28</v>
      </c>
      <c r="E405" t="s">
        <v>34</v>
      </c>
      <c r="F405" t="s">
        <v>30</v>
      </c>
      <c r="G405" t="s">
        <v>40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P405">
        <v>70.599999999999994</v>
      </c>
      <c r="R405">
        <v>0</v>
      </c>
      <c r="T405">
        <v>0</v>
      </c>
      <c r="V405">
        <v>0</v>
      </c>
      <c r="X405">
        <v>0</v>
      </c>
      <c r="Z405">
        <v>1</v>
      </c>
    </row>
    <row r="406" spans="1:26" x14ac:dyDescent="0.3">
      <c r="A406" t="s">
        <v>446</v>
      </c>
      <c r="B406">
        <v>45769</v>
      </c>
      <c r="C406" t="s">
        <v>27</v>
      </c>
      <c r="D406" t="s">
        <v>33</v>
      </c>
      <c r="E406" t="s">
        <v>29</v>
      </c>
      <c r="F406" t="s">
        <v>49</v>
      </c>
      <c r="G406" t="s">
        <v>36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P406">
        <v>57.9</v>
      </c>
      <c r="R406">
        <v>0</v>
      </c>
      <c r="T406">
        <v>1</v>
      </c>
      <c r="V406">
        <v>0</v>
      </c>
      <c r="X406">
        <v>0</v>
      </c>
      <c r="Z406">
        <v>0</v>
      </c>
    </row>
    <row r="407" spans="1:26" x14ac:dyDescent="0.3">
      <c r="A407" t="s">
        <v>447</v>
      </c>
      <c r="B407">
        <v>45679</v>
      </c>
      <c r="C407" t="s">
        <v>27</v>
      </c>
      <c r="D407" t="s">
        <v>38</v>
      </c>
      <c r="E407" t="s">
        <v>34</v>
      </c>
      <c r="F407" t="s">
        <v>35</v>
      </c>
      <c r="G407" t="s">
        <v>31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P407">
        <v>41.4</v>
      </c>
      <c r="R407">
        <v>0</v>
      </c>
      <c r="T407">
        <v>1</v>
      </c>
      <c r="V407">
        <v>1</v>
      </c>
      <c r="X407">
        <v>0</v>
      </c>
      <c r="Z407">
        <v>0</v>
      </c>
    </row>
    <row r="408" spans="1:26" x14ac:dyDescent="0.3">
      <c r="A408" t="s">
        <v>448</v>
      </c>
      <c r="B408">
        <v>45788</v>
      </c>
      <c r="C408" t="s">
        <v>27</v>
      </c>
      <c r="D408" t="s">
        <v>33</v>
      </c>
      <c r="E408" t="s">
        <v>34</v>
      </c>
      <c r="F408" t="s">
        <v>35</v>
      </c>
      <c r="G408" t="s">
        <v>31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P408">
        <v>60.9</v>
      </c>
      <c r="R408">
        <v>0</v>
      </c>
      <c r="T408">
        <v>1</v>
      </c>
      <c r="V408">
        <v>0</v>
      </c>
      <c r="X408">
        <v>0</v>
      </c>
      <c r="Z408">
        <v>0</v>
      </c>
    </row>
    <row r="409" spans="1:26" x14ac:dyDescent="0.3">
      <c r="A409" t="s">
        <v>449</v>
      </c>
      <c r="B409">
        <v>45694</v>
      </c>
      <c r="C409" t="s">
        <v>27</v>
      </c>
      <c r="D409" t="s">
        <v>42</v>
      </c>
      <c r="E409" t="s">
        <v>34</v>
      </c>
      <c r="F409" t="s">
        <v>35</v>
      </c>
      <c r="G409" t="s">
        <v>31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P409">
        <v>63.8</v>
      </c>
      <c r="R409">
        <v>0</v>
      </c>
      <c r="T409">
        <v>0</v>
      </c>
      <c r="V409">
        <v>0</v>
      </c>
      <c r="X409">
        <v>0</v>
      </c>
      <c r="Z409">
        <v>1</v>
      </c>
    </row>
    <row r="410" spans="1:26" x14ac:dyDescent="0.3">
      <c r="A410" t="s">
        <v>450</v>
      </c>
      <c r="B410">
        <v>45709</v>
      </c>
      <c r="C410" t="s">
        <v>27</v>
      </c>
      <c r="D410" t="s">
        <v>28</v>
      </c>
      <c r="E410" t="s">
        <v>29</v>
      </c>
      <c r="F410" t="s">
        <v>35</v>
      </c>
      <c r="G410" t="s">
        <v>40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P410">
        <v>79.2</v>
      </c>
      <c r="R410">
        <v>0</v>
      </c>
      <c r="T410">
        <v>1</v>
      </c>
      <c r="V410">
        <v>0</v>
      </c>
      <c r="X410">
        <v>0</v>
      </c>
      <c r="Z410">
        <v>0</v>
      </c>
    </row>
    <row r="411" spans="1:26" x14ac:dyDescent="0.3">
      <c r="A411" t="s">
        <v>451</v>
      </c>
      <c r="B411">
        <v>45670</v>
      </c>
      <c r="C411" t="s">
        <v>27</v>
      </c>
      <c r="D411" t="s">
        <v>33</v>
      </c>
      <c r="E411" t="s">
        <v>34</v>
      </c>
      <c r="F411" t="s">
        <v>30</v>
      </c>
      <c r="G411" t="s">
        <v>40</v>
      </c>
      <c r="H411">
        <v>1</v>
      </c>
      <c r="I411">
        <v>1</v>
      </c>
      <c r="J411">
        <v>1</v>
      </c>
      <c r="K411">
        <v>0</v>
      </c>
      <c r="L411">
        <v>0</v>
      </c>
      <c r="M411">
        <v>0</v>
      </c>
      <c r="N411">
        <v>0</v>
      </c>
      <c r="P411">
        <v>53.3</v>
      </c>
      <c r="R411">
        <v>0</v>
      </c>
      <c r="T411">
        <v>1</v>
      </c>
      <c r="V411">
        <v>1</v>
      </c>
      <c r="X411">
        <v>1</v>
      </c>
      <c r="Z411">
        <v>0</v>
      </c>
    </row>
    <row r="412" spans="1:26" x14ac:dyDescent="0.3">
      <c r="A412" t="s">
        <v>452</v>
      </c>
      <c r="B412">
        <v>45723</v>
      </c>
      <c r="C412" t="s">
        <v>27</v>
      </c>
      <c r="D412" t="s">
        <v>28</v>
      </c>
      <c r="E412" t="s">
        <v>34</v>
      </c>
      <c r="F412" t="s">
        <v>49</v>
      </c>
      <c r="G412" t="s">
        <v>40</v>
      </c>
      <c r="H412">
        <v>1</v>
      </c>
      <c r="I412">
        <v>1</v>
      </c>
      <c r="J412">
        <v>1</v>
      </c>
      <c r="K412">
        <v>1</v>
      </c>
      <c r="L412">
        <v>2144.8200000000002</v>
      </c>
      <c r="M412">
        <v>0</v>
      </c>
      <c r="N412">
        <v>0</v>
      </c>
      <c r="O412">
        <v>6</v>
      </c>
      <c r="P412">
        <v>52.3</v>
      </c>
      <c r="R412">
        <v>1</v>
      </c>
      <c r="T412">
        <v>1</v>
      </c>
      <c r="V412">
        <v>1</v>
      </c>
      <c r="X412">
        <v>1</v>
      </c>
      <c r="Z412">
        <v>0</v>
      </c>
    </row>
    <row r="413" spans="1:26" x14ac:dyDescent="0.3">
      <c r="A413" t="s">
        <v>453</v>
      </c>
      <c r="B413">
        <v>45714</v>
      </c>
      <c r="C413" t="s">
        <v>27</v>
      </c>
      <c r="D413" t="s">
        <v>33</v>
      </c>
      <c r="E413" t="s">
        <v>29</v>
      </c>
      <c r="F413" t="s">
        <v>35</v>
      </c>
      <c r="G413" t="s">
        <v>31</v>
      </c>
      <c r="H413">
        <v>1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P413">
        <v>62.4</v>
      </c>
      <c r="R413">
        <v>0</v>
      </c>
      <c r="T413">
        <v>1</v>
      </c>
      <c r="V413">
        <v>1</v>
      </c>
      <c r="X413">
        <v>0</v>
      </c>
      <c r="Z413">
        <v>0</v>
      </c>
    </row>
    <row r="414" spans="1:26" x14ac:dyDescent="0.3">
      <c r="A414" t="s">
        <v>454</v>
      </c>
      <c r="B414">
        <v>45782</v>
      </c>
      <c r="C414" t="s">
        <v>27</v>
      </c>
      <c r="D414" t="s">
        <v>28</v>
      </c>
      <c r="E414" t="s">
        <v>34</v>
      </c>
      <c r="F414" t="s">
        <v>49</v>
      </c>
      <c r="G414" t="s">
        <v>40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P414">
        <v>45.5</v>
      </c>
      <c r="R414">
        <v>0</v>
      </c>
      <c r="T414">
        <v>1</v>
      </c>
      <c r="V414">
        <v>0</v>
      </c>
      <c r="X414">
        <v>0</v>
      </c>
      <c r="Z414">
        <v>0</v>
      </c>
    </row>
    <row r="415" spans="1:26" x14ac:dyDescent="0.3">
      <c r="A415" t="s">
        <v>455</v>
      </c>
      <c r="B415">
        <v>45665</v>
      </c>
      <c r="C415" t="s">
        <v>27</v>
      </c>
      <c r="D415" t="s">
        <v>38</v>
      </c>
      <c r="E415" t="s">
        <v>29</v>
      </c>
      <c r="F415" t="s">
        <v>35</v>
      </c>
      <c r="G415" t="s">
        <v>31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0</v>
      </c>
      <c r="P415">
        <v>72.599999999999994</v>
      </c>
      <c r="R415">
        <v>0</v>
      </c>
      <c r="T415">
        <v>0</v>
      </c>
      <c r="V415">
        <v>0</v>
      </c>
      <c r="X415">
        <v>0</v>
      </c>
      <c r="Z415">
        <v>1</v>
      </c>
    </row>
    <row r="416" spans="1:26" x14ac:dyDescent="0.3">
      <c r="A416" t="s">
        <v>456</v>
      </c>
      <c r="B416">
        <v>45735</v>
      </c>
      <c r="C416" t="s">
        <v>27</v>
      </c>
      <c r="D416" t="s">
        <v>42</v>
      </c>
      <c r="E416" t="s">
        <v>34</v>
      </c>
      <c r="F416" t="s">
        <v>30</v>
      </c>
      <c r="G416" t="s">
        <v>40</v>
      </c>
      <c r="H416">
        <v>1</v>
      </c>
      <c r="I416">
        <v>1</v>
      </c>
      <c r="J416">
        <v>1</v>
      </c>
      <c r="K416">
        <v>0</v>
      </c>
      <c r="L416">
        <v>0</v>
      </c>
      <c r="M416">
        <v>0</v>
      </c>
      <c r="N416">
        <v>0</v>
      </c>
      <c r="P416">
        <v>50.1</v>
      </c>
      <c r="R416">
        <v>0</v>
      </c>
      <c r="T416">
        <v>1</v>
      </c>
      <c r="V416">
        <v>1</v>
      </c>
      <c r="X416">
        <v>1</v>
      </c>
      <c r="Z416">
        <v>0</v>
      </c>
    </row>
    <row r="417" spans="1:26" x14ac:dyDescent="0.3">
      <c r="A417" t="s">
        <v>457</v>
      </c>
      <c r="B417">
        <v>45687</v>
      </c>
      <c r="C417" t="s">
        <v>27</v>
      </c>
      <c r="D417" t="s">
        <v>38</v>
      </c>
      <c r="E417" t="s">
        <v>29</v>
      </c>
      <c r="F417" t="s">
        <v>39</v>
      </c>
      <c r="G417" t="s">
        <v>36</v>
      </c>
      <c r="H417">
        <v>1</v>
      </c>
      <c r="I417">
        <v>1</v>
      </c>
      <c r="J417">
        <v>1</v>
      </c>
      <c r="K417">
        <v>0</v>
      </c>
      <c r="L417">
        <v>0</v>
      </c>
      <c r="M417">
        <v>2</v>
      </c>
      <c r="N417">
        <v>0</v>
      </c>
      <c r="P417">
        <v>58.1</v>
      </c>
      <c r="R417">
        <v>0</v>
      </c>
      <c r="T417">
        <v>1</v>
      </c>
      <c r="V417">
        <v>1</v>
      </c>
      <c r="X417">
        <v>1</v>
      </c>
      <c r="Z417">
        <v>2</v>
      </c>
    </row>
    <row r="418" spans="1:26" x14ac:dyDescent="0.3">
      <c r="A418" t="s">
        <v>458</v>
      </c>
      <c r="B418">
        <v>45775</v>
      </c>
      <c r="C418" t="s">
        <v>27</v>
      </c>
      <c r="D418" t="s">
        <v>38</v>
      </c>
      <c r="E418" t="s">
        <v>34</v>
      </c>
      <c r="F418" t="s">
        <v>35</v>
      </c>
      <c r="G418" t="s">
        <v>31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P418">
        <v>42.9</v>
      </c>
      <c r="R418">
        <v>0</v>
      </c>
      <c r="T418">
        <v>1</v>
      </c>
      <c r="V418">
        <v>0</v>
      </c>
      <c r="X418">
        <v>0</v>
      </c>
      <c r="Z418">
        <v>0</v>
      </c>
    </row>
    <row r="419" spans="1:26" x14ac:dyDescent="0.3">
      <c r="A419" t="s">
        <v>459</v>
      </c>
      <c r="B419">
        <v>45723</v>
      </c>
      <c r="C419" t="s">
        <v>27</v>
      </c>
      <c r="D419" t="s">
        <v>28</v>
      </c>
      <c r="E419" t="s">
        <v>34</v>
      </c>
      <c r="F419" t="s">
        <v>49</v>
      </c>
      <c r="G419" t="s">
        <v>31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P419">
        <v>69.7</v>
      </c>
      <c r="R419">
        <v>0</v>
      </c>
      <c r="T419">
        <v>0</v>
      </c>
      <c r="V419">
        <v>0</v>
      </c>
      <c r="X419">
        <v>0</v>
      </c>
      <c r="Z419">
        <v>0</v>
      </c>
    </row>
    <row r="420" spans="1:26" x14ac:dyDescent="0.3">
      <c r="A420" t="s">
        <v>460</v>
      </c>
      <c r="B420">
        <v>45754</v>
      </c>
      <c r="C420" t="s">
        <v>27</v>
      </c>
      <c r="D420" t="s">
        <v>28</v>
      </c>
      <c r="E420" t="s">
        <v>29</v>
      </c>
      <c r="F420" t="s">
        <v>35</v>
      </c>
      <c r="G420" t="s">
        <v>36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P420">
        <v>63.3</v>
      </c>
      <c r="R420">
        <v>0</v>
      </c>
      <c r="T420">
        <v>0</v>
      </c>
      <c r="V420">
        <v>0</v>
      </c>
      <c r="X420">
        <v>0</v>
      </c>
      <c r="Z420">
        <v>0</v>
      </c>
    </row>
    <row r="421" spans="1:26" x14ac:dyDescent="0.3">
      <c r="A421" t="s">
        <v>461</v>
      </c>
      <c r="B421">
        <v>45785</v>
      </c>
      <c r="C421" t="s">
        <v>27</v>
      </c>
      <c r="D421" t="s">
        <v>28</v>
      </c>
      <c r="E421" t="s">
        <v>29</v>
      </c>
      <c r="F421" t="s">
        <v>35</v>
      </c>
      <c r="G421" t="s">
        <v>40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P421">
        <v>71.2</v>
      </c>
      <c r="R421">
        <v>0</v>
      </c>
      <c r="T421">
        <v>1</v>
      </c>
      <c r="V421">
        <v>0</v>
      </c>
      <c r="X421">
        <v>0</v>
      </c>
      <c r="Z421">
        <v>0</v>
      </c>
    </row>
    <row r="422" spans="1:26" x14ac:dyDescent="0.3">
      <c r="A422" t="s">
        <v>462</v>
      </c>
      <c r="B422">
        <v>45762</v>
      </c>
      <c r="C422" t="s">
        <v>27</v>
      </c>
      <c r="D422" t="s">
        <v>42</v>
      </c>
      <c r="E422" t="s">
        <v>34</v>
      </c>
      <c r="F422" t="s">
        <v>30</v>
      </c>
      <c r="G422" t="s">
        <v>36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P422">
        <v>39.1</v>
      </c>
      <c r="R422">
        <v>0</v>
      </c>
      <c r="T422">
        <v>1</v>
      </c>
      <c r="V422">
        <v>0</v>
      </c>
      <c r="X422">
        <v>0</v>
      </c>
      <c r="Z422">
        <v>0</v>
      </c>
    </row>
    <row r="423" spans="1:26" x14ac:dyDescent="0.3">
      <c r="A423" t="s">
        <v>463</v>
      </c>
      <c r="B423">
        <v>45767</v>
      </c>
      <c r="C423" t="s">
        <v>27</v>
      </c>
      <c r="D423" t="s">
        <v>38</v>
      </c>
      <c r="E423" t="s">
        <v>29</v>
      </c>
      <c r="F423" t="s">
        <v>51</v>
      </c>
      <c r="G423" t="s">
        <v>36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P423">
        <v>42.6</v>
      </c>
      <c r="R423">
        <v>0</v>
      </c>
      <c r="T423">
        <v>1</v>
      </c>
      <c r="V423">
        <v>0</v>
      </c>
      <c r="X423">
        <v>0</v>
      </c>
      <c r="Z423">
        <v>0</v>
      </c>
    </row>
    <row r="424" spans="1:26" x14ac:dyDescent="0.3">
      <c r="A424" t="s">
        <v>464</v>
      </c>
      <c r="B424">
        <v>45807</v>
      </c>
      <c r="C424" t="s">
        <v>27</v>
      </c>
      <c r="D424" t="s">
        <v>42</v>
      </c>
      <c r="E424" t="s">
        <v>44</v>
      </c>
      <c r="F424" t="s">
        <v>35</v>
      </c>
      <c r="G424" t="s">
        <v>36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P424">
        <v>74.400000000000006</v>
      </c>
      <c r="R424">
        <v>0</v>
      </c>
      <c r="T424">
        <v>0</v>
      </c>
      <c r="V424">
        <v>0</v>
      </c>
      <c r="X424">
        <v>0</v>
      </c>
      <c r="Z424">
        <v>0</v>
      </c>
    </row>
    <row r="425" spans="1:26" x14ac:dyDescent="0.3">
      <c r="A425" t="s">
        <v>465</v>
      </c>
      <c r="B425">
        <v>45701</v>
      </c>
      <c r="C425" t="s">
        <v>27</v>
      </c>
      <c r="D425" t="s">
        <v>33</v>
      </c>
      <c r="E425" t="s">
        <v>34</v>
      </c>
      <c r="F425" t="s">
        <v>49</v>
      </c>
      <c r="G425" t="s">
        <v>36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P425">
        <v>55.6</v>
      </c>
      <c r="R425">
        <v>0</v>
      </c>
      <c r="T425">
        <v>0</v>
      </c>
      <c r="V425">
        <v>0</v>
      </c>
      <c r="X425">
        <v>0</v>
      </c>
      <c r="Z425">
        <v>0</v>
      </c>
    </row>
    <row r="426" spans="1:26" x14ac:dyDescent="0.3">
      <c r="A426" t="s">
        <v>466</v>
      </c>
      <c r="B426">
        <v>45775</v>
      </c>
      <c r="C426" t="s">
        <v>27</v>
      </c>
      <c r="D426" t="s">
        <v>33</v>
      </c>
      <c r="E426" t="s">
        <v>34</v>
      </c>
      <c r="F426" t="s">
        <v>51</v>
      </c>
      <c r="G426" t="s">
        <v>36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P426">
        <v>35.799999999999997</v>
      </c>
      <c r="R426">
        <v>0</v>
      </c>
      <c r="T426">
        <v>1</v>
      </c>
      <c r="V426">
        <v>0</v>
      </c>
      <c r="X426">
        <v>0</v>
      </c>
      <c r="Z426">
        <v>0</v>
      </c>
    </row>
    <row r="427" spans="1:26" x14ac:dyDescent="0.3">
      <c r="A427" t="s">
        <v>467</v>
      </c>
      <c r="B427">
        <v>45700</v>
      </c>
      <c r="C427" t="s">
        <v>27</v>
      </c>
      <c r="D427" t="s">
        <v>28</v>
      </c>
      <c r="E427" t="s">
        <v>34</v>
      </c>
      <c r="F427" t="s">
        <v>39</v>
      </c>
      <c r="G427" t="s">
        <v>31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0</v>
      </c>
      <c r="P427">
        <v>28.2</v>
      </c>
      <c r="R427">
        <v>0</v>
      </c>
      <c r="T427">
        <v>1</v>
      </c>
      <c r="V427">
        <v>0</v>
      </c>
      <c r="X427">
        <v>0</v>
      </c>
      <c r="Z427">
        <v>1</v>
      </c>
    </row>
    <row r="428" spans="1:26" x14ac:dyDescent="0.3">
      <c r="A428" t="s">
        <v>468</v>
      </c>
      <c r="B428">
        <v>45700</v>
      </c>
      <c r="C428" t="s">
        <v>27</v>
      </c>
      <c r="D428" t="s">
        <v>38</v>
      </c>
      <c r="E428" t="s">
        <v>34</v>
      </c>
      <c r="F428" t="s">
        <v>35</v>
      </c>
      <c r="G428" t="s">
        <v>36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2</v>
      </c>
      <c r="N428">
        <v>0</v>
      </c>
      <c r="P428">
        <v>44.4</v>
      </c>
      <c r="R428">
        <v>0</v>
      </c>
      <c r="T428">
        <v>0</v>
      </c>
      <c r="V428">
        <v>0</v>
      </c>
      <c r="X428">
        <v>0</v>
      </c>
      <c r="Z428">
        <v>2</v>
      </c>
    </row>
    <row r="429" spans="1:26" x14ac:dyDescent="0.3">
      <c r="A429" t="s">
        <v>469</v>
      </c>
      <c r="B429">
        <v>45743</v>
      </c>
      <c r="C429" t="s">
        <v>27</v>
      </c>
      <c r="D429" t="s">
        <v>28</v>
      </c>
      <c r="E429" t="s">
        <v>34</v>
      </c>
      <c r="F429" t="s">
        <v>30</v>
      </c>
      <c r="G429" t="s">
        <v>40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P429">
        <v>49.9</v>
      </c>
      <c r="R429">
        <v>0</v>
      </c>
      <c r="T429">
        <v>1</v>
      </c>
      <c r="V429">
        <v>0</v>
      </c>
      <c r="X429">
        <v>0</v>
      </c>
      <c r="Z429">
        <v>0</v>
      </c>
    </row>
    <row r="430" spans="1:26" x14ac:dyDescent="0.3">
      <c r="A430" t="s">
        <v>470</v>
      </c>
      <c r="B430">
        <v>45759</v>
      </c>
      <c r="C430" t="s">
        <v>27</v>
      </c>
      <c r="D430" t="s">
        <v>42</v>
      </c>
      <c r="E430" t="s">
        <v>29</v>
      </c>
      <c r="F430" t="s">
        <v>35</v>
      </c>
      <c r="G430" t="s">
        <v>36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P430">
        <v>40.4</v>
      </c>
      <c r="R430">
        <v>0</v>
      </c>
      <c r="T430">
        <v>0</v>
      </c>
      <c r="V430">
        <v>0</v>
      </c>
      <c r="X430">
        <v>0</v>
      </c>
      <c r="Z430">
        <v>0</v>
      </c>
    </row>
    <row r="431" spans="1:26" x14ac:dyDescent="0.3">
      <c r="A431" t="s">
        <v>471</v>
      </c>
      <c r="B431">
        <v>45687</v>
      </c>
      <c r="C431" t="s">
        <v>27</v>
      </c>
      <c r="D431" t="s">
        <v>33</v>
      </c>
      <c r="E431" t="s">
        <v>34</v>
      </c>
      <c r="F431" t="s">
        <v>51</v>
      </c>
      <c r="G431" t="s">
        <v>36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P431">
        <v>60.4</v>
      </c>
      <c r="R431">
        <v>0</v>
      </c>
      <c r="T431">
        <v>0</v>
      </c>
      <c r="V431">
        <v>0</v>
      </c>
      <c r="X431">
        <v>0</v>
      </c>
      <c r="Z431">
        <v>0</v>
      </c>
    </row>
    <row r="432" spans="1:26" x14ac:dyDescent="0.3">
      <c r="A432" t="s">
        <v>472</v>
      </c>
      <c r="B432">
        <v>45805</v>
      </c>
      <c r="C432" t="s">
        <v>27</v>
      </c>
      <c r="D432" t="s">
        <v>33</v>
      </c>
      <c r="E432" t="s">
        <v>34</v>
      </c>
      <c r="F432" t="s">
        <v>51</v>
      </c>
      <c r="G432" t="s">
        <v>40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0</v>
      </c>
      <c r="P432">
        <v>52.4</v>
      </c>
      <c r="R432">
        <v>0</v>
      </c>
      <c r="T432">
        <v>0</v>
      </c>
      <c r="V432">
        <v>0</v>
      </c>
      <c r="X432">
        <v>0</v>
      </c>
      <c r="Z432">
        <v>1</v>
      </c>
    </row>
    <row r="433" spans="1:26" x14ac:dyDescent="0.3">
      <c r="A433" t="s">
        <v>473</v>
      </c>
      <c r="B433">
        <v>45778</v>
      </c>
      <c r="C433" t="s">
        <v>27</v>
      </c>
      <c r="D433" t="s">
        <v>42</v>
      </c>
      <c r="E433" t="s">
        <v>34</v>
      </c>
      <c r="F433" t="s">
        <v>35</v>
      </c>
      <c r="G433" t="s">
        <v>31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P433">
        <v>48.8</v>
      </c>
      <c r="R433">
        <v>0</v>
      </c>
      <c r="T433">
        <v>1</v>
      </c>
      <c r="V433">
        <v>1</v>
      </c>
      <c r="X433">
        <v>0</v>
      </c>
      <c r="Z433">
        <v>0</v>
      </c>
    </row>
    <row r="434" spans="1:26" x14ac:dyDescent="0.3">
      <c r="A434" t="s">
        <v>474</v>
      </c>
      <c r="B434">
        <v>45691</v>
      </c>
      <c r="C434" t="s">
        <v>27</v>
      </c>
      <c r="D434" t="s">
        <v>28</v>
      </c>
      <c r="E434" t="s">
        <v>44</v>
      </c>
      <c r="F434" t="s">
        <v>30</v>
      </c>
      <c r="G434" t="s">
        <v>31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P434">
        <v>60.9</v>
      </c>
      <c r="R434">
        <v>0</v>
      </c>
      <c r="T434">
        <v>1</v>
      </c>
      <c r="V434">
        <v>0</v>
      </c>
      <c r="X434">
        <v>0</v>
      </c>
      <c r="Z434">
        <v>0</v>
      </c>
    </row>
    <row r="435" spans="1:26" x14ac:dyDescent="0.3">
      <c r="A435" t="s">
        <v>475</v>
      </c>
      <c r="B435">
        <v>45667</v>
      </c>
      <c r="C435" t="s">
        <v>27</v>
      </c>
      <c r="D435" t="s">
        <v>42</v>
      </c>
      <c r="E435" t="s">
        <v>29</v>
      </c>
      <c r="F435" t="s">
        <v>51</v>
      </c>
      <c r="G435" t="s">
        <v>31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P435">
        <v>68.2</v>
      </c>
      <c r="R435">
        <v>0</v>
      </c>
      <c r="T435">
        <v>0</v>
      </c>
      <c r="V435">
        <v>0</v>
      </c>
      <c r="X435">
        <v>0</v>
      </c>
      <c r="Z435">
        <v>0</v>
      </c>
    </row>
    <row r="436" spans="1:26" x14ac:dyDescent="0.3">
      <c r="A436" t="s">
        <v>476</v>
      </c>
      <c r="B436">
        <v>45779</v>
      </c>
      <c r="C436" t="s">
        <v>27</v>
      </c>
      <c r="D436" t="s">
        <v>28</v>
      </c>
      <c r="E436" t="s">
        <v>29</v>
      </c>
      <c r="F436" t="s">
        <v>35</v>
      </c>
      <c r="G436" t="s">
        <v>31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P436">
        <v>65.599999999999994</v>
      </c>
      <c r="R436">
        <v>0</v>
      </c>
      <c r="T436">
        <v>1</v>
      </c>
      <c r="V436">
        <v>0</v>
      </c>
      <c r="X436">
        <v>0</v>
      </c>
      <c r="Z436">
        <v>0</v>
      </c>
    </row>
    <row r="437" spans="1:26" x14ac:dyDescent="0.3">
      <c r="A437" t="s">
        <v>477</v>
      </c>
      <c r="B437">
        <v>45803</v>
      </c>
      <c r="C437" t="s">
        <v>27</v>
      </c>
      <c r="D437" t="s">
        <v>28</v>
      </c>
      <c r="E437" t="s">
        <v>29</v>
      </c>
      <c r="F437" t="s">
        <v>35</v>
      </c>
      <c r="G437" t="s">
        <v>31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P437">
        <v>65.400000000000006</v>
      </c>
      <c r="R437">
        <v>0</v>
      </c>
      <c r="T437">
        <v>1</v>
      </c>
      <c r="V437">
        <v>0</v>
      </c>
      <c r="X437">
        <v>0</v>
      </c>
      <c r="Z437">
        <v>0</v>
      </c>
    </row>
    <row r="438" spans="1:26" x14ac:dyDescent="0.3">
      <c r="A438" t="s">
        <v>478</v>
      </c>
      <c r="B438">
        <v>45669</v>
      </c>
      <c r="C438" t="s">
        <v>27</v>
      </c>
      <c r="D438" t="s">
        <v>33</v>
      </c>
      <c r="E438" t="s">
        <v>34</v>
      </c>
      <c r="F438" t="s">
        <v>35</v>
      </c>
      <c r="G438" t="s">
        <v>31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P438">
        <v>78.900000000000006</v>
      </c>
      <c r="R438">
        <v>0</v>
      </c>
      <c r="T438">
        <v>1</v>
      </c>
      <c r="V438">
        <v>0</v>
      </c>
      <c r="X438">
        <v>0</v>
      </c>
      <c r="Z438">
        <v>0</v>
      </c>
    </row>
    <row r="439" spans="1:26" x14ac:dyDescent="0.3">
      <c r="A439" t="s">
        <v>479</v>
      </c>
      <c r="B439">
        <v>45804</v>
      </c>
      <c r="C439" t="s">
        <v>27</v>
      </c>
      <c r="D439" t="s">
        <v>38</v>
      </c>
      <c r="E439" t="s">
        <v>34</v>
      </c>
      <c r="F439" t="s">
        <v>39</v>
      </c>
      <c r="G439" t="s">
        <v>31</v>
      </c>
      <c r="H439">
        <v>1</v>
      </c>
      <c r="I439">
        <v>1</v>
      </c>
      <c r="J439">
        <v>1</v>
      </c>
      <c r="K439">
        <v>0</v>
      </c>
      <c r="L439">
        <v>0</v>
      </c>
      <c r="M439">
        <v>0</v>
      </c>
      <c r="N439">
        <v>0</v>
      </c>
      <c r="P439">
        <v>78.3</v>
      </c>
      <c r="R439">
        <v>0</v>
      </c>
      <c r="T439">
        <v>1</v>
      </c>
      <c r="V439">
        <v>1</v>
      </c>
      <c r="X439">
        <v>1</v>
      </c>
      <c r="Z439">
        <v>0</v>
      </c>
    </row>
    <row r="440" spans="1:26" x14ac:dyDescent="0.3">
      <c r="A440" t="s">
        <v>480</v>
      </c>
      <c r="B440">
        <v>45799</v>
      </c>
      <c r="C440" t="s">
        <v>27</v>
      </c>
      <c r="D440" t="s">
        <v>33</v>
      </c>
      <c r="E440" t="s">
        <v>29</v>
      </c>
      <c r="F440" t="s">
        <v>30</v>
      </c>
      <c r="G440" t="s">
        <v>31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P440">
        <v>49.2</v>
      </c>
      <c r="R440">
        <v>0</v>
      </c>
      <c r="T440">
        <v>0</v>
      </c>
      <c r="V440">
        <v>0</v>
      </c>
      <c r="X440">
        <v>0</v>
      </c>
      <c r="Z440">
        <v>0</v>
      </c>
    </row>
    <row r="441" spans="1:26" x14ac:dyDescent="0.3">
      <c r="A441" t="s">
        <v>481</v>
      </c>
      <c r="B441">
        <v>45748</v>
      </c>
      <c r="C441" t="s">
        <v>27</v>
      </c>
      <c r="D441" t="s">
        <v>38</v>
      </c>
      <c r="E441" t="s">
        <v>34</v>
      </c>
      <c r="F441" t="s">
        <v>51</v>
      </c>
      <c r="G441" t="s">
        <v>40</v>
      </c>
      <c r="H441">
        <v>1</v>
      </c>
      <c r="I441">
        <v>1</v>
      </c>
      <c r="J441">
        <v>1</v>
      </c>
      <c r="K441">
        <v>1</v>
      </c>
      <c r="L441">
        <v>1518.83</v>
      </c>
      <c r="M441">
        <v>0</v>
      </c>
      <c r="N441">
        <v>0</v>
      </c>
      <c r="O441">
        <v>9</v>
      </c>
      <c r="P441">
        <v>32.200000000000003</v>
      </c>
      <c r="R441">
        <v>1</v>
      </c>
      <c r="T441">
        <v>1</v>
      </c>
      <c r="V441">
        <v>1</v>
      </c>
      <c r="X441">
        <v>1</v>
      </c>
      <c r="Z441">
        <v>0</v>
      </c>
    </row>
    <row r="442" spans="1:26" x14ac:dyDescent="0.3">
      <c r="A442" t="s">
        <v>482</v>
      </c>
      <c r="B442">
        <v>45679</v>
      </c>
      <c r="C442" t="s">
        <v>27</v>
      </c>
      <c r="D442" t="s">
        <v>28</v>
      </c>
      <c r="E442" t="s">
        <v>34</v>
      </c>
      <c r="F442" t="s">
        <v>39</v>
      </c>
      <c r="G442" t="s">
        <v>31</v>
      </c>
      <c r="H442">
        <v>1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P442">
        <v>46.3</v>
      </c>
      <c r="R442">
        <v>0</v>
      </c>
      <c r="T442">
        <v>1</v>
      </c>
      <c r="V442">
        <v>1</v>
      </c>
      <c r="X442">
        <v>1</v>
      </c>
      <c r="Z442">
        <v>0</v>
      </c>
    </row>
    <row r="443" spans="1:26" x14ac:dyDescent="0.3">
      <c r="A443" t="s">
        <v>483</v>
      </c>
      <c r="B443">
        <v>45801</v>
      </c>
      <c r="C443" t="s">
        <v>27</v>
      </c>
      <c r="D443" t="s">
        <v>38</v>
      </c>
      <c r="E443" t="s">
        <v>34</v>
      </c>
      <c r="F443" t="s">
        <v>39</v>
      </c>
      <c r="G443" t="s">
        <v>31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P443">
        <v>55.7</v>
      </c>
      <c r="R443">
        <v>0</v>
      </c>
      <c r="T443">
        <v>1</v>
      </c>
      <c r="V443">
        <v>0</v>
      </c>
      <c r="X443">
        <v>0</v>
      </c>
      <c r="Z443">
        <v>0</v>
      </c>
    </row>
    <row r="444" spans="1:26" x14ac:dyDescent="0.3">
      <c r="A444" t="s">
        <v>484</v>
      </c>
      <c r="B444">
        <v>45772</v>
      </c>
      <c r="C444" t="s">
        <v>27</v>
      </c>
      <c r="D444" t="s">
        <v>42</v>
      </c>
      <c r="E444" t="s">
        <v>34</v>
      </c>
      <c r="F444" t="s">
        <v>51</v>
      </c>
      <c r="G444" t="s">
        <v>36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P444">
        <v>44.5</v>
      </c>
      <c r="R444">
        <v>0</v>
      </c>
      <c r="T444">
        <v>1</v>
      </c>
      <c r="V444">
        <v>0</v>
      </c>
      <c r="X444">
        <v>0</v>
      </c>
      <c r="Z444">
        <v>0</v>
      </c>
    </row>
    <row r="445" spans="1:26" x14ac:dyDescent="0.3">
      <c r="A445" t="s">
        <v>485</v>
      </c>
      <c r="B445">
        <v>45759</v>
      </c>
      <c r="C445" t="s">
        <v>27</v>
      </c>
      <c r="D445" t="s">
        <v>33</v>
      </c>
      <c r="E445" t="s">
        <v>29</v>
      </c>
      <c r="F445" t="s">
        <v>49</v>
      </c>
      <c r="G445" t="s">
        <v>36</v>
      </c>
      <c r="H445">
        <v>1</v>
      </c>
      <c r="I445">
        <v>1</v>
      </c>
      <c r="J445">
        <v>1</v>
      </c>
      <c r="K445">
        <v>0</v>
      </c>
      <c r="L445">
        <v>0</v>
      </c>
      <c r="M445">
        <v>1</v>
      </c>
      <c r="N445">
        <v>0</v>
      </c>
      <c r="P445">
        <v>47.9</v>
      </c>
      <c r="R445">
        <v>0</v>
      </c>
      <c r="T445">
        <v>1</v>
      </c>
      <c r="V445">
        <v>1</v>
      </c>
      <c r="X445">
        <v>1</v>
      </c>
      <c r="Z445">
        <v>1</v>
      </c>
    </row>
    <row r="446" spans="1:26" x14ac:dyDescent="0.3">
      <c r="A446" t="s">
        <v>486</v>
      </c>
      <c r="B446">
        <v>45770</v>
      </c>
      <c r="C446" t="s">
        <v>27</v>
      </c>
      <c r="D446" t="s">
        <v>42</v>
      </c>
      <c r="E446" t="s">
        <v>34</v>
      </c>
      <c r="F446" t="s">
        <v>35</v>
      </c>
      <c r="G446" t="s">
        <v>40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P446">
        <v>43.9</v>
      </c>
      <c r="R446">
        <v>0</v>
      </c>
      <c r="T446">
        <v>1</v>
      </c>
      <c r="V446">
        <v>0</v>
      </c>
      <c r="X446">
        <v>0</v>
      </c>
      <c r="Z446">
        <v>0</v>
      </c>
    </row>
    <row r="447" spans="1:26" x14ac:dyDescent="0.3">
      <c r="A447" t="s">
        <v>487</v>
      </c>
      <c r="B447">
        <v>45746</v>
      </c>
      <c r="C447" t="s">
        <v>27</v>
      </c>
      <c r="D447" t="s">
        <v>28</v>
      </c>
      <c r="E447" t="s">
        <v>29</v>
      </c>
      <c r="F447" t="s">
        <v>49</v>
      </c>
      <c r="G447" t="s">
        <v>36</v>
      </c>
      <c r="H447">
        <v>1</v>
      </c>
      <c r="I447">
        <v>1</v>
      </c>
      <c r="J447">
        <v>1</v>
      </c>
      <c r="K447">
        <v>0</v>
      </c>
      <c r="L447">
        <v>0</v>
      </c>
      <c r="M447">
        <v>1</v>
      </c>
      <c r="N447">
        <v>0</v>
      </c>
      <c r="P447">
        <v>67.7</v>
      </c>
      <c r="R447">
        <v>0</v>
      </c>
      <c r="T447">
        <v>1</v>
      </c>
      <c r="V447">
        <v>1</v>
      </c>
      <c r="X447">
        <v>1</v>
      </c>
      <c r="Z447">
        <v>1</v>
      </c>
    </row>
    <row r="448" spans="1:26" x14ac:dyDescent="0.3">
      <c r="A448" t="s">
        <v>488</v>
      </c>
      <c r="B448">
        <v>45675</v>
      </c>
      <c r="C448" t="s">
        <v>27</v>
      </c>
      <c r="D448" t="s">
        <v>38</v>
      </c>
      <c r="E448" t="s">
        <v>34</v>
      </c>
      <c r="F448" t="s">
        <v>49</v>
      </c>
      <c r="G448" t="s">
        <v>31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P448">
        <v>43.7</v>
      </c>
      <c r="R448">
        <v>0</v>
      </c>
      <c r="T448">
        <v>0</v>
      </c>
      <c r="V448">
        <v>0</v>
      </c>
      <c r="X448">
        <v>0</v>
      </c>
      <c r="Z448">
        <v>0</v>
      </c>
    </row>
    <row r="449" spans="1:26" x14ac:dyDescent="0.3">
      <c r="A449" t="s">
        <v>489</v>
      </c>
      <c r="B449">
        <v>45756</v>
      </c>
      <c r="C449" t="s">
        <v>27</v>
      </c>
      <c r="D449" t="s">
        <v>38</v>
      </c>
      <c r="E449" t="s">
        <v>34</v>
      </c>
      <c r="F449" t="s">
        <v>35</v>
      </c>
      <c r="G449" t="s">
        <v>36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P449">
        <v>68.8</v>
      </c>
      <c r="R449">
        <v>0</v>
      </c>
      <c r="T449">
        <v>1</v>
      </c>
      <c r="V449">
        <v>0</v>
      </c>
      <c r="X449">
        <v>0</v>
      </c>
      <c r="Z449">
        <v>0</v>
      </c>
    </row>
    <row r="450" spans="1:26" x14ac:dyDescent="0.3">
      <c r="A450" t="s">
        <v>490</v>
      </c>
      <c r="B450">
        <v>45668</v>
      </c>
      <c r="C450" t="s">
        <v>27</v>
      </c>
      <c r="D450" t="s">
        <v>33</v>
      </c>
      <c r="E450" t="s">
        <v>34</v>
      </c>
      <c r="F450" t="s">
        <v>35</v>
      </c>
      <c r="G450" t="s">
        <v>36</v>
      </c>
      <c r="H450">
        <v>1</v>
      </c>
      <c r="I450">
        <v>1</v>
      </c>
      <c r="J450">
        <v>1</v>
      </c>
      <c r="K450">
        <v>0</v>
      </c>
      <c r="L450">
        <v>0</v>
      </c>
      <c r="M450">
        <v>0</v>
      </c>
      <c r="N450">
        <v>0</v>
      </c>
      <c r="P450">
        <v>59.2</v>
      </c>
      <c r="R450">
        <v>0</v>
      </c>
      <c r="T450">
        <v>1</v>
      </c>
      <c r="V450">
        <v>1</v>
      </c>
      <c r="X450">
        <v>1</v>
      </c>
      <c r="Z450">
        <v>0</v>
      </c>
    </row>
    <row r="451" spans="1:26" x14ac:dyDescent="0.3">
      <c r="A451" t="s">
        <v>491</v>
      </c>
      <c r="B451">
        <v>45721</v>
      </c>
      <c r="C451" t="s">
        <v>27</v>
      </c>
      <c r="D451" t="s">
        <v>38</v>
      </c>
      <c r="E451" t="s">
        <v>34</v>
      </c>
      <c r="F451" t="s">
        <v>39</v>
      </c>
      <c r="G451" t="s">
        <v>36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P451">
        <v>48.6</v>
      </c>
      <c r="R451">
        <v>0</v>
      </c>
      <c r="T451">
        <v>1</v>
      </c>
      <c r="V451">
        <v>0</v>
      </c>
      <c r="X451">
        <v>0</v>
      </c>
      <c r="Z451">
        <v>0</v>
      </c>
    </row>
    <row r="452" spans="1:26" x14ac:dyDescent="0.3">
      <c r="A452" t="s">
        <v>492</v>
      </c>
      <c r="B452">
        <v>45705</v>
      </c>
      <c r="C452" t="s">
        <v>27</v>
      </c>
      <c r="D452" t="s">
        <v>28</v>
      </c>
      <c r="E452" t="s">
        <v>44</v>
      </c>
      <c r="F452" t="s">
        <v>51</v>
      </c>
      <c r="G452" t="s">
        <v>36</v>
      </c>
      <c r="H452">
        <v>1</v>
      </c>
      <c r="I452">
        <v>1</v>
      </c>
      <c r="J452">
        <v>1</v>
      </c>
      <c r="K452">
        <v>0</v>
      </c>
      <c r="L452">
        <v>0</v>
      </c>
      <c r="M452">
        <v>0</v>
      </c>
      <c r="N452">
        <v>0</v>
      </c>
      <c r="P452">
        <v>56.9</v>
      </c>
      <c r="R452">
        <v>0</v>
      </c>
      <c r="T452">
        <v>1</v>
      </c>
      <c r="V452">
        <v>1</v>
      </c>
      <c r="X452">
        <v>1</v>
      </c>
      <c r="Z452">
        <v>0</v>
      </c>
    </row>
    <row r="453" spans="1:26" x14ac:dyDescent="0.3">
      <c r="A453" t="s">
        <v>493</v>
      </c>
      <c r="B453">
        <v>45784</v>
      </c>
      <c r="C453" t="s">
        <v>27</v>
      </c>
      <c r="D453" t="s">
        <v>28</v>
      </c>
      <c r="E453" t="s">
        <v>29</v>
      </c>
      <c r="F453" t="s">
        <v>39</v>
      </c>
      <c r="G453" t="s">
        <v>36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P453">
        <v>55.8</v>
      </c>
      <c r="R453">
        <v>0</v>
      </c>
      <c r="T453">
        <v>0</v>
      </c>
      <c r="V453">
        <v>0</v>
      </c>
      <c r="X453">
        <v>0</v>
      </c>
      <c r="Z453">
        <v>0</v>
      </c>
    </row>
    <row r="454" spans="1:26" x14ac:dyDescent="0.3">
      <c r="A454" t="s">
        <v>494</v>
      </c>
      <c r="B454">
        <v>45757</v>
      </c>
      <c r="C454" t="s">
        <v>27</v>
      </c>
      <c r="D454" t="s">
        <v>38</v>
      </c>
      <c r="E454" t="s">
        <v>34</v>
      </c>
      <c r="F454" t="s">
        <v>39</v>
      </c>
      <c r="G454" t="s">
        <v>40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P454">
        <v>63.3</v>
      </c>
      <c r="R454">
        <v>0</v>
      </c>
      <c r="T454">
        <v>0</v>
      </c>
      <c r="V454">
        <v>0</v>
      </c>
      <c r="X454">
        <v>0</v>
      </c>
      <c r="Z454">
        <v>0</v>
      </c>
    </row>
    <row r="455" spans="1:26" x14ac:dyDescent="0.3">
      <c r="A455" t="s">
        <v>495</v>
      </c>
      <c r="B455">
        <v>45768</v>
      </c>
      <c r="C455" t="s">
        <v>27</v>
      </c>
      <c r="D455" t="s">
        <v>28</v>
      </c>
      <c r="E455" t="s">
        <v>34</v>
      </c>
      <c r="F455" t="s">
        <v>51</v>
      </c>
      <c r="G455" t="s">
        <v>36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P455">
        <v>52.2</v>
      </c>
      <c r="R455">
        <v>0</v>
      </c>
      <c r="T455">
        <v>1</v>
      </c>
      <c r="V455">
        <v>0</v>
      </c>
      <c r="X455">
        <v>0</v>
      </c>
      <c r="Z455">
        <v>0</v>
      </c>
    </row>
    <row r="456" spans="1:26" x14ac:dyDescent="0.3">
      <c r="A456" t="s">
        <v>496</v>
      </c>
      <c r="B456">
        <v>45713</v>
      </c>
      <c r="C456" t="s">
        <v>27</v>
      </c>
      <c r="D456" t="s">
        <v>42</v>
      </c>
      <c r="E456" t="s">
        <v>44</v>
      </c>
      <c r="G456" t="s">
        <v>36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P456">
        <v>51.5</v>
      </c>
      <c r="R456">
        <v>0</v>
      </c>
      <c r="T456">
        <v>0</v>
      </c>
      <c r="V456">
        <v>0</v>
      </c>
      <c r="X456">
        <v>0</v>
      </c>
      <c r="Z456">
        <v>0</v>
      </c>
    </row>
    <row r="457" spans="1:26" x14ac:dyDescent="0.3">
      <c r="A457" t="s">
        <v>497</v>
      </c>
      <c r="B457">
        <v>45791</v>
      </c>
      <c r="C457" t="s">
        <v>27</v>
      </c>
      <c r="D457" t="s">
        <v>38</v>
      </c>
      <c r="E457" t="s">
        <v>29</v>
      </c>
      <c r="F457" t="s">
        <v>35</v>
      </c>
      <c r="G457" t="s">
        <v>36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P457">
        <v>50.3</v>
      </c>
      <c r="R457">
        <v>0</v>
      </c>
      <c r="T457">
        <v>0</v>
      </c>
      <c r="V457">
        <v>0</v>
      </c>
      <c r="X457">
        <v>0</v>
      </c>
      <c r="Z457">
        <v>0</v>
      </c>
    </row>
    <row r="458" spans="1:26" x14ac:dyDescent="0.3">
      <c r="A458" t="s">
        <v>498</v>
      </c>
      <c r="B458">
        <v>45726</v>
      </c>
      <c r="C458" t="s">
        <v>27</v>
      </c>
      <c r="D458" t="s">
        <v>28</v>
      </c>
      <c r="E458" t="s">
        <v>34</v>
      </c>
      <c r="F458" t="s">
        <v>30</v>
      </c>
      <c r="G458" t="s">
        <v>31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0</v>
      </c>
      <c r="P458">
        <v>35.4</v>
      </c>
      <c r="R458">
        <v>0</v>
      </c>
      <c r="T458">
        <v>1</v>
      </c>
      <c r="V458">
        <v>0</v>
      </c>
      <c r="X458">
        <v>0</v>
      </c>
      <c r="Z458">
        <v>1</v>
      </c>
    </row>
    <row r="459" spans="1:26" x14ac:dyDescent="0.3">
      <c r="A459" t="s">
        <v>499</v>
      </c>
      <c r="B459">
        <v>45688</v>
      </c>
      <c r="C459" t="s">
        <v>27</v>
      </c>
      <c r="D459" t="s">
        <v>33</v>
      </c>
      <c r="E459" t="s">
        <v>29</v>
      </c>
      <c r="F459" t="s">
        <v>35</v>
      </c>
      <c r="G459" t="s">
        <v>40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0</v>
      </c>
      <c r="P459">
        <v>54.1</v>
      </c>
      <c r="R459">
        <v>0</v>
      </c>
      <c r="T459">
        <v>1</v>
      </c>
      <c r="V459">
        <v>0</v>
      </c>
      <c r="X459">
        <v>0</v>
      </c>
      <c r="Z459">
        <v>1</v>
      </c>
    </row>
    <row r="460" spans="1:26" x14ac:dyDescent="0.3">
      <c r="A460" t="s">
        <v>500</v>
      </c>
      <c r="B460">
        <v>45674</v>
      </c>
      <c r="C460" t="s">
        <v>27</v>
      </c>
      <c r="D460" t="s">
        <v>42</v>
      </c>
      <c r="E460" t="s">
        <v>34</v>
      </c>
      <c r="F460" t="s">
        <v>35</v>
      </c>
      <c r="G460" t="s">
        <v>40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P460">
        <v>56.2</v>
      </c>
      <c r="R460">
        <v>0</v>
      </c>
      <c r="T460">
        <v>1</v>
      </c>
      <c r="V460">
        <v>0</v>
      </c>
      <c r="X460">
        <v>0</v>
      </c>
      <c r="Z460">
        <v>0</v>
      </c>
    </row>
    <row r="461" spans="1:26" x14ac:dyDescent="0.3">
      <c r="A461" t="s">
        <v>501</v>
      </c>
      <c r="B461">
        <v>45728</v>
      </c>
      <c r="C461" t="s">
        <v>27</v>
      </c>
      <c r="D461" t="s">
        <v>42</v>
      </c>
      <c r="E461" t="s">
        <v>34</v>
      </c>
      <c r="F461" t="s">
        <v>39</v>
      </c>
      <c r="G461" t="s">
        <v>36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</v>
      </c>
      <c r="N461">
        <v>0</v>
      </c>
      <c r="P461">
        <v>43.7</v>
      </c>
      <c r="R461">
        <v>0</v>
      </c>
      <c r="T461">
        <v>0</v>
      </c>
      <c r="V461">
        <v>0</v>
      </c>
      <c r="X461">
        <v>0</v>
      </c>
      <c r="Z461">
        <v>3</v>
      </c>
    </row>
    <row r="462" spans="1:26" x14ac:dyDescent="0.3">
      <c r="A462" t="s">
        <v>502</v>
      </c>
      <c r="B462">
        <v>45716</v>
      </c>
      <c r="C462" t="s">
        <v>27</v>
      </c>
      <c r="D462" t="s">
        <v>33</v>
      </c>
      <c r="E462" t="s">
        <v>29</v>
      </c>
      <c r="F462" t="s">
        <v>35</v>
      </c>
      <c r="G462" t="s">
        <v>40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P462">
        <v>51.3</v>
      </c>
      <c r="R462">
        <v>0</v>
      </c>
      <c r="T462">
        <v>1</v>
      </c>
      <c r="V462">
        <v>1</v>
      </c>
      <c r="X462">
        <v>0</v>
      </c>
      <c r="Z462">
        <v>0</v>
      </c>
    </row>
    <row r="463" spans="1:26" x14ac:dyDescent="0.3">
      <c r="A463" t="s">
        <v>503</v>
      </c>
      <c r="B463">
        <v>45796</v>
      </c>
      <c r="C463" t="s">
        <v>27</v>
      </c>
      <c r="D463" t="s">
        <v>28</v>
      </c>
      <c r="F463" t="s">
        <v>35</v>
      </c>
      <c r="G463" t="s">
        <v>31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P463">
        <v>50.5</v>
      </c>
      <c r="R463">
        <v>0</v>
      </c>
      <c r="T463">
        <v>1</v>
      </c>
      <c r="V463">
        <v>0</v>
      </c>
      <c r="X463">
        <v>0</v>
      </c>
      <c r="Z463">
        <v>0</v>
      </c>
    </row>
    <row r="464" spans="1:26" x14ac:dyDescent="0.3">
      <c r="A464" t="s">
        <v>504</v>
      </c>
      <c r="B464">
        <v>45711</v>
      </c>
      <c r="C464" t="s">
        <v>27</v>
      </c>
      <c r="D464" t="s">
        <v>28</v>
      </c>
      <c r="E464" t="s">
        <v>34</v>
      </c>
      <c r="F464" t="s">
        <v>49</v>
      </c>
      <c r="G464" t="s">
        <v>31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P464">
        <v>57.3</v>
      </c>
      <c r="R464">
        <v>0</v>
      </c>
      <c r="T464">
        <v>1</v>
      </c>
      <c r="V464">
        <v>0</v>
      </c>
      <c r="X464">
        <v>0</v>
      </c>
      <c r="Z464">
        <v>0</v>
      </c>
    </row>
    <row r="465" spans="1:26" x14ac:dyDescent="0.3">
      <c r="A465" t="s">
        <v>505</v>
      </c>
      <c r="B465">
        <v>45708</v>
      </c>
      <c r="C465" t="s">
        <v>27</v>
      </c>
      <c r="D465" t="s">
        <v>33</v>
      </c>
      <c r="E465" t="s">
        <v>29</v>
      </c>
      <c r="F465" t="s">
        <v>35</v>
      </c>
      <c r="G465" t="s">
        <v>36</v>
      </c>
      <c r="H465">
        <v>1</v>
      </c>
      <c r="I465">
        <v>1</v>
      </c>
      <c r="J465">
        <v>1</v>
      </c>
      <c r="K465">
        <v>0</v>
      </c>
      <c r="L465">
        <v>0</v>
      </c>
      <c r="M465">
        <v>0</v>
      </c>
      <c r="N465">
        <v>0</v>
      </c>
      <c r="P465">
        <v>58.4</v>
      </c>
      <c r="R465">
        <v>0</v>
      </c>
      <c r="T465">
        <v>1</v>
      </c>
      <c r="V465">
        <v>1</v>
      </c>
      <c r="X465">
        <v>1</v>
      </c>
      <c r="Z465">
        <v>0</v>
      </c>
    </row>
    <row r="466" spans="1:26" x14ac:dyDescent="0.3">
      <c r="A466" t="s">
        <v>506</v>
      </c>
      <c r="B466">
        <v>45759</v>
      </c>
      <c r="C466" t="s">
        <v>27</v>
      </c>
      <c r="D466" t="s">
        <v>28</v>
      </c>
      <c r="E466" t="s">
        <v>34</v>
      </c>
      <c r="G466" t="s">
        <v>36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P466">
        <v>56.5</v>
      </c>
      <c r="R466">
        <v>0</v>
      </c>
      <c r="T466">
        <v>0</v>
      </c>
      <c r="V466">
        <v>0</v>
      </c>
      <c r="X466">
        <v>0</v>
      </c>
      <c r="Z466">
        <v>0</v>
      </c>
    </row>
    <row r="467" spans="1:26" x14ac:dyDescent="0.3">
      <c r="A467" t="s">
        <v>507</v>
      </c>
      <c r="B467">
        <v>45665</v>
      </c>
      <c r="C467" t="s">
        <v>27</v>
      </c>
      <c r="D467" t="s">
        <v>33</v>
      </c>
      <c r="E467" t="s">
        <v>34</v>
      </c>
      <c r="F467" t="s">
        <v>30</v>
      </c>
      <c r="G467" t="s">
        <v>36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P467">
        <v>69.599999999999994</v>
      </c>
      <c r="R467">
        <v>0</v>
      </c>
      <c r="T467">
        <v>0</v>
      </c>
      <c r="V467">
        <v>0</v>
      </c>
      <c r="X467">
        <v>0</v>
      </c>
      <c r="Z467">
        <v>0</v>
      </c>
    </row>
    <row r="468" spans="1:26" x14ac:dyDescent="0.3">
      <c r="A468" t="s">
        <v>508</v>
      </c>
      <c r="B468">
        <v>45701</v>
      </c>
      <c r="C468" t="s">
        <v>27</v>
      </c>
      <c r="D468" t="s">
        <v>33</v>
      </c>
      <c r="E468" t="s">
        <v>34</v>
      </c>
      <c r="F468" t="s">
        <v>35</v>
      </c>
      <c r="G468" t="s">
        <v>31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P468">
        <v>6.2</v>
      </c>
      <c r="R468">
        <v>0</v>
      </c>
      <c r="T468">
        <v>0</v>
      </c>
      <c r="V468">
        <v>0</v>
      </c>
      <c r="X468">
        <v>0</v>
      </c>
      <c r="Z468">
        <v>0</v>
      </c>
    </row>
    <row r="469" spans="1:26" x14ac:dyDescent="0.3">
      <c r="A469" t="s">
        <v>509</v>
      </c>
      <c r="B469">
        <v>45798</v>
      </c>
      <c r="C469" t="s">
        <v>27</v>
      </c>
      <c r="D469" t="s">
        <v>38</v>
      </c>
      <c r="E469" t="s">
        <v>29</v>
      </c>
      <c r="F469" t="s">
        <v>30</v>
      </c>
      <c r="G469" t="s">
        <v>36</v>
      </c>
      <c r="H469">
        <v>1</v>
      </c>
      <c r="I469">
        <v>1</v>
      </c>
      <c r="J469">
        <v>1</v>
      </c>
      <c r="K469">
        <v>0</v>
      </c>
      <c r="L469">
        <v>0</v>
      </c>
      <c r="M469">
        <v>0</v>
      </c>
      <c r="N469">
        <v>0</v>
      </c>
      <c r="P469">
        <v>54.3</v>
      </c>
      <c r="R469">
        <v>0</v>
      </c>
      <c r="T469">
        <v>1</v>
      </c>
      <c r="V469">
        <v>1</v>
      </c>
      <c r="X469">
        <v>1</v>
      </c>
      <c r="Z469">
        <v>0</v>
      </c>
    </row>
    <row r="470" spans="1:26" x14ac:dyDescent="0.3">
      <c r="A470" t="s">
        <v>510</v>
      </c>
      <c r="B470">
        <v>45807</v>
      </c>
      <c r="C470" t="s">
        <v>27</v>
      </c>
      <c r="D470" t="s">
        <v>28</v>
      </c>
      <c r="E470" t="s">
        <v>34</v>
      </c>
      <c r="F470" t="s">
        <v>35</v>
      </c>
      <c r="G470" t="s">
        <v>31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P470">
        <v>59.8</v>
      </c>
      <c r="R470">
        <v>0</v>
      </c>
      <c r="T470">
        <v>0</v>
      </c>
      <c r="V470">
        <v>0</v>
      </c>
      <c r="X470">
        <v>0</v>
      </c>
      <c r="Z470">
        <v>0</v>
      </c>
    </row>
    <row r="471" spans="1:26" x14ac:dyDescent="0.3">
      <c r="A471" t="s">
        <v>511</v>
      </c>
      <c r="B471">
        <v>45797</v>
      </c>
      <c r="C471" t="s">
        <v>27</v>
      </c>
      <c r="D471" t="s">
        <v>33</v>
      </c>
      <c r="E471" t="s">
        <v>34</v>
      </c>
      <c r="F471" t="s">
        <v>39</v>
      </c>
      <c r="G471" t="s">
        <v>36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P471">
        <v>58.9</v>
      </c>
      <c r="R471">
        <v>0</v>
      </c>
      <c r="T471">
        <v>0</v>
      </c>
      <c r="V471">
        <v>0</v>
      </c>
      <c r="X471">
        <v>0</v>
      </c>
      <c r="Z471">
        <v>0</v>
      </c>
    </row>
    <row r="472" spans="1:26" x14ac:dyDescent="0.3">
      <c r="A472" t="s">
        <v>512</v>
      </c>
      <c r="B472">
        <v>45666</v>
      </c>
      <c r="C472" t="s">
        <v>27</v>
      </c>
      <c r="D472" t="s">
        <v>38</v>
      </c>
      <c r="E472" t="s">
        <v>29</v>
      </c>
      <c r="F472" t="s">
        <v>35</v>
      </c>
      <c r="G472" t="s">
        <v>36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</v>
      </c>
      <c r="N472">
        <v>0</v>
      </c>
      <c r="P472">
        <v>52.9</v>
      </c>
      <c r="R472">
        <v>0</v>
      </c>
      <c r="T472">
        <v>0</v>
      </c>
      <c r="V472">
        <v>0</v>
      </c>
      <c r="X472">
        <v>0</v>
      </c>
      <c r="Z472">
        <v>1</v>
      </c>
    </row>
    <row r="473" spans="1:26" x14ac:dyDescent="0.3">
      <c r="A473" t="s">
        <v>513</v>
      </c>
      <c r="B473">
        <v>45723</v>
      </c>
      <c r="C473" t="s">
        <v>27</v>
      </c>
      <c r="D473" t="s">
        <v>33</v>
      </c>
      <c r="E473" t="s">
        <v>34</v>
      </c>
      <c r="F473" t="s">
        <v>35</v>
      </c>
      <c r="G473" t="s">
        <v>36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P473">
        <v>67.8</v>
      </c>
      <c r="R473">
        <v>0</v>
      </c>
      <c r="T473">
        <v>0</v>
      </c>
      <c r="V473">
        <v>0</v>
      </c>
      <c r="X473">
        <v>0</v>
      </c>
      <c r="Z473">
        <v>0</v>
      </c>
    </row>
    <row r="474" spans="1:26" x14ac:dyDescent="0.3">
      <c r="A474" t="s">
        <v>514</v>
      </c>
      <c r="B474">
        <v>45770</v>
      </c>
      <c r="C474" t="s">
        <v>27</v>
      </c>
      <c r="D474" t="s">
        <v>42</v>
      </c>
      <c r="E474" t="s">
        <v>34</v>
      </c>
      <c r="F474" t="s">
        <v>51</v>
      </c>
      <c r="G474" t="s">
        <v>36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P474">
        <v>48.7</v>
      </c>
      <c r="R474">
        <v>0</v>
      </c>
      <c r="T474">
        <v>0</v>
      </c>
      <c r="V474">
        <v>0</v>
      </c>
      <c r="X474">
        <v>0</v>
      </c>
      <c r="Z474">
        <v>0</v>
      </c>
    </row>
    <row r="475" spans="1:26" x14ac:dyDescent="0.3">
      <c r="A475" t="s">
        <v>515</v>
      </c>
      <c r="B475">
        <v>45724</v>
      </c>
      <c r="C475" t="s">
        <v>27</v>
      </c>
      <c r="D475" t="s">
        <v>38</v>
      </c>
      <c r="E475" t="s">
        <v>34</v>
      </c>
      <c r="F475" t="s">
        <v>35</v>
      </c>
      <c r="G475" t="s">
        <v>31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P475">
        <v>59</v>
      </c>
      <c r="R475">
        <v>0</v>
      </c>
      <c r="T475">
        <v>0</v>
      </c>
      <c r="V475">
        <v>0</v>
      </c>
      <c r="X475">
        <v>0</v>
      </c>
      <c r="Z475">
        <v>0</v>
      </c>
    </row>
    <row r="476" spans="1:26" x14ac:dyDescent="0.3">
      <c r="A476" t="s">
        <v>516</v>
      </c>
      <c r="B476">
        <v>45702</v>
      </c>
      <c r="C476" t="s">
        <v>27</v>
      </c>
      <c r="D476" t="s">
        <v>42</v>
      </c>
      <c r="E476" t="s">
        <v>34</v>
      </c>
      <c r="F476" t="s">
        <v>49</v>
      </c>
      <c r="G476" t="s">
        <v>36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P476">
        <v>63.2</v>
      </c>
      <c r="R476">
        <v>0</v>
      </c>
      <c r="T476">
        <v>0</v>
      </c>
      <c r="V476">
        <v>0</v>
      </c>
      <c r="X476">
        <v>0</v>
      </c>
      <c r="Z476">
        <v>0</v>
      </c>
    </row>
    <row r="477" spans="1:26" x14ac:dyDescent="0.3">
      <c r="A477" t="s">
        <v>517</v>
      </c>
      <c r="B477">
        <v>45794</v>
      </c>
      <c r="C477" t="s">
        <v>27</v>
      </c>
      <c r="D477" t="s">
        <v>33</v>
      </c>
      <c r="E477" t="s">
        <v>34</v>
      </c>
      <c r="F477" t="s">
        <v>49</v>
      </c>
      <c r="G477" t="s">
        <v>31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P477">
        <v>68.7</v>
      </c>
      <c r="R477">
        <v>0</v>
      </c>
      <c r="T477">
        <v>1</v>
      </c>
      <c r="V477">
        <v>0</v>
      </c>
      <c r="X477">
        <v>0</v>
      </c>
      <c r="Z477">
        <v>0</v>
      </c>
    </row>
    <row r="478" spans="1:26" x14ac:dyDescent="0.3">
      <c r="A478" t="s">
        <v>518</v>
      </c>
      <c r="B478">
        <v>45772</v>
      </c>
      <c r="C478" t="s">
        <v>27</v>
      </c>
      <c r="D478" t="s">
        <v>42</v>
      </c>
      <c r="E478" t="s">
        <v>34</v>
      </c>
      <c r="F478" t="s">
        <v>49</v>
      </c>
      <c r="G478" t="s">
        <v>36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P478">
        <v>52.1</v>
      </c>
      <c r="R478">
        <v>0</v>
      </c>
      <c r="T478">
        <v>0</v>
      </c>
      <c r="V478">
        <v>0</v>
      </c>
      <c r="X478">
        <v>0</v>
      </c>
      <c r="Z478">
        <v>0</v>
      </c>
    </row>
    <row r="479" spans="1:26" x14ac:dyDescent="0.3">
      <c r="A479" t="s">
        <v>519</v>
      </c>
      <c r="B479">
        <v>45720</v>
      </c>
      <c r="C479" t="s">
        <v>27</v>
      </c>
      <c r="D479" t="s">
        <v>42</v>
      </c>
      <c r="E479" t="s">
        <v>29</v>
      </c>
      <c r="F479" t="s">
        <v>51</v>
      </c>
      <c r="G479" t="s">
        <v>31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P479">
        <v>56.5</v>
      </c>
      <c r="R479">
        <v>0</v>
      </c>
      <c r="T479">
        <v>0</v>
      </c>
      <c r="V479">
        <v>0</v>
      </c>
      <c r="X479">
        <v>0</v>
      </c>
      <c r="Z479">
        <v>0</v>
      </c>
    </row>
    <row r="480" spans="1:26" x14ac:dyDescent="0.3">
      <c r="A480" t="s">
        <v>520</v>
      </c>
      <c r="B480">
        <v>45734</v>
      </c>
      <c r="C480" t="s">
        <v>27</v>
      </c>
      <c r="D480" t="s">
        <v>42</v>
      </c>
      <c r="E480" t="s">
        <v>34</v>
      </c>
      <c r="F480" t="s">
        <v>35</v>
      </c>
      <c r="G480" t="s">
        <v>36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P480">
        <v>64.400000000000006</v>
      </c>
      <c r="R480">
        <v>0</v>
      </c>
      <c r="T480">
        <v>1</v>
      </c>
      <c r="V480">
        <v>0</v>
      </c>
      <c r="X480">
        <v>0</v>
      </c>
      <c r="Z480">
        <v>0</v>
      </c>
    </row>
    <row r="481" spans="1:26" x14ac:dyDescent="0.3">
      <c r="A481" t="s">
        <v>521</v>
      </c>
      <c r="B481">
        <v>45687</v>
      </c>
      <c r="C481" t="s">
        <v>27</v>
      </c>
      <c r="D481" t="s">
        <v>33</v>
      </c>
      <c r="E481" t="s">
        <v>34</v>
      </c>
      <c r="F481" t="s">
        <v>39</v>
      </c>
      <c r="G481" t="s">
        <v>40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P481">
        <v>65.900000000000006</v>
      </c>
      <c r="R481">
        <v>0</v>
      </c>
      <c r="T481">
        <v>1</v>
      </c>
      <c r="V481">
        <v>0</v>
      </c>
      <c r="X481">
        <v>0</v>
      </c>
      <c r="Z481">
        <v>0</v>
      </c>
    </row>
    <row r="482" spans="1:26" x14ac:dyDescent="0.3">
      <c r="A482" t="s">
        <v>522</v>
      </c>
      <c r="B482">
        <v>45797</v>
      </c>
      <c r="C482" t="s">
        <v>27</v>
      </c>
      <c r="D482" t="s">
        <v>33</v>
      </c>
      <c r="E482" t="s">
        <v>44</v>
      </c>
      <c r="F482" t="s">
        <v>49</v>
      </c>
      <c r="G482" t="s">
        <v>36</v>
      </c>
      <c r="H482">
        <v>1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P482">
        <v>100</v>
      </c>
      <c r="R482">
        <v>0</v>
      </c>
      <c r="T482">
        <v>1</v>
      </c>
      <c r="V482">
        <v>1</v>
      </c>
      <c r="X482">
        <v>1</v>
      </c>
      <c r="Z482">
        <v>0</v>
      </c>
    </row>
    <row r="483" spans="1:26" x14ac:dyDescent="0.3">
      <c r="A483" t="s">
        <v>523</v>
      </c>
      <c r="B483">
        <v>45701</v>
      </c>
      <c r="C483" t="s">
        <v>27</v>
      </c>
      <c r="D483" t="s">
        <v>28</v>
      </c>
      <c r="F483" t="s">
        <v>35</v>
      </c>
      <c r="G483" t="s">
        <v>31</v>
      </c>
      <c r="H483">
        <v>1</v>
      </c>
      <c r="I483">
        <v>1</v>
      </c>
      <c r="J483">
        <v>1</v>
      </c>
      <c r="K483">
        <v>0</v>
      </c>
      <c r="L483">
        <v>0</v>
      </c>
      <c r="M483">
        <v>0</v>
      </c>
      <c r="N483">
        <v>0</v>
      </c>
      <c r="P483">
        <v>50.4</v>
      </c>
      <c r="R483">
        <v>0</v>
      </c>
      <c r="T483">
        <v>1</v>
      </c>
      <c r="V483">
        <v>1</v>
      </c>
      <c r="X483">
        <v>1</v>
      </c>
      <c r="Z483">
        <v>0</v>
      </c>
    </row>
    <row r="484" spans="1:26" x14ac:dyDescent="0.3">
      <c r="A484" t="s">
        <v>524</v>
      </c>
      <c r="B484">
        <v>45759</v>
      </c>
      <c r="C484" t="s">
        <v>27</v>
      </c>
      <c r="D484" t="s">
        <v>33</v>
      </c>
      <c r="E484" t="s">
        <v>29</v>
      </c>
      <c r="F484" t="s">
        <v>35</v>
      </c>
      <c r="G484" t="s">
        <v>31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P484">
        <v>41.5</v>
      </c>
      <c r="R484">
        <v>0</v>
      </c>
      <c r="T484">
        <v>0</v>
      </c>
      <c r="V484">
        <v>0</v>
      </c>
      <c r="X484">
        <v>0</v>
      </c>
      <c r="Z484">
        <v>0</v>
      </c>
    </row>
    <row r="485" spans="1:26" x14ac:dyDescent="0.3">
      <c r="A485" t="s">
        <v>525</v>
      </c>
      <c r="B485">
        <v>45754</v>
      </c>
      <c r="C485" t="s">
        <v>27</v>
      </c>
      <c r="D485" t="s">
        <v>28</v>
      </c>
      <c r="E485" t="s">
        <v>34</v>
      </c>
      <c r="F485" t="s">
        <v>30</v>
      </c>
      <c r="G485" t="s">
        <v>36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P485">
        <v>86.2</v>
      </c>
      <c r="R485">
        <v>0</v>
      </c>
      <c r="T485">
        <v>0</v>
      </c>
      <c r="V485">
        <v>0</v>
      </c>
      <c r="X485">
        <v>0</v>
      </c>
      <c r="Z485">
        <v>0</v>
      </c>
    </row>
    <row r="486" spans="1:26" x14ac:dyDescent="0.3">
      <c r="A486" t="s">
        <v>526</v>
      </c>
      <c r="B486">
        <v>45728</v>
      </c>
      <c r="C486" t="s">
        <v>27</v>
      </c>
      <c r="D486" t="s">
        <v>28</v>
      </c>
      <c r="E486" t="s">
        <v>29</v>
      </c>
      <c r="F486" t="s">
        <v>51</v>
      </c>
      <c r="G486" t="s">
        <v>36</v>
      </c>
      <c r="H486">
        <v>1</v>
      </c>
      <c r="I486">
        <v>1</v>
      </c>
      <c r="J486">
        <v>1</v>
      </c>
      <c r="K486">
        <v>0</v>
      </c>
      <c r="L486">
        <v>0</v>
      </c>
      <c r="M486">
        <v>2</v>
      </c>
      <c r="N486">
        <v>0</v>
      </c>
      <c r="P486">
        <v>50.8</v>
      </c>
      <c r="R486">
        <v>0</v>
      </c>
      <c r="T486">
        <v>1</v>
      </c>
      <c r="V486">
        <v>1</v>
      </c>
      <c r="X486">
        <v>1</v>
      </c>
      <c r="Z486">
        <v>2</v>
      </c>
    </row>
    <row r="487" spans="1:26" x14ac:dyDescent="0.3">
      <c r="A487" t="s">
        <v>527</v>
      </c>
      <c r="B487">
        <v>45695</v>
      </c>
      <c r="C487" t="s">
        <v>27</v>
      </c>
      <c r="D487" t="s">
        <v>33</v>
      </c>
      <c r="E487" t="s">
        <v>34</v>
      </c>
      <c r="F487" t="s">
        <v>35</v>
      </c>
      <c r="G487" t="s">
        <v>36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P487">
        <v>50.9</v>
      </c>
      <c r="R487">
        <v>0</v>
      </c>
      <c r="T487">
        <v>1</v>
      </c>
      <c r="V487">
        <v>0</v>
      </c>
      <c r="X487">
        <v>0</v>
      </c>
      <c r="Z487">
        <v>0</v>
      </c>
    </row>
    <row r="488" spans="1:26" x14ac:dyDescent="0.3">
      <c r="A488" t="s">
        <v>528</v>
      </c>
      <c r="B488">
        <v>45782</v>
      </c>
      <c r="C488" t="s">
        <v>27</v>
      </c>
      <c r="D488" t="s">
        <v>28</v>
      </c>
      <c r="E488" t="s">
        <v>34</v>
      </c>
      <c r="F488" t="s">
        <v>35</v>
      </c>
      <c r="G488" t="s">
        <v>40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P488">
        <v>87.5</v>
      </c>
      <c r="R488">
        <v>0</v>
      </c>
      <c r="T488">
        <v>1</v>
      </c>
      <c r="V488">
        <v>1</v>
      </c>
      <c r="X488">
        <v>0</v>
      </c>
      <c r="Z488">
        <v>0</v>
      </c>
    </row>
    <row r="489" spans="1:26" x14ac:dyDescent="0.3">
      <c r="A489" t="s">
        <v>529</v>
      </c>
      <c r="B489">
        <v>45734</v>
      </c>
      <c r="C489" t="s">
        <v>27</v>
      </c>
      <c r="D489" t="s">
        <v>42</v>
      </c>
      <c r="E489" t="s">
        <v>34</v>
      </c>
      <c r="F489" t="s">
        <v>49</v>
      </c>
      <c r="G489" t="s">
        <v>36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P489">
        <v>43.6</v>
      </c>
      <c r="R489">
        <v>0</v>
      </c>
      <c r="T489">
        <v>0</v>
      </c>
      <c r="V489">
        <v>0</v>
      </c>
      <c r="X489">
        <v>0</v>
      </c>
      <c r="Z489">
        <v>0</v>
      </c>
    </row>
    <row r="490" spans="1:26" x14ac:dyDescent="0.3">
      <c r="A490" t="s">
        <v>530</v>
      </c>
      <c r="B490">
        <v>45662</v>
      </c>
      <c r="C490" t="s">
        <v>27</v>
      </c>
      <c r="D490" t="s">
        <v>42</v>
      </c>
      <c r="E490" t="s">
        <v>34</v>
      </c>
      <c r="F490" t="s">
        <v>39</v>
      </c>
      <c r="G490" t="s">
        <v>31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P490">
        <v>55.5</v>
      </c>
      <c r="R490">
        <v>0</v>
      </c>
      <c r="T490">
        <v>1</v>
      </c>
      <c r="V490">
        <v>0</v>
      </c>
      <c r="X490">
        <v>0</v>
      </c>
      <c r="Z490">
        <v>0</v>
      </c>
    </row>
    <row r="491" spans="1:26" x14ac:dyDescent="0.3">
      <c r="A491" t="s">
        <v>531</v>
      </c>
      <c r="B491">
        <v>45787</v>
      </c>
      <c r="C491" t="s">
        <v>27</v>
      </c>
      <c r="D491" t="s">
        <v>42</v>
      </c>
      <c r="E491" t="s">
        <v>29</v>
      </c>
      <c r="F491" t="s">
        <v>49</v>
      </c>
      <c r="G491" t="s">
        <v>31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P491">
        <v>78.599999999999994</v>
      </c>
      <c r="R491">
        <v>0</v>
      </c>
      <c r="T491">
        <v>0</v>
      </c>
      <c r="V491">
        <v>0</v>
      </c>
      <c r="X491">
        <v>0</v>
      </c>
      <c r="Z491">
        <v>0</v>
      </c>
    </row>
    <row r="492" spans="1:26" x14ac:dyDescent="0.3">
      <c r="A492" t="s">
        <v>532</v>
      </c>
      <c r="B492">
        <v>45660</v>
      </c>
      <c r="C492" t="s">
        <v>27</v>
      </c>
      <c r="D492" t="s">
        <v>42</v>
      </c>
      <c r="E492" t="s">
        <v>34</v>
      </c>
      <c r="F492" t="s">
        <v>51</v>
      </c>
      <c r="G492" t="s">
        <v>31</v>
      </c>
      <c r="H492">
        <v>1</v>
      </c>
      <c r="I492">
        <v>1</v>
      </c>
      <c r="J492">
        <v>0</v>
      </c>
      <c r="K492">
        <v>0</v>
      </c>
      <c r="L492">
        <v>0</v>
      </c>
      <c r="M492">
        <v>1</v>
      </c>
      <c r="N492">
        <v>0</v>
      </c>
      <c r="P492">
        <v>44.3</v>
      </c>
      <c r="R492">
        <v>0</v>
      </c>
      <c r="T492">
        <v>1</v>
      </c>
      <c r="V492">
        <v>1</v>
      </c>
      <c r="X492">
        <v>0</v>
      </c>
      <c r="Z492">
        <v>1</v>
      </c>
    </row>
    <row r="493" spans="1:26" x14ac:dyDescent="0.3">
      <c r="A493" t="s">
        <v>533</v>
      </c>
      <c r="B493">
        <v>45785</v>
      </c>
      <c r="C493" t="s">
        <v>27</v>
      </c>
      <c r="D493" t="s">
        <v>42</v>
      </c>
      <c r="E493" t="s">
        <v>34</v>
      </c>
      <c r="F493" t="s">
        <v>39</v>
      </c>
      <c r="G493" t="s">
        <v>36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P493">
        <v>45.2</v>
      </c>
      <c r="R493">
        <v>0</v>
      </c>
      <c r="T493">
        <v>1</v>
      </c>
      <c r="V493">
        <v>1</v>
      </c>
      <c r="X493">
        <v>0</v>
      </c>
      <c r="Z493">
        <v>0</v>
      </c>
    </row>
    <row r="494" spans="1:26" x14ac:dyDescent="0.3">
      <c r="A494" t="s">
        <v>534</v>
      </c>
      <c r="B494">
        <v>45721</v>
      </c>
      <c r="C494" t="s">
        <v>27</v>
      </c>
      <c r="D494" t="s">
        <v>42</v>
      </c>
      <c r="E494" t="s">
        <v>29</v>
      </c>
      <c r="F494" t="s">
        <v>30</v>
      </c>
      <c r="G494" t="s">
        <v>31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2</v>
      </c>
      <c r="N494">
        <v>0</v>
      </c>
      <c r="P494">
        <v>46.1</v>
      </c>
      <c r="R494">
        <v>0</v>
      </c>
      <c r="T494">
        <v>1</v>
      </c>
      <c r="V494">
        <v>0</v>
      </c>
      <c r="X494">
        <v>0</v>
      </c>
      <c r="Z494">
        <v>2</v>
      </c>
    </row>
    <row r="495" spans="1:26" x14ac:dyDescent="0.3">
      <c r="A495" t="s">
        <v>535</v>
      </c>
      <c r="B495">
        <v>45705</v>
      </c>
      <c r="C495" t="s">
        <v>27</v>
      </c>
      <c r="D495" t="s">
        <v>28</v>
      </c>
      <c r="E495" t="s">
        <v>34</v>
      </c>
      <c r="F495" t="s">
        <v>35</v>
      </c>
      <c r="G495" t="s">
        <v>40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P495">
        <v>49.6</v>
      </c>
      <c r="R495">
        <v>0</v>
      </c>
      <c r="T495">
        <v>1</v>
      </c>
      <c r="V495">
        <v>0</v>
      </c>
      <c r="X495">
        <v>0</v>
      </c>
      <c r="Z495">
        <v>0</v>
      </c>
    </row>
    <row r="496" spans="1:26" x14ac:dyDescent="0.3">
      <c r="A496" t="s">
        <v>536</v>
      </c>
      <c r="B496">
        <v>45666</v>
      </c>
      <c r="C496" t="s">
        <v>27</v>
      </c>
      <c r="D496" t="s">
        <v>42</v>
      </c>
      <c r="E496" t="s">
        <v>34</v>
      </c>
      <c r="F496" t="s">
        <v>49</v>
      </c>
      <c r="G496" t="s">
        <v>31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P496">
        <v>70.5</v>
      </c>
      <c r="R496">
        <v>0</v>
      </c>
      <c r="T496">
        <v>0</v>
      </c>
      <c r="V496">
        <v>0</v>
      </c>
      <c r="X496">
        <v>0</v>
      </c>
      <c r="Z496">
        <v>0</v>
      </c>
    </row>
    <row r="497" spans="1:26" x14ac:dyDescent="0.3">
      <c r="A497" t="s">
        <v>537</v>
      </c>
      <c r="B497">
        <v>45782</v>
      </c>
      <c r="C497" t="s">
        <v>27</v>
      </c>
      <c r="D497" t="s">
        <v>42</v>
      </c>
      <c r="E497" t="s">
        <v>34</v>
      </c>
      <c r="F497" t="s">
        <v>30</v>
      </c>
      <c r="G497" t="s">
        <v>31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0</v>
      </c>
      <c r="P497">
        <v>60.8</v>
      </c>
      <c r="R497">
        <v>0</v>
      </c>
      <c r="T497">
        <v>0</v>
      </c>
      <c r="V497">
        <v>0</v>
      </c>
      <c r="X497">
        <v>0</v>
      </c>
      <c r="Z497">
        <v>1</v>
      </c>
    </row>
    <row r="498" spans="1:26" x14ac:dyDescent="0.3">
      <c r="A498" t="s">
        <v>538</v>
      </c>
      <c r="B498">
        <v>45763</v>
      </c>
      <c r="C498" t="s">
        <v>27</v>
      </c>
      <c r="D498" t="s">
        <v>38</v>
      </c>
      <c r="E498" t="s">
        <v>34</v>
      </c>
      <c r="F498" t="s">
        <v>30</v>
      </c>
      <c r="G498" t="s">
        <v>31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0</v>
      </c>
      <c r="P498">
        <v>50.5</v>
      </c>
      <c r="R498">
        <v>0</v>
      </c>
      <c r="T498">
        <v>0</v>
      </c>
      <c r="V498">
        <v>0</v>
      </c>
      <c r="X498">
        <v>0</v>
      </c>
      <c r="Z498">
        <v>1</v>
      </c>
    </row>
    <row r="499" spans="1:26" x14ac:dyDescent="0.3">
      <c r="A499" t="s">
        <v>539</v>
      </c>
      <c r="B499">
        <v>45718</v>
      </c>
      <c r="C499" t="s">
        <v>27</v>
      </c>
      <c r="D499" t="s">
        <v>42</v>
      </c>
      <c r="E499" t="s">
        <v>29</v>
      </c>
      <c r="F499" t="s">
        <v>35</v>
      </c>
      <c r="G499" t="s">
        <v>36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P499">
        <v>54.9</v>
      </c>
      <c r="R499">
        <v>0</v>
      </c>
      <c r="T499">
        <v>1</v>
      </c>
      <c r="V499">
        <v>0</v>
      </c>
      <c r="X499">
        <v>0</v>
      </c>
      <c r="Z499">
        <v>0</v>
      </c>
    </row>
    <row r="500" spans="1:26" x14ac:dyDescent="0.3">
      <c r="A500" t="s">
        <v>540</v>
      </c>
      <c r="B500">
        <v>45761</v>
      </c>
      <c r="C500" t="s">
        <v>27</v>
      </c>
      <c r="D500" t="s">
        <v>42</v>
      </c>
      <c r="E500" t="s">
        <v>34</v>
      </c>
      <c r="F500" t="s">
        <v>51</v>
      </c>
      <c r="G500" t="s">
        <v>40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P500">
        <v>29.9</v>
      </c>
      <c r="R500">
        <v>0</v>
      </c>
      <c r="T500">
        <v>0</v>
      </c>
      <c r="V500">
        <v>0</v>
      </c>
      <c r="X500">
        <v>0</v>
      </c>
      <c r="Z500">
        <v>0</v>
      </c>
    </row>
    <row r="501" spans="1:26" x14ac:dyDescent="0.3">
      <c r="A501" t="s">
        <v>541</v>
      </c>
      <c r="B501">
        <v>45703</v>
      </c>
      <c r="C501" t="s">
        <v>27</v>
      </c>
      <c r="D501" t="s">
        <v>38</v>
      </c>
      <c r="E501" t="s">
        <v>29</v>
      </c>
      <c r="F501" t="s">
        <v>39</v>
      </c>
      <c r="G501" t="s">
        <v>31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P501">
        <v>48.3</v>
      </c>
      <c r="R501">
        <v>0</v>
      </c>
      <c r="T501">
        <v>0</v>
      </c>
      <c r="V501">
        <v>0</v>
      </c>
      <c r="X501">
        <v>0</v>
      </c>
      <c r="Z501">
        <v>0</v>
      </c>
    </row>
    <row r="502" spans="1:26" x14ac:dyDescent="0.3">
      <c r="A502" t="s">
        <v>542</v>
      </c>
      <c r="B502">
        <v>45701</v>
      </c>
      <c r="C502" t="s">
        <v>27</v>
      </c>
      <c r="D502" t="s">
        <v>33</v>
      </c>
      <c r="E502" t="s">
        <v>34</v>
      </c>
      <c r="F502" t="s">
        <v>51</v>
      </c>
      <c r="G502" t="s">
        <v>36</v>
      </c>
      <c r="H502">
        <v>1</v>
      </c>
      <c r="I502">
        <v>1</v>
      </c>
      <c r="J502">
        <v>1</v>
      </c>
      <c r="K502">
        <v>1</v>
      </c>
      <c r="L502">
        <v>513.61</v>
      </c>
      <c r="M502">
        <v>0</v>
      </c>
      <c r="N502">
        <v>0</v>
      </c>
      <c r="O502">
        <v>7</v>
      </c>
      <c r="P502">
        <v>41.3</v>
      </c>
      <c r="R502">
        <v>1</v>
      </c>
      <c r="T502">
        <v>1</v>
      </c>
      <c r="V502">
        <v>1</v>
      </c>
      <c r="X502">
        <v>1</v>
      </c>
      <c r="Z502">
        <v>0</v>
      </c>
    </row>
    <row r="503" spans="1:26" x14ac:dyDescent="0.3">
      <c r="A503" t="s">
        <v>543</v>
      </c>
      <c r="B503">
        <v>45722</v>
      </c>
      <c r="C503" t="s">
        <v>27</v>
      </c>
      <c r="D503" t="s">
        <v>28</v>
      </c>
      <c r="E503" t="s">
        <v>34</v>
      </c>
      <c r="F503" t="s">
        <v>30</v>
      </c>
      <c r="G503" t="s">
        <v>36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P503">
        <v>61.4</v>
      </c>
      <c r="R503">
        <v>0</v>
      </c>
      <c r="T503">
        <v>0</v>
      </c>
      <c r="V503">
        <v>0</v>
      </c>
      <c r="X503">
        <v>0</v>
      </c>
      <c r="Z503">
        <v>0</v>
      </c>
    </row>
    <row r="504" spans="1:26" x14ac:dyDescent="0.3">
      <c r="A504" t="s">
        <v>544</v>
      </c>
      <c r="B504">
        <v>45706</v>
      </c>
      <c r="C504" t="s">
        <v>27</v>
      </c>
      <c r="D504" t="s">
        <v>42</v>
      </c>
      <c r="E504" t="s">
        <v>29</v>
      </c>
      <c r="F504" t="s">
        <v>51</v>
      </c>
      <c r="G504" t="s">
        <v>36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P504">
        <v>57.8</v>
      </c>
      <c r="R504">
        <v>0</v>
      </c>
      <c r="T504">
        <v>0</v>
      </c>
      <c r="V504">
        <v>0</v>
      </c>
      <c r="X504">
        <v>0</v>
      </c>
      <c r="Z504">
        <v>0</v>
      </c>
    </row>
    <row r="505" spans="1:26" x14ac:dyDescent="0.3">
      <c r="A505" t="s">
        <v>545</v>
      </c>
      <c r="B505">
        <v>45754</v>
      </c>
      <c r="C505" t="s">
        <v>27</v>
      </c>
      <c r="D505" t="s">
        <v>28</v>
      </c>
      <c r="E505" t="s">
        <v>29</v>
      </c>
      <c r="F505" t="s">
        <v>35</v>
      </c>
      <c r="G505" t="s">
        <v>36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P505">
        <v>78.2</v>
      </c>
      <c r="R505">
        <v>0</v>
      </c>
      <c r="T505">
        <v>0</v>
      </c>
      <c r="V505">
        <v>0</v>
      </c>
      <c r="X505">
        <v>0</v>
      </c>
      <c r="Z505">
        <v>0</v>
      </c>
    </row>
    <row r="506" spans="1:26" x14ac:dyDescent="0.3">
      <c r="A506" t="s">
        <v>546</v>
      </c>
      <c r="B506">
        <v>45753</v>
      </c>
      <c r="C506" t="s">
        <v>27</v>
      </c>
      <c r="D506" t="s">
        <v>28</v>
      </c>
      <c r="E506" t="s">
        <v>34</v>
      </c>
      <c r="F506" t="s">
        <v>49</v>
      </c>
      <c r="G506" t="s">
        <v>36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P506">
        <v>63.8</v>
      </c>
      <c r="R506">
        <v>0</v>
      </c>
      <c r="T506">
        <v>0</v>
      </c>
      <c r="V506">
        <v>0</v>
      </c>
      <c r="X506">
        <v>0</v>
      </c>
      <c r="Z506">
        <v>0</v>
      </c>
    </row>
    <row r="507" spans="1:26" x14ac:dyDescent="0.3">
      <c r="A507" t="s">
        <v>547</v>
      </c>
      <c r="B507">
        <v>45687</v>
      </c>
      <c r="C507" t="s">
        <v>27</v>
      </c>
      <c r="D507" t="s">
        <v>28</v>
      </c>
      <c r="E507" t="s">
        <v>29</v>
      </c>
      <c r="F507" t="s">
        <v>51</v>
      </c>
      <c r="G507" t="s">
        <v>36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P507">
        <v>56.8</v>
      </c>
      <c r="R507">
        <v>0</v>
      </c>
      <c r="T507">
        <v>1</v>
      </c>
      <c r="V507">
        <v>0</v>
      </c>
      <c r="X507">
        <v>0</v>
      </c>
      <c r="Z507">
        <v>0</v>
      </c>
    </row>
    <row r="508" spans="1:26" x14ac:dyDescent="0.3">
      <c r="A508" t="s">
        <v>548</v>
      </c>
      <c r="B508">
        <v>45790</v>
      </c>
      <c r="C508" t="s">
        <v>27</v>
      </c>
      <c r="D508" t="s">
        <v>42</v>
      </c>
      <c r="E508" t="s">
        <v>29</v>
      </c>
      <c r="F508" t="s">
        <v>35</v>
      </c>
      <c r="G508" t="s">
        <v>31</v>
      </c>
      <c r="H508">
        <v>1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P508">
        <v>59.6</v>
      </c>
      <c r="R508">
        <v>0</v>
      </c>
      <c r="T508">
        <v>1</v>
      </c>
      <c r="V508">
        <v>1</v>
      </c>
      <c r="X508">
        <v>0</v>
      </c>
      <c r="Z508">
        <v>0</v>
      </c>
    </row>
    <row r="509" spans="1:26" x14ac:dyDescent="0.3">
      <c r="A509" t="s">
        <v>549</v>
      </c>
      <c r="B509">
        <v>45677</v>
      </c>
      <c r="C509" t="s">
        <v>27</v>
      </c>
      <c r="D509" t="s">
        <v>33</v>
      </c>
      <c r="E509" t="s">
        <v>34</v>
      </c>
      <c r="F509" t="s">
        <v>39</v>
      </c>
      <c r="G509" t="s">
        <v>40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P509">
        <v>50</v>
      </c>
      <c r="R509">
        <v>0</v>
      </c>
      <c r="T509">
        <v>1</v>
      </c>
      <c r="V509">
        <v>1</v>
      </c>
      <c r="X509">
        <v>0</v>
      </c>
      <c r="Z509">
        <v>0</v>
      </c>
    </row>
    <row r="510" spans="1:26" x14ac:dyDescent="0.3">
      <c r="A510" t="s">
        <v>550</v>
      </c>
      <c r="B510">
        <v>45687</v>
      </c>
      <c r="C510" t="s">
        <v>27</v>
      </c>
      <c r="D510" t="s">
        <v>28</v>
      </c>
      <c r="E510" t="s">
        <v>44</v>
      </c>
      <c r="F510" t="s">
        <v>35</v>
      </c>
      <c r="G510" t="s">
        <v>36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P510">
        <v>35.700000000000003</v>
      </c>
      <c r="R510">
        <v>0</v>
      </c>
      <c r="T510">
        <v>1</v>
      </c>
      <c r="V510">
        <v>0</v>
      </c>
      <c r="X510">
        <v>0</v>
      </c>
      <c r="Z510">
        <v>0</v>
      </c>
    </row>
    <row r="511" spans="1:26" x14ac:dyDescent="0.3">
      <c r="A511" t="s">
        <v>551</v>
      </c>
      <c r="B511">
        <v>45670</v>
      </c>
      <c r="C511" t="s">
        <v>27</v>
      </c>
      <c r="D511" t="s">
        <v>42</v>
      </c>
      <c r="E511" t="s">
        <v>34</v>
      </c>
      <c r="F511" t="s">
        <v>35</v>
      </c>
      <c r="G511" t="s">
        <v>36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2</v>
      </c>
      <c r="N511">
        <v>0</v>
      </c>
      <c r="P511">
        <v>47.2</v>
      </c>
      <c r="R511">
        <v>0</v>
      </c>
      <c r="T511">
        <v>0</v>
      </c>
      <c r="V511">
        <v>0</v>
      </c>
      <c r="X511">
        <v>0</v>
      </c>
      <c r="Z511">
        <v>2</v>
      </c>
    </row>
    <row r="512" spans="1:26" x14ac:dyDescent="0.3">
      <c r="A512" t="s">
        <v>552</v>
      </c>
      <c r="B512">
        <v>45699</v>
      </c>
      <c r="C512" t="s">
        <v>27</v>
      </c>
      <c r="D512" t="s">
        <v>28</v>
      </c>
      <c r="E512" t="s">
        <v>34</v>
      </c>
      <c r="F512" t="s">
        <v>51</v>
      </c>
      <c r="G512" t="s">
        <v>36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P512">
        <v>56.9</v>
      </c>
      <c r="R512">
        <v>0</v>
      </c>
      <c r="T512">
        <v>1</v>
      </c>
      <c r="V512">
        <v>1</v>
      </c>
      <c r="X512">
        <v>0</v>
      </c>
      <c r="Z512">
        <v>0</v>
      </c>
    </row>
    <row r="513" spans="1:26" x14ac:dyDescent="0.3">
      <c r="A513" t="s">
        <v>553</v>
      </c>
      <c r="B513">
        <v>45762</v>
      </c>
      <c r="C513" t="s">
        <v>27</v>
      </c>
      <c r="D513" t="s">
        <v>42</v>
      </c>
      <c r="E513" t="s">
        <v>34</v>
      </c>
      <c r="F513" t="s">
        <v>35</v>
      </c>
      <c r="G513" t="s">
        <v>36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</v>
      </c>
      <c r="N513">
        <v>0</v>
      </c>
      <c r="P513">
        <v>57.2</v>
      </c>
      <c r="R513">
        <v>0</v>
      </c>
      <c r="T513">
        <v>0</v>
      </c>
      <c r="V513">
        <v>0</v>
      </c>
      <c r="X513">
        <v>0</v>
      </c>
      <c r="Z513">
        <v>1</v>
      </c>
    </row>
    <row r="514" spans="1:26" x14ac:dyDescent="0.3">
      <c r="A514" t="s">
        <v>554</v>
      </c>
      <c r="B514">
        <v>45701</v>
      </c>
      <c r="C514" t="s">
        <v>27</v>
      </c>
      <c r="D514" t="s">
        <v>42</v>
      </c>
      <c r="E514" t="s">
        <v>34</v>
      </c>
      <c r="G514" t="s">
        <v>36</v>
      </c>
      <c r="H514">
        <v>1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P514">
        <v>31.4</v>
      </c>
      <c r="R514">
        <v>0</v>
      </c>
      <c r="T514">
        <v>1</v>
      </c>
      <c r="V514">
        <v>1</v>
      </c>
      <c r="X514">
        <v>0</v>
      </c>
      <c r="Z514">
        <v>0</v>
      </c>
    </row>
    <row r="515" spans="1:26" x14ac:dyDescent="0.3">
      <c r="A515" t="s">
        <v>555</v>
      </c>
      <c r="B515">
        <v>45786</v>
      </c>
      <c r="C515" t="s">
        <v>27</v>
      </c>
      <c r="D515" t="s">
        <v>42</v>
      </c>
      <c r="E515" t="s">
        <v>29</v>
      </c>
      <c r="F515" t="s">
        <v>35</v>
      </c>
      <c r="G515" t="s">
        <v>36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P515">
        <v>71.2</v>
      </c>
      <c r="R515">
        <v>0</v>
      </c>
      <c r="T515">
        <v>0</v>
      </c>
      <c r="V515">
        <v>0</v>
      </c>
      <c r="X515">
        <v>0</v>
      </c>
      <c r="Z515">
        <v>0</v>
      </c>
    </row>
    <row r="516" spans="1:26" x14ac:dyDescent="0.3">
      <c r="A516" t="s">
        <v>556</v>
      </c>
      <c r="B516">
        <v>45726</v>
      </c>
      <c r="C516" t="s">
        <v>27</v>
      </c>
      <c r="D516" t="s">
        <v>28</v>
      </c>
      <c r="E516" t="s">
        <v>34</v>
      </c>
      <c r="F516" t="s">
        <v>39</v>
      </c>
      <c r="G516" t="s">
        <v>36</v>
      </c>
      <c r="H516">
        <v>1</v>
      </c>
      <c r="I516">
        <v>1</v>
      </c>
      <c r="J516">
        <v>1</v>
      </c>
      <c r="K516">
        <v>0</v>
      </c>
      <c r="L516">
        <v>0</v>
      </c>
      <c r="M516">
        <v>1</v>
      </c>
      <c r="N516">
        <v>0</v>
      </c>
      <c r="P516">
        <v>38.299999999999997</v>
      </c>
      <c r="R516">
        <v>0</v>
      </c>
      <c r="T516">
        <v>1</v>
      </c>
      <c r="V516">
        <v>1</v>
      </c>
      <c r="X516">
        <v>1</v>
      </c>
      <c r="Z516">
        <v>1</v>
      </c>
    </row>
    <row r="517" spans="1:26" x14ac:dyDescent="0.3">
      <c r="A517" t="s">
        <v>557</v>
      </c>
      <c r="B517">
        <v>45748</v>
      </c>
      <c r="C517" t="s">
        <v>27</v>
      </c>
      <c r="D517" t="s">
        <v>28</v>
      </c>
      <c r="E517" t="s">
        <v>34</v>
      </c>
      <c r="F517" t="s">
        <v>35</v>
      </c>
      <c r="G517" t="s">
        <v>36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P517">
        <v>63.1</v>
      </c>
      <c r="R517">
        <v>0</v>
      </c>
      <c r="T517">
        <v>1</v>
      </c>
      <c r="V517">
        <v>1</v>
      </c>
      <c r="X517">
        <v>0</v>
      </c>
      <c r="Z517">
        <v>0</v>
      </c>
    </row>
    <row r="518" spans="1:26" x14ac:dyDescent="0.3">
      <c r="A518" t="s">
        <v>558</v>
      </c>
      <c r="B518">
        <v>45792</v>
      </c>
      <c r="C518" t="s">
        <v>27</v>
      </c>
      <c r="D518" t="s">
        <v>38</v>
      </c>
      <c r="E518" t="s">
        <v>34</v>
      </c>
      <c r="F518" t="s">
        <v>49</v>
      </c>
      <c r="G518" t="s">
        <v>31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P518">
        <v>59.7</v>
      </c>
      <c r="R518">
        <v>0</v>
      </c>
      <c r="T518">
        <v>1</v>
      </c>
      <c r="V518">
        <v>0</v>
      </c>
      <c r="X518">
        <v>0</v>
      </c>
      <c r="Z518">
        <v>0</v>
      </c>
    </row>
    <row r="519" spans="1:26" x14ac:dyDescent="0.3">
      <c r="A519" t="s">
        <v>559</v>
      </c>
      <c r="B519">
        <v>45781</v>
      </c>
      <c r="C519" t="s">
        <v>27</v>
      </c>
      <c r="D519" t="s">
        <v>42</v>
      </c>
      <c r="E519" t="s">
        <v>29</v>
      </c>
      <c r="F519" t="s">
        <v>51</v>
      </c>
      <c r="G519" t="s">
        <v>40</v>
      </c>
      <c r="H519">
        <v>1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0</v>
      </c>
      <c r="P519">
        <v>59.5</v>
      </c>
      <c r="R519">
        <v>0</v>
      </c>
      <c r="T519">
        <v>1</v>
      </c>
      <c r="V519">
        <v>1</v>
      </c>
      <c r="X519">
        <v>1</v>
      </c>
      <c r="Z519">
        <v>0</v>
      </c>
    </row>
    <row r="520" spans="1:26" x14ac:dyDescent="0.3">
      <c r="A520" t="s">
        <v>560</v>
      </c>
      <c r="B520">
        <v>45797</v>
      </c>
      <c r="C520" t="s">
        <v>27</v>
      </c>
      <c r="D520" t="s">
        <v>38</v>
      </c>
      <c r="E520" t="s">
        <v>34</v>
      </c>
      <c r="F520" t="s">
        <v>39</v>
      </c>
      <c r="G520" t="s">
        <v>36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P520">
        <v>78.8</v>
      </c>
      <c r="R520">
        <v>0</v>
      </c>
      <c r="T520">
        <v>0</v>
      </c>
      <c r="V520">
        <v>0</v>
      </c>
      <c r="X520">
        <v>0</v>
      </c>
      <c r="Z520">
        <v>0</v>
      </c>
    </row>
    <row r="521" spans="1:26" x14ac:dyDescent="0.3">
      <c r="A521" t="s">
        <v>561</v>
      </c>
      <c r="B521">
        <v>45793</v>
      </c>
      <c r="C521" t="s">
        <v>27</v>
      </c>
      <c r="D521" t="s">
        <v>33</v>
      </c>
      <c r="E521" t="s">
        <v>29</v>
      </c>
      <c r="F521" t="s">
        <v>49</v>
      </c>
      <c r="G521" t="s">
        <v>36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P521">
        <v>54</v>
      </c>
      <c r="R521">
        <v>0</v>
      </c>
      <c r="T521">
        <v>0</v>
      </c>
      <c r="V521">
        <v>0</v>
      </c>
      <c r="X521">
        <v>0</v>
      </c>
      <c r="Z521">
        <v>0</v>
      </c>
    </row>
    <row r="522" spans="1:26" x14ac:dyDescent="0.3">
      <c r="A522" t="s">
        <v>562</v>
      </c>
      <c r="B522">
        <v>45733</v>
      </c>
      <c r="C522" t="s">
        <v>27</v>
      </c>
      <c r="D522" t="s">
        <v>33</v>
      </c>
      <c r="E522" t="s">
        <v>34</v>
      </c>
      <c r="F522" t="s">
        <v>35</v>
      </c>
      <c r="G522" t="s">
        <v>36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P522">
        <v>66.3</v>
      </c>
      <c r="R522">
        <v>0</v>
      </c>
      <c r="T522">
        <v>1</v>
      </c>
      <c r="V522">
        <v>0</v>
      </c>
      <c r="X522">
        <v>0</v>
      </c>
      <c r="Z522">
        <v>0</v>
      </c>
    </row>
    <row r="523" spans="1:26" x14ac:dyDescent="0.3">
      <c r="A523" t="s">
        <v>563</v>
      </c>
      <c r="B523">
        <v>45684</v>
      </c>
      <c r="C523" t="s">
        <v>27</v>
      </c>
      <c r="D523" t="s">
        <v>38</v>
      </c>
      <c r="E523" t="s">
        <v>44</v>
      </c>
      <c r="F523" t="s">
        <v>39</v>
      </c>
      <c r="G523" t="s">
        <v>36</v>
      </c>
      <c r="H523">
        <v>1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P523">
        <v>54.7</v>
      </c>
      <c r="R523">
        <v>0</v>
      </c>
      <c r="T523">
        <v>1</v>
      </c>
      <c r="V523">
        <v>1</v>
      </c>
      <c r="X523">
        <v>0</v>
      </c>
      <c r="Z523">
        <v>0</v>
      </c>
    </row>
    <row r="524" spans="1:26" x14ac:dyDescent="0.3">
      <c r="A524" t="s">
        <v>564</v>
      </c>
      <c r="B524">
        <v>45760</v>
      </c>
      <c r="C524" t="s">
        <v>27</v>
      </c>
      <c r="D524" t="s">
        <v>42</v>
      </c>
      <c r="E524" t="s">
        <v>34</v>
      </c>
      <c r="F524" t="s">
        <v>35</v>
      </c>
      <c r="G524" t="s">
        <v>31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P524">
        <v>76.7</v>
      </c>
      <c r="R524">
        <v>0</v>
      </c>
      <c r="T524">
        <v>1</v>
      </c>
      <c r="V524">
        <v>0</v>
      </c>
      <c r="X524">
        <v>0</v>
      </c>
      <c r="Z524">
        <v>0</v>
      </c>
    </row>
    <row r="525" spans="1:26" x14ac:dyDescent="0.3">
      <c r="A525" t="s">
        <v>565</v>
      </c>
      <c r="B525">
        <v>45780</v>
      </c>
      <c r="C525" t="s">
        <v>27</v>
      </c>
      <c r="D525" t="s">
        <v>42</v>
      </c>
      <c r="E525" t="s">
        <v>29</v>
      </c>
      <c r="F525" t="s">
        <v>30</v>
      </c>
      <c r="G525" t="s">
        <v>31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2</v>
      </c>
      <c r="N525">
        <v>0</v>
      </c>
      <c r="P525">
        <v>47.4</v>
      </c>
      <c r="R525">
        <v>0</v>
      </c>
      <c r="T525">
        <v>1</v>
      </c>
      <c r="V525">
        <v>0</v>
      </c>
      <c r="X525">
        <v>0</v>
      </c>
      <c r="Z525">
        <v>2</v>
      </c>
    </row>
    <row r="526" spans="1:26" x14ac:dyDescent="0.3">
      <c r="A526" t="s">
        <v>566</v>
      </c>
      <c r="B526">
        <v>45746</v>
      </c>
      <c r="C526" t="s">
        <v>27</v>
      </c>
      <c r="D526" t="s">
        <v>28</v>
      </c>
      <c r="E526" t="s">
        <v>34</v>
      </c>
      <c r="F526" t="s">
        <v>35</v>
      </c>
      <c r="G526" t="s">
        <v>36</v>
      </c>
      <c r="H526">
        <v>1</v>
      </c>
      <c r="I526">
        <v>1</v>
      </c>
      <c r="J526">
        <v>1</v>
      </c>
      <c r="K526">
        <v>0</v>
      </c>
      <c r="L526">
        <v>0</v>
      </c>
      <c r="M526">
        <v>0</v>
      </c>
      <c r="N526">
        <v>0</v>
      </c>
      <c r="P526">
        <v>81.7</v>
      </c>
      <c r="R526">
        <v>0</v>
      </c>
      <c r="T526">
        <v>1</v>
      </c>
      <c r="V526">
        <v>1</v>
      </c>
      <c r="X526">
        <v>1</v>
      </c>
      <c r="Z526">
        <v>0</v>
      </c>
    </row>
    <row r="527" spans="1:26" x14ac:dyDescent="0.3">
      <c r="A527" t="s">
        <v>567</v>
      </c>
      <c r="B527">
        <v>45658</v>
      </c>
      <c r="C527" t="s">
        <v>27</v>
      </c>
      <c r="D527" t="s">
        <v>33</v>
      </c>
      <c r="E527" t="s">
        <v>34</v>
      </c>
      <c r="F527" t="s">
        <v>39</v>
      </c>
      <c r="G527" t="s">
        <v>31</v>
      </c>
      <c r="H527">
        <v>1</v>
      </c>
      <c r="I527">
        <v>1</v>
      </c>
      <c r="J527">
        <v>1</v>
      </c>
      <c r="K527">
        <v>0</v>
      </c>
      <c r="L527">
        <v>0</v>
      </c>
      <c r="M527">
        <v>0</v>
      </c>
      <c r="N527">
        <v>0</v>
      </c>
      <c r="P527">
        <v>67.5</v>
      </c>
      <c r="R527">
        <v>0</v>
      </c>
      <c r="T527">
        <v>1</v>
      </c>
      <c r="V527">
        <v>1</v>
      </c>
      <c r="X527">
        <v>1</v>
      </c>
      <c r="Z527">
        <v>0</v>
      </c>
    </row>
    <row r="528" spans="1:26" x14ac:dyDescent="0.3">
      <c r="A528" t="s">
        <v>568</v>
      </c>
      <c r="B528">
        <v>45694</v>
      </c>
      <c r="C528" t="s">
        <v>27</v>
      </c>
      <c r="D528" t="s">
        <v>33</v>
      </c>
      <c r="E528" t="s">
        <v>34</v>
      </c>
      <c r="F528" t="s">
        <v>39</v>
      </c>
      <c r="G528" t="s">
        <v>31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P528">
        <v>36.799999999999997</v>
      </c>
      <c r="R528">
        <v>0</v>
      </c>
      <c r="T528">
        <v>1</v>
      </c>
      <c r="V528">
        <v>0</v>
      </c>
      <c r="X528">
        <v>0</v>
      </c>
      <c r="Z528">
        <v>0</v>
      </c>
    </row>
    <row r="529" spans="1:26" x14ac:dyDescent="0.3">
      <c r="A529" t="s">
        <v>569</v>
      </c>
      <c r="B529">
        <v>45713</v>
      </c>
      <c r="C529" t="s">
        <v>27</v>
      </c>
      <c r="D529" t="s">
        <v>28</v>
      </c>
      <c r="E529" t="s">
        <v>29</v>
      </c>
      <c r="F529" t="s">
        <v>35</v>
      </c>
      <c r="G529" t="s">
        <v>36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P529">
        <v>66.5</v>
      </c>
      <c r="R529">
        <v>0</v>
      </c>
      <c r="T529">
        <v>0</v>
      </c>
      <c r="V529">
        <v>0</v>
      </c>
      <c r="X529">
        <v>0</v>
      </c>
      <c r="Z529">
        <v>0</v>
      </c>
    </row>
    <row r="530" spans="1:26" x14ac:dyDescent="0.3">
      <c r="A530" t="s">
        <v>570</v>
      </c>
      <c r="B530">
        <v>45791</v>
      </c>
      <c r="C530" t="s">
        <v>27</v>
      </c>
      <c r="D530" t="s">
        <v>38</v>
      </c>
      <c r="E530" t="s">
        <v>44</v>
      </c>
      <c r="F530" t="s">
        <v>51</v>
      </c>
      <c r="G530" t="s">
        <v>36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P530">
        <v>35.4</v>
      </c>
      <c r="R530">
        <v>0</v>
      </c>
      <c r="T530">
        <v>1</v>
      </c>
      <c r="V530">
        <v>0</v>
      </c>
      <c r="X530">
        <v>0</v>
      </c>
      <c r="Z530">
        <v>0</v>
      </c>
    </row>
    <row r="531" spans="1:26" x14ac:dyDescent="0.3">
      <c r="A531" t="s">
        <v>571</v>
      </c>
      <c r="B531">
        <v>45797</v>
      </c>
      <c r="C531" t="s">
        <v>27</v>
      </c>
      <c r="D531" t="s">
        <v>42</v>
      </c>
      <c r="E531" t="s">
        <v>34</v>
      </c>
      <c r="F531" t="s">
        <v>35</v>
      </c>
      <c r="G531" t="s">
        <v>31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P531">
        <v>64.3</v>
      </c>
      <c r="R531">
        <v>0</v>
      </c>
      <c r="T531">
        <v>0</v>
      </c>
      <c r="V531">
        <v>0</v>
      </c>
      <c r="X531">
        <v>0</v>
      </c>
      <c r="Z531">
        <v>0</v>
      </c>
    </row>
    <row r="532" spans="1:26" x14ac:dyDescent="0.3">
      <c r="A532" t="s">
        <v>572</v>
      </c>
      <c r="B532">
        <v>45699</v>
      </c>
      <c r="C532" t="s">
        <v>27</v>
      </c>
      <c r="D532" t="s">
        <v>42</v>
      </c>
      <c r="E532" t="s">
        <v>34</v>
      </c>
      <c r="F532" t="s">
        <v>35</v>
      </c>
      <c r="G532" t="s">
        <v>36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P532">
        <v>49.1</v>
      </c>
      <c r="R532">
        <v>0</v>
      </c>
      <c r="T532">
        <v>0</v>
      </c>
      <c r="V532">
        <v>0</v>
      </c>
      <c r="X532">
        <v>0</v>
      </c>
      <c r="Z532">
        <v>0</v>
      </c>
    </row>
    <row r="533" spans="1:26" x14ac:dyDescent="0.3">
      <c r="A533" t="s">
        <v>573</v>
      </c>
      <c r="B533">
        <v>45701</v>
      </c>
      <c r="C533" t="s">
        <v>27</v>
      </c>
      <c r="D533" t="s">
        <v>33</v>
      </c>
      <c r="E533" t="s">
        <v>34</v>
      </c>
      <c r="F533" t="s">
        <v>35</v>
      </c>
      <c r="G533" t="s">
        <v>36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P533">
        <v>84.3</v>
      </c>
      <c r="R533">
        <v>0</v>
      </c>
      <c r="T533">
        <v>1</v>
      </c>
      <c r="V533">
        <v>0</v>
      </c>
      <c r="X533">
        <v>0</v>
      </c>
      <c r="Z533">
        <v>0</v>
      </c>
    </row>
    <row r="534" spans="1:26" x14ac:dyDescent="0.3">
      <c r="A534" t="s">
        <v>574</v>
      </c>
      <c r="B534">
        <v>45754</v>
      </c>
      <c r="C534" t="s">
        <v>27</v>
      </c>
      <c r="D534" t="s">
        <v>42</v>
      </c>
      <c r="E534" t="s">
        <v>34</v>
      </c>
      <c r="F534" t="s">
        <v>39</v>
      </c>
      <c r="G534" t="s">
        <v>40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P534">
        <v>65.599999999999994</v>
      </c>
      <c r="R534">
        <v>0</v>
      </c>
      <c r="T534">
        <v>1</v>
      </c>
      <c r="V534">
        <v>0</v>
      </c>
      <c r="X534">
        <v>0</v>
      </c>
      <c r="Z534">
        <v>0</v>
      </c>
    </row>
    <row r="535" spans="1:26" x14ac:dyDescent="0.3">
      <c r="A535" t="s">
        <v>575</v>
      </c>
      <c r="B535">
        <v>45724</v>
      </c>
      <c r="C535" t="s">
        <v>27</v>
      </c>
      <c r="D535" t="s">
        <v>38</v>
      </c>
      <c r="E535" t="s">
        <v>34</v>
      </c>
      <c r="F535" t="s">
        <v>30</v>
      </c>
      <c r="G535" t="s">
        <v>36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P535">
        <v>47.1</v>
      </c>
      <c r="R535">
        <v>0</v>
      </c>
      <c r="T535">
        <v>1</v>
      </c>
      <c r="V535">
        <v>0</v>
      </c>
      <c r="X535">
        <v>0</v>
      </c>
      <c r="Z535">
        <v>0</v>
      </c>
    </row>
    <row r="536" spans="1:26" x14ac:dyDescent="0.3">
      <c r="A536" t="s">
        <v>576</v>
      </c>
      <c r="B536">
        <v>45704</v>
      </c>
      <c r="C536" t="s">
        <v>27</v>
      </c>
      <c r="D536" t="s">
        <v>28</v>
      </c>
      <c r="E536" t="s">
        <v>29</v>
      </c>
      <c r="F536" t="s">
        <v>39</v>
      </c>
      <c r="G536" t="s">
        <v>36</v>
      </c>
      <c r="H536">
        <v>1</v>
      </c>
      <c r="I536">
        <v>1</v>
      </c>
      <c r="J536">
        <v>1</v>
      </c>
      <c r="K536">
        <v>0</v>
      </c>
      <c r="L536">
        <v>0</v>
      </c>
      <c r="M536">
        <v>0</v>
      </c>
      <c r="N536">
        <v>0</v>
      </c>
      <c r="P536">
        <v>70</v>
      </c>
      <c r="R536">
        <v>0</v>
      </c>
      <c r="T536">
        <v>1</v>
      </c>
      <c r="V536">
        <v>1</v>
      </c>
      <c r="X536">
        <v>1</v>
      </c>
      <c r="Z536">
        <v>0</v>
      </c>
    </row>
    <row r="537" spans="1:26" x14ac:dyDescent="0.3">
      <c r="A537" t="s">
        <v>577</v>
      </c>
      <c r="B537">
        <v>45775</v>
      </c>
      <c r="C537" t="s">
        <v>27</v>
      </c>
      <c r="D537" t="s">
        <v>42</v>
      </c>
      <c r="E537" t="s">
        <v>34</v>
      </c>
      <c r="F537" t="s">
        <v>39</v>
      </c>
      <c r="G537" t="s">
        <v>40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P537">
        <v>54.6</v>
      </c>
      <c r="R537">
        <v>0</v>
      </c>
      <c r="T537">
        <v>1</v>
      </c>
      <c r="V537">
        <v>0</v>
      </c>
      <c r="X537">
        <v>0</v>
      </c>
      <c r="Z537">
        <v>0</v>
      </c>
    </row>
    <row r="538" spans="1:26" x14ac:dyDescent="0.3">
      <c r="A538" t="s">
        <v>578</v>
      </c>
      <c r="B538">
        <v>45726</v>
      </c>
      <c r="C538" t="s">
        <v>27</v>
      </c>
      <c r="D538" t="s">
        <v>33</v>
      </c>
      <c r="E538" t="s">
        <v>44</v>
      </c>
      <c r="F538" t="s">
        <v>51</v>
      </c>
      <c r="G538" t="s">
        <v>31</v>
      </c>
      <c r="H538">
        <v>1</v>
      </c>
      <c r="I538">
        <v>1</v>
      </c>
      <c r="J538">
        <v>0</v>
      </c>
      <c r="K538">
        <v>0</v>
      </c>
      <c r="L538">
        <v>0</v>
      </c>
      <c r="M538">
        <v>1</v>
      </c>
      <c r="N538">
        <v>0</v>
      </c>
      <c r="P538">
        <v>65.2</v>
      </c>
      <c r="R538">
        <v>0</v>
      </c>
      <c r="T538">
        <v>1</v>
      </c>
      <c r="V538">
        <v>1</v>
      </c>
      <c r="X538">
        <v>0</v>
      </c>
      <c r="Z538">
        <v>1</v>
      </c>
    </row>
    <row r="539" spans="1:26" x14ac:dyDescent="0.3">
      <c r="A539" t="s">
        <v>579</v>
      </c>
      <c r="B539">
        <v>45682</v>
      </c>
      <c r="C539" t="s">
        <v>27</v>
      </c>
      <c r="D539" t="s">
        <v>38</v>
      </c>
      <c r="E539" t="s">
        <v>34</v>
      </c>
      <c r="F539" t="s">
        <v>51</v>
      </c>
      <c r="G539" t="s">
        <v>36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P539">
        <v>65</v>
      </c>
      <c r="R539">
        <v>0</v>
      </c>
      <c r="T539">
        <v>1</v>
      </c>
      <c r="V539">
        <v>0</v>
      </c>
      <c r="X539">
        <v>0</v>
      </c>
      <c r="Z539">
        <v>0</v>
      </c>
    </row>
    <row r="540" spans="1:26" x14ac:dyDescent="0.3">
      <c r="A540" t="s">
        <v>580</v>
      </c>
      <c r="B540">
        <v>45668</v>
      </c>
      <c r="C540" t="s">
        <v>27</v>
      </c>
      <c r="D540" t="s">
        <v>33</v>
      </c>
      <c r="E540" t="s">
        <v>34</v>
      </c>
      <c r="F540" t="s">
        <v>39</v>
      </c>
      <c r="G540" t="s">
        <v>40</v>
      </c>
      <c r="H540">
        <v>1</v>
      </c>
      <c r="I540">
        <v>1</v>
      </c>
      <c r="J540">
        <v>1</v>
      </c>
      <c r="K540">
        <v>0</v>
      </c>
      <c r="L540">
        <v>0</v>
      </c>
      <c r="M540">
        <v>1</v>
      </c>
      <c r="N540">
        <v>0</v>
      </c>
      <c r="P540">
        <v>42.1</v>
      </c>
      <c r="R540">
        <v>0</v>
      </c>
      <c r="T540">
        <v>1</v>
      </c>
      <c r="V540">
        <v>1</v>
      </c>
      <c r="X540">
        <v>1</v>
      </c>
      <c r="Z540">
        <v>1</v>
      </c>
    </row>
    <row r="541" spans="1:26" x14ac:dyDescent="0.3">
      <c r="A541" t="s">
        <v>581</v>
      </c>
      <c r="B541">
        <v>45747</v>
      </c>
      <c r="C541" t="s">
        <v>27</v>
      </c>
      <c r="D541" t="s">
        <v>33</v>
      </c>
      <c r="E541" t="s">
        <v>44</v>
      </c>
      <c r="F541" t="s">
        <v>39</v>
      </c>
      <c r="G541" t="s">
        <v>36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P541">
        <v>43.4</v>
      </c>
      <c r="R541">
        <v>0</v>
      </c>
      <c r="T541">
        <v>1</v>
      </c>
      <c r="V541">
        <v>0</v>
      </c>
      <c r="X541">
        <v>0</v>
      </c>
      <c r="Z541">
        <v>0</v>
      </c>
    </row>
    <row r="542" spans="1:26" x14ac:dyDescent="0.3">
      <c r="A542" t="s">
        <v>582</v>
      </c>
      <c r="B542">
        <v>45799</v>
      </c>
      <c r="C542" t="s">
        <v>27</v>
      </c>
      <c r="D542" t="s">
        <v>28</v>
      </c>
      <c r="E542" t="s">
        <v>34</v>
      </c>
      <c r="F542" t="s">
        <v>39</v>
      </c>
      <c r="G542" t="s">
        <v>31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P542">
        <v>39.9</v>
      </c>
      <c r="R542">
        <v>0</v>
      </c>
      <c r="T542">
        <v>1</v>
      </c>
      <c r="V542">
        <v>1</v>
      </c>
      <c r="X542">
        <v>0</v>
      </c>
      <c r="Z542">
        <v>0</v>
      </c>
    </row>
    <row r="543" spans="1:26" x14ac:dyDescent="0.3">
      <c r="A543" t="s">
        <v>583</v>
      </c>
      <c r="B543">
        <v>45793</v>
      </c>
      <c r="C543" t="s">
        <v>27</v>
      </c>
      <c r="D543" t="s">
        <v>28</v>
      </c>
      <c r="E543" t="s">
        <v>34</v>
      </c>
      <c r="F543" t="s">
        <v>49</v>
      </c>
      <c r="G543" t="s">
        <v>31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P543">
        <v>74.099999999999994</v>
      </c>
      <c r="R543">
        <v>0</v>
      </c>
      <c r="T543">
        <v>0</v>
      </c>
      <c r="V543">
        <v>0</v>
      </c>
      <c r="X543">
        <v>0</v>
      </c>
      <c r="Z543">
        <v>0</v>
      </c>
    </row>
    <row r="544" spans="1:26" x14ac:dyDescent="0.3">
      <c r="A544" t="s">
        <v>584</v>
      </c>
      <c r="B544">
        <v>45772</v>
      </c>
      <c r="C544" t="s">
        <v>27</v>
      </c>
      <c r="D544" t="s">
        <v>38</v>
      </c>
      <c r="E544" t="s">
        <v>29</v>
      </c>
      <c r="F544" t="s">
        <v>39</v>
      </c>
      <c r="G544" t="s">
        <v>36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P544">
        <v>61.4</v>
      </c>
      <c r="R544">
        <v>0</v>
      </c>
      <c r="T544">
        <v>1</v>
      </c>
      <c r="V544">
        <v>0</v>
      </c>
      <c r="X544">
        <v>0</v>
      </c>
      <c r="Z544">
        <v>0</v>
      </c>
    </row>
    <row r="545" spans="1:26" x14ac:dyDescent="0.3">
      <c r="A545" t="s">
        <v>585</v>
      </c>
      <c r="B545">
        <v>45764</v>
      </c>
      <c r="C545" t="s">
        <v>27</v>
      </c>
      <c r="D545" t="s">
        <v>38</v>
      </c>
      <c r="E545" t="s">
        <v>34</v>
      </c>
      <c r="F545" t="s">
        <v>51</v>
      </c>
      <c r="G545" t="s">
        <v>40</v>
      </c>
      <c r="H545">
        <v>1</v>
      </c>
      <c r="I545">
        <v>1</v>
      </c>
      <c r="J545">
        <v>1</v>
      </c>
      <c r="K545">
        <v>0</v>
      </c>
      <c r="L545">
        <v>0</v>
      </c>
      <c r="M545">
        <v>0</v>
      </c>
      <c r="N545">
        <v>0</v>
      </c>
      <c r="P545">
        <v>76.8</v>
      </c>
      <c r="R545">
        <v>0</v>
      </c>
      <c r="T545">
        <v>1</v>
      </c>
      <c r="V545">
        <v>1</v>
      </c>
      <c r="X545">
        <v>1</v>
      </c>
      <c r="Z545">
        <v>0</v>
      </c>
    </row>
    <row r="546" spans="1:26" x14ac:dyDescent="0.3">
      <c r="A546" t="s">
        <v>586</v>
      </c>
      <c r="B546">
        <v>45658</v>
      </c>
      <c r="C546" t="s">
        <v>27</v>
      </c>
      <c r="D546" t="s">
        <v>42</v>
      </c>
      <c r="E546" t="s">
        <v>29</v>
      </c>
      <c r="F546" t="s">
        <v>51</v>
      </c>
      <c r="G546" t="s">
        <v>31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R546">
        <v>0</v>
      </c>
      <c r="T546">
        <v>0</v>
      </c>
      <c r="V546">
        <v>0</v>
      </c>
      <c r="X546">
        <v>0</v>
      </c>
      <c r="Z546">
        <v>0</v>
      </c>
    </row>
    <row r="547" spans="1:26" x14ac:dyDescent="0.3">
      <c r="A547" t="s">
        <v>587</v>
      </c>
      <c r="B547">
        <v>45734</v>
      </c>
      <c r="C547" t="s">
        <v>27</v>
      </c>
      <c r="D547" t="s">
        <v>38</v>
      </c>
      <c r="E547" t="s">
        <v>34</v>
      </c>
      <c r="F547" t="s">
        <v>39</v>
      </c>
      <c r="G547" t="s">
        <v>31</v>
      </c>
      <c r="H547">
        <v>1</v>
      </c>
      <c r="I547">
        <v>1</v>
      </c>
      <c r="J547">
        <v>1</v>
      </c>
      <c r="K547">
        <v>0</v>
      </c>
      <c r="L547">
        <v>0</v>
      </c>
      <c r="M547">
        <v>0</v>
      </c>
      <c r="N547">
        <v>0</v>
      </c>
      <c r="P547">
        <v>45.3</v>
      </c>
      <c r="R547">
        <v>0</v>
      </c>
      <c r="T547">
        <v>1</v>
      </c>
      <c r="V547">
        <v>1</v>
      </c>
      <c r="X547">
        <v>1</v>
      </c>
      <c r="Z547">
        <v>0</v>
      </c>
    </row>
    <row r="548" spans="1:26" x14ac:dyDescent="0.3">
      <c r="A548" t="s">
        <v>588</v>
      </c>
      <c r="B548">
        <v>45797</v>
      </c>
      <c r="C548" t="s">
        <v>27</v>
      </c>
      <c r="D548" t="s">
        <v>28</v>
      </c>
      <c r="E548" t="s">
        <v>44</v>
      </c>
      <c r="F548" t="s">
        <v>39</v>
      </c>
      <c r="G548" t="s">
        <v>36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P548">
        <v>41.4</v>
      </c>
      <c r="R548">
        <v>0</v>
      </c>
      <c r="T548">
        <v>1</v>
      </c>
      <c r="V548">
        <v>0</v>
      </c>
      <c r="X548">
        <v>0</v>
      </c>
      <c r="Z548">
        <v>0</v>
      </c>
    </row>
    <row r="549" spans="1:26" x14ac:dyDescent="0.3">
      <c r="A549" t="s">
        <v>589</v>
      </c>
      <c r="B549">
        <v>45732</v>
      </c>
      <c r="C549" t="s">
        <v>27</v>
      </c>
      <c r="D549" t="s">
        <v>28</v>
      </c>
      <c r="E549" t="s">
        <v>34</v>
      </c>
      <c r="F549" t="s">
        <v>35</v>
      </c>
      <c r="G549" t="s">
        <v>31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P549">
        <v>37.1</v>
      </c>
      <c r="R549">
        <v>0</v>
      </c>
      <c r="T549">
        <v>1</v>
      </c>
      <c r="V549">
        <v>0</v>
      </c>
      <c r="X549">
        <v>0</v>
      </c>
      <c r="Z549">
        <v>0</v>
      </c>
    </row>
    <row r="550" spans="1:26" x14ac:dyDescent="0.3">
      <c r="A550" t="s">
        <v>590</v>
      </c>
      <c r="B550">
        <v>45807</v>
      </c>
      <c r="C550" t="s">
        <v>27</v>
      </c>
      <c r="D550" t="s">
        <v>38</v>
      </c>
      <c r="E550" t="s">
        <v>29</v>
      </c>
      <c r="F550" t="s">
        <v>51</v>
      </c>
      <c r="G550" t="s">
        <v>36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P550">
        <v>40.700000000000003</v>
      </c>
      <c r="R550">
        <v>0</v>
      </c>
      <c r="T550">
        <v>1</v>
      </c>
      <c r="V550">
        <v>0</v>
      </c>
      <c r="X550">
        <v>0</v>
      </c>
      <c r="Z550">
        <v>0</v>
      </c>
    </row>
    <row r="551" spans="1:26" x14ac:dyDescent="0.3">
      <c r="A551" t="s">
        <v>591</v>
      </c>
      <c r="B551">
        <v>45708</v>
      </c>
      <c r="C551" t="s">
        <v>27</v>
      </c>
      <c r="D551" t="s">
        <v>28</v>
      </c>
      <c r="E551" t="s">
        <v>34</v>
      </c>
      <c r="F551" t="s">
        <v>51</v>
      </c>
      <c r="G551" t="s">
        <v>40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2</v>
      </c>
      <c r="N551">
        <v>0</v>
      </c>
      <c r="P551">
        <v>55.9</v>
      </c>
      <c r="R551">
        <v>0</v>
      </c>
      <c r="T551">
        <v>0</v>
      </c>
      <c r="V551">
        <v>0</v>
      </c>
      <c r="X551">
        <v>0</v>
      </c>
      <c r="Z551">
        <v>2</v>
      </c>
    </row>
    <row r="552" spans="1:26" x14ac:dyDescent="0.3">
      <c r="A552" t="s">
        <v>592</v>
      </c>
      <c r="B552">
        <v>45699</v>
      </c>
      <c r="C552" t="s">
        <v>27</v>
      </c>
      <c r="D552" t="s">
        <v>38</v>
      </c>
      <c r="F552" t="s">
        <v>51</v>
      </c>
      <c r="G552" t="s">
        <v>36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P552">
        <v>55.8</v>
      </c>
      <c r="R552">
        <v>0</v>
      </c>
      <c r="T552">
        <v>1</v>
      </c>
      <c r="V552">
        <v>1</v>
      </c>
      <c r="X552">
        <v>0</v>
      </c>
      <c r="Z552">
        <v>0</v>
      </c>
    </row>
    <row r="553" spans="1:26" x14ac:dyDescent="0.3">
      <c r="A553" t="s">
        <v>593</v>
      </c>
      <c r="B553">
        <v>45659</v>
      </c>
      <c r="C553" t="s">
        <v>27</v>
      </c>
      <c r="D553" t="s">
        <v>42</v>
      </c>
      <c r="E553" t="s">
        <v>44</v>
      </c>
      <c r="F553" t="s">
        <v>49</v>
      </c>
      <c r="G553" t="s">
        <v>31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P553">
        <v>64.3</v>
      </c>
      <c r="R553">
        <v>0</v>
      </c>
      <c r="T553">
        <v>1</v>
      </c>
      <c r="V553">
        <v>0</v>
      </c>
      <c r="X553">
        <v>0</v>
      </c>
      <c r="Z553">
        <v>0</v>
      </c>
    </row>
    <row r="554" spans="1:26" x14ac:dyDescent="0.3">
      <c r="A554" t="s">
        <v>594</v>
      </c>
      <c r="B554">
        <v>45780</v>
      </c>
      <c r="C554" t="s">
        <v>27</v>
      </c>
      <c r="D554" t="s">
        <v>28</v>
      </c>
      <c r="E554" t="s">
        <v>34</v>
      </c>
      <c r="F554" t="s">
        <v>35</v>
      </c>
      <c r="G554" t="s">
        <v>36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P554">
        <v>65.400000000000006</v>
      </c>
      <c r="R554">
        <v>0</v>
      </c>
      <c r="T554">
        <v>0</v>
      </c>
      <c r="V554">
        <v>0</v>
      </c>
      <c r="X554">
        <v>0</v>
      </c>
      <c r="Z554">
        <v>0</v>
      </c>
    </row>
    <row r="555" spans="1:26" x14ac:dyDescent="0.3">
      <c r="A555" t="s">
        <v>595</v>
      </c>
      <c r="B555">
        <v>45712</v>
      </c>
      <c r="C555" t="s">
        <v>27</v>
      </c>
      <c r="D555" t="s">
        <v>33</v>
      </c>
      <c r="E555" t="s">
        <v>34</v>
      </c>
      <c r="F555" t="s">
        <v>35</v>
      </c>
      <c r="G555" t="s">
        <v>36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P555">
        <v>89.8</v>
      </c>
      <c r="R555">
        <v>0</v>
      </c>
      <c r="T555">
        <v>1</v>
      </c>
      <c r="V555">
        <v>0</v>
      </c>
      <c r="X555">
        <v>0</v>
      </c>
      <c r="Z555">
        <v>0</v>
      </c>
    </row>
    <row r="556" spans="1:26" x14ac:dyDescent="0.3">
      <c r="A556" t="s">
        <v>596</v>
      </c>
      <c r="B556">
        <v>45699</v>
      </c>
      <c r="C556" t="s">
        <v>27</v>
      </c>
      <c r="D556" t="s">
        <v>42</v>
      </c>
      <c r="F556" t="s">
        <v>35</v>
      </c>
      <c r="G556" t="s">
        <v>36</v>
      </c>
      <c r="H556">
        <v>1</v>
      </c>
      <c r="I556">
        <v>1</v>
      </c>
      <c r="J556">
        <v>1</v>
      </c>
      <c r="K556">
        <v>0</v>
      </c>
      <c r="L556">
        <v>0</v>
      </c>
      <c r="M556">
        <v>0</v>
      </c>
      <c r="N556">
        <v>0</v>
      </c>
      <c r="P556">
        <v>58.3</v>
      </c>
      <c r="R556">
        <v>0</v>
      </c>
      <c r="T556">
        <v>1</v>
      </c>
      <c r="V556">
        <v>1</v>
      </c>
      <c r="X556">
        <v>1</v>
      </c>
      <c r="Z556">
        <v>0</v>
      </c>
    </row>
    <row r="557" spans="1:26" x14ac:dyDescent="0.3">
      <c r="A557" t="s">
        <v>597</v>
      </c>
      <c r="B557">
        <v>45783</v>
      </c>
      <c r="C557" t="s">
        <v>27</v>
      </c>
      <c r="D557" t="s">
        <v>42</v>
      </c>
      <c r="E557" t="s">
        <v>34</v>
      </c>
      <c r="F557" t="s">
        <v>51</v>
      </c>
      <c r="G557" t="s">
        <v>31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P557">
        <v>64.400000000000006</v>
      </c>
      <c r="R557">
        <v>0</v>
      </c>
      <c r="T557">
        <v>1</v>
      </c>
      <c r="V557">
        <v>0</v>
      </c>
      <c r="X557">
        <v>0</v>
      </c>
      <c r="Z557">
        <v>0</v>
      </c>
    </row>
    <row r="558" spans="1:26" x14ac:dyDescent="0.3">
      <c r="A558" t="s">
        <v>598</v>
      </c>
      <c r="B558">
        <v>45800</v>
      </c>
      <c r="C558" t="s">
        <v>27</v>
      </c>
      <c r="D558" t="s">
        <v>28</v>
      </c>
      <c r="E558" t="s">
        <v>34</v>
      </c>
      <c r="F558" t="s">
        <v>39</v>
      </c>
      <c r="G558" t="s">
        <v>40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P558">
        <v>46.2</v>
      </c>
      <c r="R558">
        <v>0</v>
      </c>
      <c r="T558">
        <v>0</v>
      </c>
      <c r="V558">
        <v>0</v>
      </c>
      <c r="X558">
        <v>0</v>
      </c>
      <c r="Z558">
        <v>0</v>
      </c>
    </row>
    <row r="559" spans="1:26" x14ac:dyDescent="0.3">
      <c r="A559" t="s">
        <v>599</v>
      </c>
      <c r="B559">
        <v>45666</v>
      </c>
      <c r="C559" t="s">
        <v>27</v>
      </c>
      <c r="D559" t="s">
        <v>28</v>
      </c>
      <c r="E559" t="s">
        <v>29</v>
      </c>
      <c r="F559" t="s">
        <v>39</v>
      </c>
      <c r="G559" t="s">
        <v>36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P559">
        <v>78</v>
      </c>
      <c r="R559">
        <v>0</v>
      </c>
      <c r="T559">
        <v>0</v>
      </c>
      <c r="V559">
        <v>0</v>
      </c>
      <c r="X559">
        <v>0</v>
      </c>
      <c r="Z559">
        <v>0</v>
      </c>
    </row>
    <row r="560" spans="1:26" x14ac:dyDescent="0.3">
      <c r="A560" t="s">
        <v>600</v>
      </c>
      <c r="B560">
        <v>45748</v>
      </c>
      <c r="C560" t="s">
        <v>27</v>
      </c>
      <c r="D560" t="s">
        <v>28</v>
      </c>
      <c r="E560" t="s">
        <v>29</v>
      </c>
      <c r="F560" t="s">
        <v>35</v>
      </c>
      <c r="G560" t="s">
        <v>40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P560">
        <v>62.3</v>
      </c>
      <c r="R560">
        <v>0</v>
      </c>
      <c r="T560">
        <v>1</v>
      </c>
      <c r="V560">
        <v>0</v>
      </c>
      <c r="X560">
        <v>0</v>
      </c>
      <c r="Z560">
        <v>0</v>
      </c>
    </row>
    <row r="561" spans="1:26" x14ac:dyDescent="0.3">
      <c r="A561" t="s">
        <v>601</v>
      </c>
      <c r="B561">
        <v>45724</v>
      </c>
      <c r="C561" t="s">
        <v>27</v>
      </c>
      <c r="D561" t="s">
        <v>28</v>
      </c>
      <c r="E561" t="s">
        <v>34</v>
      </c>
      <c r="F561" t="s">
        <v>35</v>
      </c>
      <c r="G561" t="s">
        <v>36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P561">
        <v>78.8</v>
      </c>
      <c r="R561">
        <v>0</v>
      </c>
      <c r="T561">
        <v>1</v>
      </c>
      <c r="V561">
        <v>0</v>
      </c>
      <c r="X561">
        <v>0</v>
      </c>
      <c r="Z561">
        <v>0</v>
      </c>
    </row>
    <row r="562" spans="1:26" x14ac:dyDescent="0.3">
      <c r="A562" t="s">
        <v>602</v>
      </c>
      <c r="B562">
        <v>45708</v>
      </c>
      <c r="C562" t="s">
        <v>27</v>
      </c>
      <c r="D562" t="s">
        <v>28</v>
      </c>
      <c r="E562" t="s">
        <v>34</v>
      </c>
      <c r="F562" t="s">
        <v>51</v>
      </c>
      <c r="G562" t="s">
        <v>31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P562">
        <v>25</v>
      </c>
      <c r="R562">
        <v>0</v>
      </c>
      <c r="T562">
        <v>1</v>
      </c>
      <c r="V562">
        <v>0</v>
      </c>
      <c r="X562">
        <v>0</v>
      </c>
      <c r="Z562">
        <v>0</v>
      </c>
    </row>
    <row r="563" spans="1:26" x14ac:dyDescent="0.3">
      <c r="A563" t="s">
        <v>603</v>
      </c>
      <c r="B563">
        <v>45746</v>
      </c>
      <c r="C563" t="s">
        <v>27</v>
      </c>
      <c r="D563" t="s">
        <v>38</v>
      </c>
      <c r="E563" t="s">
        <v>34</v>
      </c>
      <c r="F563" t="s">
        <v>51</v>
      </c>
      <c r="G563" t="s">
        <v>31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P563">
        <v>53.4</v>
      </c>
      <c r="R563">
        <v>0</v>
      </c>
      <c r="T563">
        <v>0</v>
      </c>
      <c r="V563">
        <v>0</v>
      </c>
      <c r="X563">
        <v>0</v>
      </c>
      <c r="Z563">
        <v>0</v>
      </c>
    </row>
    <row r="564" spans="1:26" x14ac:dyDescent="0.3">
      <c r="A564" t="s">
        <v>604</v>
      </c>
      <c r="B564">
        <v>45757</v>
      </c>
      <c r="C564" t="s">
        <v>27</v>
      </c>
      <c r="D564" t="s">
        <v>38</v>
      </c>
      <c r="E564" t="s">
        <v>29</v>
      </c>
      <c r="F564" t="s">
        <v>35</v>
      </c>
      <c r="G564" t="s">
        <v>31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P564">
        <v>40.700000000000003</v>
      </c>
      <c r="R564">
        <v>0</v>
      </c>
      <c r="T564">
        <v>0</v>
      </c>
      <c r="V564">
        <v>0</v>
      </c>
      <c r="X564">
        <v>0</v>
      </c>
      <c r="Z564">
        <v>0</v>
      </c>
    </row>
    <row r="565" spans="1:26" x14ac:dyDescent="0.3">
      <c r="A565" t="s">
        <v>605</v>
      </c>
      <c r="B565">
        <v>45740</v>
      </c>
      <c r="C565" t="s">
        <v>27</v>
      </c>
      <c r="D565" t="s">
        <v>38</v>
      </c>
      <c r="E565" t="s">
        <v>34</v>
      </c>
      <c r="F565" t="s">
        <v>35</v>
      </c>
      <c r="G565" t="s">
        <v>40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P565">
        <v>36.700000000000003</v>
      </c>
      <c r="R565">
        <v>0</v>
      </c>
      <c r="T565">
        <v>1</v>
      </c>
      <c r="V565">
        <v>1</v>
      </c>
      <c r="X565">
        <v>0</v>
      </c>
      <c r="Z565">
        <v>0</v>
      </c>
    </row>
    <row r="566" spans="1:26" x14ac:dyDescent="0.3">
      <c r="A566" t="s">
        <v>606</v>
      </c>
      <c r="B566">
        <v>45798</v>
      </c>
      <c r="C566" t="s">
        <v>27</v>
      </c>
      <c r="D566" t="s">
        <v>33</v>
      </c>
      <c r="E566" t="s">
        <v>34</v>
      </c>
      <c r="F566" t="s">
        <v>35</v>
      </c>
      <c r="G566" t="s">
        <v>31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0</v>
      </c>
      <c r="P566">
        <v>67.5</v>
      </c>
      <c r="R566">
        <v>0</v>
      </c>
      <c r="T566">
        <v>1</v>
      </c>
      <c r="V566">
        <v>0</v>
      </c>
      <c r="X566">
        <v>0</v>
      </c>
      <c r="Z566">
        <v>1</v>
      </c>
    </row>
    <row r="567" spans="1:26" x14ac:dyDescent="0.3">
      <c r="A567" t="s">
        <v>607</v>
      </c>
      <c r="B567">
        <v>45745</v>
      </c>
      <c r="C567" t="s">
        <v>27</v>
      </c>
      <c r="D567" t="s">
        <v>38</v>
      </c>
      <c r="E567" t="s">
        <v>34</v>
      </c>
      <c r="F567" t="s">
        <v>51</v>
      </c>
      <c r="G567" t="s">
        <v>40</v>
      </c>
      <c r="H567">
        <v>1</v>
      </c>
      <c r="I567">
        <v>1</v>
      </c>
      <c r="J567">
        <v>1</v>
      </c>
      <c r="K567">
        <v>0</v>
      </c>
      <c r="L567">
        <v>0</v>
      </c>
      <c r="M567">
        <v>0</v>
      </c>
      <c r="N567">
        <v>0</v>
      </c>
      <c r="P567">
        <v>69.900000000000006</v>
      </c>
      <c r="R567">
        <v>0</v>
      </c>
      <c r="T567">
        <v>1</v>
      </c>
      <c r="V567">
        <v>1</v>
      </c>
      <c r="X567">
        <v>1</v>
      </c>
      <c r="Z567">
        <v>0</v>
      </c>
    </row>
    <row r="568" spans="1:26" x14ac:dyDescent="0.3">
      <c r="A568" t="s">
        <v>608</v>
      </c>
      <c r="B568">
        <v>45711</v>
      </c>
      <c r="C568" t="s">
        <v>27</v>
      </c>
      <c r="D568" t="s">
        <v>28</v>
      </c>
      <c r="E568" t="s">
        <v>44</v>
      </c>
      <c r="F568" t="s">
        <v>49</v>
      </c>
      <c r="G568" t="s">
        <v>31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P568">
        <v>65.099999999999994</v>
      </c>
      <c r="R568">
        <v>0</v>
      </c>
      <c r="T568">
        <v>1</v>
      </c>
      <c r="V568">
        <v>0</v>
      </c>
      <c r="X568">
        <v>0</v>
      </c>
      <c r="Z568">
        <v>0</v>
      </c>
    </row>
    <row r="569" spans="1:26" x14ac:dyDescent="0.3">
      <c r="A569" t="s">
        <v>609</v>
      </c>
      <c r="B569">
        <v>45704</v>
      </c>
      <c r="C569" t="s">
        <v>27</v>
      </c>
      <c r="D569" t="s">
        <v>33</v>
      </c>
      <c r="E569" t="s">
        <v>34</v>
      </c>
      <c r="F569" t="s">
        <v>39</v>
      </c>
      <c r="G569" t="s">
        <v>40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P569">
        <v>48.7</v>
      </c>
      <c r="R569">
        <v>0</v>
      </c>
      <c r="T569">
        <v>1</v>
      </c>
      <c r="V569">
        <v>0</v>
      </c>
      <c r="X569">
        <v>0</v>
      </c>
      <c r="Z569">
        <v>0</v>
      </c>
    </row>
    <row r="570" spans="1:26" x14ac:dyDescent="0.3">
      <c r="A570" t="s">
        <v>610</v>
      </c>
      <c r="B570">
        <v>45709</v>
      </c>
      <c r="C570" t="s">
        <v>27</v>
      </c>
      <c r="D570" t="s">
        <v>33</v>
      </c>
      <c r="E570" t="s">
        <v>29</v>
      </c>
      <c r="F570" t="s">
        <v>35</v>
      </c>
      <c r="G570" t="s">
        <v>31</v>
      </c>
      <c r="H570">
        <v>1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P570">
        <v>47.2</v>
      </c>
      <c r="R570">
        <v>0</v>
      </c>
      <c r="T570">
        <v>1</v>
      </c>
      <c r="V570">
        <v>1</v>
      </c>
      <c r="X570">
        <v>0</v>
      </c>
      <c r="Z570">
        <v>0</v>
      </c>
    </row>
    <row r="571" spans="1:26" x14ac:dyDescent="0.3">
      <c r="A571" t="s">
        <v>611</v>
      </c>
      <c r="B571">
        <v>45664</v>
      </c>
      <c r="C571" t="s">
        <v>27</v>
      </c>
      <c r="D571" t="s">
        <v>28</v>
      </c>
      <c r="E571" t="s">
        <v>34</v>
      </c>
      <c r="F571" t="s">
        <v>49</v>
      </c>
      <c r="G571" t="s">
        <v>36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2</v>
      </c>
      <c r="N571">
        <v>0</v>
      </c>
      <c r="P571">
        <v>20.3</v>
      </c>
      <c r="R571">
        <v>0</v>
      </c>
      <c r="T571">
        <v>1</v>
      </c>
      <c r="V571">
        <v>0</v>
      </c>
      <c r="X571">
        <v>0</v>
      </c>
      <c r="Z571">
        <v>2</v>
      </c>
    </row>
    <row r="572" spans="1:26" x14ac:dyDescent="0.3">
      <c r="A572" t="s">
        <v>612</v>
      </c>
      <c r="B572">
        <v>45722</v>
      </c>
      <c r="C572" t="s">
        <v>27</v>
      </c>
      <c r="D572" t="s">
        <v>33</v>
      </c>
      <c r="E572" t="s">
        <v>34</v>
      </c>
      <c r="F572" t="s">
        <v>39</v>
      </c>
      <c r="G572" t="s">
        <v>36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</v>
      </c>
      <c r="N572">
        <v>0</v>
      </c>
      <c r="P572">
        <v>57.8</v>
      </c>
      <c r="R572">
        <v>0</v>
      </c>
      <c r="T572">
        <v>0</v>
      </c>
      <c r="V572">
        <v>0</v>
      </c>
      <c r="X572">
        <v>0</v>
      </c>
      <c r="Z572">
        <v>1</v>
      </c>
    </row>
    <row r="573" spans="1:26" x14ac:dyDescent="0.3">
      <c r="A573" t="s">
        <v>613</v>
      </c>
      <c r="B573">
        <v>45746</v>
      </c>
      <c r="C573" t="s">
        <v>27</v>
      </c>
      <c r="D573" t="s">
        <v>38</v>
      </c>
      <c r="E573" t="s">
        <v>34</v>
      </c>
      <c r="F573" t="s">
        <v>30</v>
      </c>
      <c r="G573" t="s">
        <v>31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P573">
        <v>78.7</v>
      </c>
      <c r="R573">
        <v>0</v>
      </c>
      <c r="T573">
        <v>1</v>
      </c>
      <c r="V573">
        <v>0</v>
      </c>
      <c r="X573">
        <v>0</v>
      </c>
      <c r="Z573">
        <v>0</v>
      </c>
    </row>
    <row r="574" spans="1:26" x14ac:dyDescent="0.3">
      <c r="A574" t="s">
        <v>614</v>
      </c>
      <c r="B574">
        <v>45808</v>
      </c>
      <c r="C574" t="s">
        <v>27</v>
      </c>
      <c r="D574" t="s">
        <v>42</v>
      </c>
      <c r="E574" t="s">
        <v>29</v>
      </c>
      <c r="F574" t="s">
        <v>35</v>
      </c>
      <c r="G574" t="s">
        <v>36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P574">
        <v>63.6</v>
      </c>
      <c r="R574">
        <v>0</v>
      </c>
      <c r="T574">
        <v>1</v>
      </c>
      <c r="V574">
        <v>0</v>
      </c>
      <c r="X574">
        <v>0</v>
      </c>
      <c r="Z574">
        <v>0</v>
      </c>
    </row>
    <row r="575" spans="1:26" x14ac:dyDescent="0.3">
      <c r="A575" t="s">
        <v>615</v>
      </c>
      <c r="B575">
        <v>45708</v>
      </c>
      <c r="C575" t="s">
        <v>27</v>
      </c>
      <c r="D575" t="s">
        <v>42</v>
      </c>
      <c r="E575" t="s">
        <v>34</v>
      </c>
      <c r="F575" t="s">
        <v>30</v>
      </c>
      <c r="G575" t="s">
        <v>36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2</v>
      </c>
      <c r="N575">
        <v>0</v>
      </c>
      <c r="P575">
        <v>45.1</v>
      </c>
      <c r="R575">
        <v>0</v>
      </c>
      <c r="T575">
        <v>0</v>
      </c>
      <c r="V575">
        <v>0</v>
      </c>
      <c r="X575">
        <v>0</v>
      </c>
      <c r="Z575">
        <v>2</v>
      </c>
    </row>
    <row r="576" spans="1:26" x14ac:dyDescent="0.3">
      <c r="A576" t="s">
        <v>616</v>
      </c>
      <c r="B576">
        <v>45670</v>
      </c>
      <c r="C576" t="s">
        <v>27</v>
      </c>
      <c r="D576" t="s">
        <v>33</v>
      </c>
      <c r="E576" t="s">
        <v>34</v>
      </c>
      <c r="F576" t="s">
        <v>51</v>
      </c>
      <c r="G576" t="s">
        <v>36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P576">
        <v>77.5</v>
      </c>
      <c r="R576">
        <v>0</v>
      </c>
      <c r="T576">
        <v>0</v>
      </c>
      <c r="V576">
        <v>0</v>
      </c>
      <c r="X576">
        <v>0</v>
      </c>
      <c r="Z576">
        <v>0</v>
      </c>
    </row>
    <row r="577" spans="1:26" x14ac:dyDescent="0.3">
      <c r="A577" t="s">
        <v>617</v>
      </c>
      <c r="B577">
        <v>45790</v>
      </c>
      <c r="C577" t="s">
        <v>27</v>
      </c>
      <c r="D577" t="s">
        <v>38</v>
      </c>
      <c r="E577" t="s">
        <v>29</v>
      </c>
      <c r="F577" t="s">
        <v>39</v>
      </c>
      <c r="G577" t="s">
        <v>31</v>
      </c>
      <c r="H577">
        <v>1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P577">
        <v>58</v>
      </c>
      <c r="R577">
        <v>0</v>
      </c>
      <c r="T577">
        <v>1</v>
      </c>
      <c r="V577">
        <v>1</v>
      </c>
      <c r="X577">
        <v>0</v>
      </c>
      <c r="Z577">
        <v>0</v>
      </c>
    </row>
    <row r="578" spans="1:26" x14ac:dyDescent="0.3">
      <c r="A578" t="s">
        <v>618</v>
      </c>
      <c r="B578">
        <v>45768</v>
      </c>
      <c r="C578" t="s">
        <v>27</v>
      </c>
      <c r="D578" t="s">
        <v>42</v>
      </c>
      <c r="E578" t="s">
        <v>44</v>
      </c>
      <c r="F578" t="s">
        <v>35</v>
      </c>
      <c r="G578" t="s">
        <v>36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P578">
        <v>68.099999999999994</v>
      </c>
      <c r="R578">
        <v>0</v>
      </c>
      <c r="T578">
        <v>1</v>
      </c>
      <c r="V578">
        <v>0</v>
      </c>
      <c r="X578">
        <v>0</v>
      </c>
      <c r="Z578">
        <v>0</v>
      </c>
    </row>
    <row r="579" spans="1:26" x14ac:dyDescent="0.3">
      <c r="A579" t="s">
        <v>619</v>
      </c>
      <c r="B579">
        <v>45717</v>
      </c>
      <c r="C579" t="s">
        <v>27</v>
      </c>
      <c r="D579" t="s">
        <v>38</v>
      </c>
      <c r="E579" t="s">
        <v>44</v>
      </c>
      <c r="F579" t="s">
        <v>35</v>
      </c>
      <c r="G579" t="s">
        <v>40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P579">
        <v>35.4</v>
      </c>
      <c r="R579">
        <v>0</v>
      </c>
      <c r="T579">
        <v>1</v>
      </c>
      <c r="V579">
        <v>0</v>
      </c>
      <c r="X579">
        <v>0</v>
      </c>
      <c r="Z579">
        <v>0</v>
      </c>
    </row>
    <row r="580" spans="1:26" x14ac:dyDescent="0.3">
      <c r="A580" t="s">
        <v>620</v>
      </c>
      <c r="B580">
        <v>45726</v>
      </c>
      <c r="C580" t="s">
        <v>27</v>
      </c>
      <c r="D580" t="s">
        <v>33</v>
      </c>
      <c r="E580" t="s">
        <v>44</v>
      </c>
      <c r="F580" t="s">
        <v>35</v>
      </c>
      <c r="G580" t="s">
        <v>36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P580">
        <v>47</v>
      </c>
      <c r="R580">
        <v>0</v>
      </c>
      <c r="T580">
        <v>0</v>
      </c>
      <c r="V580">
        <v>0</v>
      </c>
      <c r="X580">
        <v>0</v>
      </c>
      <c r="Z580">
        <v>0</v>
      </c>
    </row>
    <row r="581" spans="1:26" x14ac:dyDescent="0.3">
      <c r="A581" t="s">
        <v>621</v>
      </c>
      <c r="B581">
        <v>45724</v>
      </c>
      <c r="C581" t="s">
        <v>27</v>
      </c>
      <c r="D581" t="s">
        <v>38</v>
      </c>
      <c r="E581" t="s">
        <v>29</v>
      </c>
      <c r="F581" t="s">
        <v>39</v>
      </c>
      <c r="G581" t="s">
        <v>36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P581">
        <v>75</v>
      </c>
      <c r="R581">
        <v>0</v>
      </c>
      <c r="T581">
        <v>0</v>
      </c>
      <c r="V581">
        <v>0</v>
      </c>
      <c r="X581">
        <v>0</v>
      </c>
      <c r="Z581">
        <v>0</v>
      </c>
    </row>
    <row r="582" spans="1:26" x14ac:dyDescent="0.3">
      <c r="A582" t="s">
        <v>622</v>
      </c>
      <c r="B582">
        <v>45803</v>
      </c>
      <c r="C582" t="s">
        <v>27</v>
      </c>
      <c r="D582" t="s">
        <v>42</v>
      </c>
      <c r="E582" t="s">
        <v>29</v>
      </c>
      <c r="F582" t="s">
        <v>39</v>
      </c>
      <c r="G582" t="s">
        <v>36</v>
      </c>
      <c r="H582">
        <v>1</v>
      </c>
      <c r="I582">
        <v>1</v>
      </c>
      <c r="J582">
        <v>1</v>
      </c>
      <c r="K582">
        <v>0</v>
      </c>
      <c r="L582">
        <v>0</v>
      </c>
      <c r="M582">
        <v>3</v>
      </c>
      <c r="N582">
        <v>0</v>
      </c>
      <c r="P582">
        <v>50.2</v>
      </c>
      <c r="R582">
        <v>0</v>
      </c>
      <c r="T582">
        <v>1</v>
      </c>
      <c r="V582">
        <v>1</v>
      </c>
      <c r="X582">
        <v>1</v>
      </c>
      <c r="Z582">
        <v>3</v>
      </c>
    </row>
    <row r="583" spans="1:26" x14ac:dyDescent="0.3">
      <c r="A583" t="s">
        <v>623</v>
      </c>
      <c r="B583">
        <v>45797</v>
      </c>
      <c r="C583" t="s">
        <v>27</v>
      </c>
      <c r="D583" t="s">
        <v>38</v>
      </c>
      <c r="E583" t="s">
        <v>29</v>
      </c>
      <c r="F583" t="s">
        <v>39</v>
      </c>
      <c r="G583" t="s">
        <v>36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P583">
        <v>40.1</v>
      </c>
      <c r="R583">
        <v>0</v>
      </c>
      <c r="T583">
        <v>1</v>
      </c>
      <c r="V583">
        <v>0</v>
      </c>
      <c r="X583">
        <v>0</v>
      </c>
      <c r="Z583">
        <v>0</v>
      </c>
    </row>
    <row r="584" spans="1:26" x14ac:dyDescent="0.3">
      <c r="A584" t="s">
        <v>624</v>
      </c>
      <c r="B584">
        <v>45738</v>
      </c>
      <c r="C584" t="s">
        <v>27</v>
      </c>
      <c r="D584" t="s">
        <v>33</v>
      </c>
      <c r="E584" t="s">
        <v>29</v>
      </c>
      <c r="F584" t="s">
        <v>39</v>
      </c>
      <c r="G584" t="s">
        <v>36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P584">
        <v>61.1</v>
      </c>
      <c r="R584">
        <v>0</v>
      </c>
      <c r="T584">
        <v>0</v>
      </c>
      <c r="V584">
        <v>0</v>
      </c>
      <c r="X584">
        <v>0</v>
      </c>
      <c r="Z584">
        <v>0</v>
      </c>
    </row>
    <row r="585" spans="1:26" x14ac:dyDescent="0.3">
      <c r="A585" t="s">
        <v>625</v>
      </c>
      <c r="B585">
        <v>45703</v>
      </c>
      <c r="C585" t="s">
        <v>27</v>
      </c>
      <c r="D585" t="s">
        <v>42</v>
      </c>
      <c r="E585" t="s">
        <v>29</v>
      </c>
      <c r="F585" t="s">
        <v>39</v>
      </c>
      <c r="G585" t="s">
        <v>36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P585">
        <v>42.4</v>
      </c>
      <c r="R585">
        <v>0</v>
      </c>
      <c r="T585">
        <v>0</v>
      </c>
      <c r="V585">
        <v>0</v>
      </c>
      <c r="X585">
        <v>0</v>
      </c>
      <c r="Z585">
        <v>0</v>
      </c>
    </row>
    <row r="586" spans="1:26" x14ac:dyDescent="0.3">
      <c r="A586" t="s">
        <v>626</v>
      </c>
      <c r="B586">
        <v>45665</v>
      </c>
      <c r="C586" t="s">
        <v>27</v>
      </c>
      <c r="D586" t="s">
        <v>28</v>
      </c>
      <c r="E586" t="s">
        <v>34</v>
      </c>
      <c r="F586" t="s">
        <v>51</v>
      </c>
      <c r="G586" t="s">
        <v>36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0</v>
      </c>
      <c r="P586">
        <v>46.6</v>
      </c>
      <c r="R586">
        <v>0</v>
      </c>
      <c r="T586">
        <v>0</v>
      </c>
      <c r="V586">
        <v>0</v>
      </c>
      <c r="X586">
        <v>0</v>
      </c>
      <c r="Z586">
        <v>1</v>
      </c>
    </row>
    <row r="587" spans="1:26" x14ac:dyDescent="0.3">
      <c r="A587" t="s">
        <v>627</v>
      </c>
      <c r="B587">
        <v>45686</v>
      </c>
      <c r="C587" t="s">
        <v>27</v>
      </c>
      <c r="D587" t="s">
        <v>42</v>
      </c>
      <c r="E587" t="s">
        <v>34</v>
      </c>
      <c r="F587" t="s">
        <v>35</v>
      </c>
      <c r="G587" t="s">
        <v>40</v>
      </c>
      <c r="H587">
        <v>1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P587">
        <v>72.099999999999994</v>
      </c>
      <c r="R587">
        <v>0</v>
      </c>
      <c r="T587">
        <v>1</v>
      </c>
      <c r="V587">
        <v>1</v>
      </c>
      <c r="X587">
        <v>0</v>
      </c>
      <c r="Z587">
        <v>0</v>
      </c>
    </row>
    <row r="588" spans="1:26" x14ac:dyDescent="0.3">
      <c r="A588" t="s">
        <v>628</v>
      </c>
      <c r="B588">
        <v>45784</v>
      </c>
      <c r="C588" t="s">
        <v>27</v>
      </c>
      <c r="D588" t="s">
        <v>38</v>
      </c>
      <c r="E588" t="s">
        <v>44</v>
      </c>
      <c r="F588" t="s">
        <v>35</v>
      </c>
      <c r="G588" t="s">
        <v>36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P588">
        <v>21.5</v>
      </c>
      <c r="R588">
        <v>0</v>
      </c>
      <c r="T588">
        <v>0</v>
      </c>
      <c r="V588">
        <v>0</v>
      </c>
      <c r="X588">
        <v>0</v>
      </c>
      <c r="Z588">
        <v>0</v>
      </c>
    </row>
    <row r="589" spans="1:26" x14ac:dyDescent="0.3">
      <c r="A589" t="s">
        <v>629</v>
      </c>
      <c r="B589">
        <v>45717</v>
      </c>
      <c r="C589" t="s">
        <v>27</v>
      </c>
      <c r="D589" t="s">
        <v>28</v>
      </c>
      <c r="E589" t="s">
        <v>34</v>
      </c>
      <c r="F589" t="s">
        <v>51</v>
      </c>
      <c r="G589" t="s">
        <v>31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0</v>
      </c>
      <c r="P589">
        <v>65.400000000000006</v>
      </c>
      <c r="R589">
        <v>0</v>
      </c>
      <c r="T589">
        <v>1</v>
      </c>
      <c r="V589">
        <v>0</v>
      </c>
      <c r="X589">
        <v>0</v>
      </c>
      <c r="Z589">
        <v>1</v>
      </c>
    </row>
    <row r="590" spans="1:26" x14ac:dyDescent="0.3">
      <c r="A590" t="s">
        <v>630</v>
      </c>
      <c r="B590">
        <v>45767</v>
      </c>
      <c r="C590" t="s">
        <v>27</v>
      </c>
      <c r="D590" t="s">
        <v>38</v>
      </c>
      <c r="E590" t="s">
        <v>34</v>
      </c>
      <c r="F590" t="s">
        <v>35</v>
      </c>
      <c r="G590" t="s">
        <v>36</v>
      </c>
      <c r="H590">
        <v>1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P590">
        <v>53.3</v>
      </c>
      <c r="R590">
        <v>0</v>
      </c>
      <c r="T590">
        <v>1</v>
      </c>
      <c r="V590">
        <v>1</v>
      </c>
      <c r="X590">
        <v>0</v>
      </c>
      <c r="Z590">
        <v>0</v>
      </c>
    </row>
    <row r="591" spans="1:26" x14ac:dyDescent="0.3">
      <c r="A591" t="s">
        <v>631</v>
      </c>
      <c r="B591">
        <v>45673</v>
      </c>
      <c r="C591" t="s">
        <v>27</v>
      </c>
      <c r="D591" t="s">
        <v>38</v>
      </c>
      <c r="E591" t="s">
        <v>34</v>
      </c>
      <c r="F591" t="s">
        <v>35</v>
      </c>
      <c r="G591" t="s">
        <v>40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2</v>
      </c>
      <c r="N591">
        <v>0</v>
      </c>
      <c r="P591">
        <v>52.3</v>
      </c>
      <c r="R591">
        <v>0</v>
      </c>
      <c r="T591">
        <v>0</v>
      </c>
      <c r="V591">
        <v>0</v>
      </c>
      <c r="X591">
        <v>0</v>
      </c>
      <c r="Z591">
        <v>2</v>
      </c>
    </row>
    <row r="592" spans="1:26" x14ac:dyDescent="0.3">
      <c r="A592" t="s">
        <v>632</v>
      </c>
      <c r="B592">
        <v>45751</v>
      </c>
      <c r="C592" t="s">
        <v>27</v>
      </c>
      <c r="D592" t="s">
        <v>38</v>
      </c>
      <c r="E592" t="s">
        <v>34</v>
      </c>
      <c r="F592" t="s">
        <v>39</v>
      </c>
      <c r="G592" t="s">
        <v>36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P592">
        <v>62.5</v>
      </c>
      <c r="R592">
        <v>0</v>
      </c>
      <c r="T592">
        <v>1</v>
      </c>
      <c r="V592">
        <v>0</v>
      </c>
      <c r="X592">
        <v>0</v>
      </c>
      <c r="Z592">
        <v>0</v>
      </c>
    </row>
    <row r="593" spans="1:26" x14ac:dyDescent="0.3">
      <c r="A593" t="s">
        <v>633</v>
      </c>
      <c r="B593">
        <v>45686</v>
      </c>
      <c r="C593" t="s">
        <v>27</v>
      </c>
      <c r="D593" t="s">
        <v>28</v>
      </c>
      <c r="E593" t="s">
        <v>44</v>
      </c>
      <c r="F593" t="s">
        <v>51</v>
      </c>
      <c r="G593" t="s">
        <v>36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P593">
        <v>69.8</v>
      </c>
      <c r="R593">
        <v>0</v>
      </c>
      <c r="T593">
        <v>1</v>
      </c>
      <c r="V593">
        <v>0</v>
      </c>
      <c r="X593">
        <v>0</v>
      </c>
      <c r="Z593">
        <v>0</v>
      </c>
    </row>
    <row r="594" spans="1:26" x14ac:dyDescent="0.3">
      <c r="A594" t="s">
        <v>634</v>
      </c>
      <c r="B594">
        <v>45766</v>
      </c>
      <c r="C594" t="s">
        <v>27</v>
      </c>
      <c r="D594" t="s">
        <v>38</v>
      </c>
      <c r="E594" t="s">
        <v>34</v>
      </c>
      <c r="F594" t="s">
        <v>30</v>
      </c>
      <c r="G594" t="s">
        <v>36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P594">
        <v>68.2</v>
      </c>
      <c r="R594">
        <v>0</v>
      </c>
      <c r="T594">
        <v>1</v>
      </c>
      <c r="V594">
        <v>0</v>
      </c>
      <c r="X594">
        <v>0</v>
      </c>
      <c r="Z594">
        <v>0</v>
      </c>
    </row>
    <row r="595" spans="1:26" x14ac:dyDescent="0.3">
      <c r="A595" t="s">
        <v>635</v>
      </c>
      <c r="B595">
        <v>45726</v>
      </c>
      <c r="C595" t="s">
        <v>27</v>
      </c>
      <c r="D595" t="s">
        <v>42</v>
      </c>
      <c r="E595" t="s">
        <v>34</v>
      </c>
      <c r="F595" t="s">
        <v>51</v>
      </c>
      <c r="G595" t="s">
        <v>31</v>
      </c>
      <c r="H595">
        <v>1</v>
      </c>
      <c r="I595">
        <v>1</v>
      </c>
      <c r="J595">
        <v>1</v>
      </c>
      <c r="K595">
        <v>1</v>
      </c>
      <c r="L595">
        <v>751.73</v>
      </c>
      <c r="M595">
        <v>0</v>
      </c>
      <c r="N595">
        <v>0</v>
      </c>
      <c r="O595">
        <v>6</v>
      </c>
      <c r="P595">
        <v>35.200000000000003</v>
      </c>
      <c r="R595">
        <v>1</v>
      </c>
      <c r="T595">
        <v>1</v>
      </c>
      <c r="V595">
        <v>1</v>
      </c>
      <c r="X595">
        <v>1</v>
      </c>
      <c r="Z595">
        <v>0</v>
      </c>
    </row>
    <row r="596" spans="1:26" x14ac:dyDescent="0.3">
      <c r="A596" t="s">
        <v>636</v>
      </c>
      <c r="B596">
        <v>45787</v>
      </c>
      <c r="C596" t="s">
        <v>27</v>
      </c>
      <c r="D596" t="s">
        <v>42</v>
      </c>
      <c r="E596" t="s">
        <v>34</v>
      </c>
      <c r="F596" t="s">
        <v>51</v>
      </c>
      <c r="G596" t="s">
        <v>31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P596">
        <v>59.3</v>
      </c>
      <c r="R596">
        <v>0</v>
      </c>
      <c r="T596">
        <v>0</v>
      </c>
      <c r="V596">
        <v>0</v>
      </c>
      <c r="X596">
        <v>0</v>
      </c>
      <c r="Z596">
        <v>0</v>
      </c>
    </row>
    <row r="597" spans="1:26" x14ac:dyDescent="0.3">
      <c r="A597" t="s">
        <v>637</v>
      </c>
      <c r="B597">
        <v>45690</v>
      </c>
      <c r="C597" t="s">
        <v>27</v>
      </c>
      <c r="D597" t="s">
        <v>28</v>
      </c>
      <c r="E597" t="s">
        <v>34</v>
      </c>
      <c r="F597" t="s">
        <v>51</v>
      </c>
      <c r="G597" t="s">
        <v>36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P597">
        <v>68.099999999999994</v>
      </c>
      <c r="R597">
        <v>0</v>
      </c>
      <c r="T597">
        <v>0</v>
      </c>
      <c r="V597">
        <v>0</v>
      </c>
      <c r="X597">
        <v>0</v>
      </c>
      <c r="Z597">
        <v>0</v>
      </c>
    </row>
    <row r="598" spans="1:26" x14ac:dyDescent="0.3">
      <c r="A598" t="s">
        <v>638</v>
      </c>
      <c r="B598">
        <v>45783</v>
      </c>
      <c r="C598" t="s">
        <v>27</v>
      </c>
      <c r="D598" t="s">
        <v>28</v>
      </c>
      <c r="E598" t="s">
        <v>29</v>
      </c>
      <c r="F598" t="s">
        <v>35</v>
      </c>
      <c r="G598" t="s">
        <v>36</v>
      </c>
      <c r="H598">
        <v>1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P598">
        <v>74.8</v>
      </c>
      <c r="R598">
        <v>0</v>
      </c>
      <c r="T598">
        <v>1</v>
      </c>
      <c r="V598">
        <v>1</v>
      </c>
      <c r="X598">
        <v>0</v>
      </c>
      <c r="Z598">
        <v>0</v>
      </c>
    </row>
    <row r="599" spans="1:26" x14ac:dyDescent="0.3">
      <c r="A599" t="s">
        <v>639</v>
      </c>
      <c r="B599">
        <v>45676</v>
      </c>
      <c r="C599" t="s">
        <v>27</v>
      </c>
      <c r="D599" t="s">
        <v>33</v>
      </c>
      <c r="E599" t="s">
        <v>29</v>
      </c>
      <c r="F599" t="s">
        <v>35</v>
      </c>
      <c r="G599" t="s">
        <v>36</v>
      </c>
      <c r="H599">
        <v>1</v>
      </c>
      <c r="I599">
        <v>1</v>
      </c>
      <c r="J599">
        <v>1</v>
      </c>
      <c r="K599">
        <v>0</v>
      </c>
      <c r="L599">
        <v>0</v>
      </c>
      <c r="M599">
        <v>0</v>
      </c>
      <c r="N599">
        <v>0</v>
      </c>
      <c r="P599">
        <v>61.7</v>
      </c>
      <c r="R599">
        <v>0</v>
      </c>
      <c r="T599">
        <v>1</v>
      </c>
      <c r="V599">
        <v>1</v>
      </c>
      <c r="X599">
        <v>1</v>
      </c>
      <c r="Z599">
        <v>0</v>
      </c>
    </row>
    <row r="600" spans="1:26" x14ac:dyDescent="0.3">
      <c r="A600" t="s">
        <v>640</v>
      </c>
      <c r="B600">
        <v>45659</v>
      </c>
      <c r="C600" t="s">
        <v>27</v>
      </c>
      <c r="D600" t="s">
        <v>28</v>
      </c>
      <c r="E600" t="s">
        <v>34</v>
      </c>
      <c r="F600" t="s">
        <v>35</v>
      </c>
      <c r="G600" t="s">
        <v>36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P600">
        <v>24.3</v>
      </c>
      <c r="R600">
        <v>0</v>
      </c>
      <c r="T600">
        <v>1</v>
      </c>
      <c r="V600">
        <v>0</v>
      </c>
      <c r="X600">
        <v>0</v>
      </c>
      <c r="Z600">
        <v>0</v>
      </c>
    </row>
    <row r="601" spans="1:26" x14ac:dyDescent="0.3">
      <c r="A601" t="s">
        <v>641</v>
      </c>
      <c r="B601">
        <v>45780</v>
      </c>
      <c r="C601" t="s">
        <v>27</v>
      </c>
      <c r="D601" t="s">
        <v>42</v>
      </c>
      <c r="E601" t="s">
        <v>29</v>
      </c>
      <c r="F601" t="s">
        <v>39</v>
      </c>
      <c r="G601" t="s">
        <v>36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0</v>
      </c>
      <c r="P601">
        <v>61.9</v>
      </c>
      <c r="R601">
        <v>0</v>
      </c>
      <c r="T601">
        <v>0</v>
      </c>
      <c r="V601">
        <v>0</v>
      </c>
      <c r="X601">
        <v>0</v>
      </c>
      <c r="Z601">
        <v>1</v>
      </c>
    </row>
    <row r="602" spans="1:26" x14ac:dyDescent="0.3">
      <c r="A602" t="s">
        <v>642</v>
      </c>
      <c r="B602">
        <v>45804</v>
      </c>
      <c r="C602" t="s">
        <v>27</v>
      </c>
      <c r="D602" t="s">
        <v>38</v>
      </c>
      <c r="E602" t="s">
        <v>29</v>
      </c>
      <c r="F602" t="s">
        <v>49</v>
      </c>
      <c r="G602" t="s">
        <v>40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</v>
      </c>
      <c r="N602">
        <v>0</v>
      </c>
      <c r="P602">
        <v>41.7</v>
      </c>
      <c r="R602">
        <v>0</v>
      </c>
      <c r="T602">
        <v>0</v>
      </c>
      <c r="V602">
        <v>0</v>
      </c>
      <c r="X602">
        <v>0</v>
      </c>
      <c r="Z602">
        <v>2</v>
      </c>
    </row>
    <row r="603" spans="1:26" x14ac:dyDescent="0.3">
      <c r="A603" t="s">
        <v>643</v>
      </c>
      <c r="B603">
        <v>45697</v>
      </c>
      <c r="C603" t="s">
        <v>27</v>
      </c>
      <c r="D603" t="s">
        <v>42</v>
      </c>
      <c r="E603" t="s">
        <v>29</v>
      </c>
      <c r="F603" t="s">
        <v>51</v>
      </c>
      <c r="G603" t="s">
        <v>36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P603">
        <v>87.6</v>
      </c>
      <c r="R603">
        <v>0</v>
      </c>
      <c r="T603">
        <v>1</v>
      </c>
      <c r="V603">
        <v>0</v>
      </c>
      <c r="X603">
        <v>0</v>
      </c>
      <c r="Z603">
        <v>0</v>
      </c>
    </row>
    <row r="604" spans="1:26" x14ac:dyDescent="0.3">
      <c r="A604" t="s">
        <v>644</v>
      </c>
      <c r="B604">
        <v>45795</v>
      </c>
      <c r="C604" t="s">
        <v>27</v>
      </c>
      <c r="D604" t="s">
        <v>38</v>
      </c>
      <c r="E604" t="s">
        <v>34</v>
      </c>
      <c r="F604" t="s">
        <v>39</v>
      </c>
      <c r="G604" t="s">
        <v>36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P604">
        <v>30.8</v>
      </c>
      <c r="R604">
        <v>0</v>
      </c>
      <c r="T604">
        <v>1</v>
      </c>
      <c r="V604">
        <v>0</v>
      </c>
      <c r="X604">
        <v>0</v>
      </c>
      <c r="Z604">
        <v>0</v>
      </c>
    </row>
    <row r="605" spans="1:26" x14ac:dyDescent="0.3">
      <c r="A605" t="s">
        <v>645</v>
      </c>
      <c r="B605">
        <v>45794</v>
      </c>
      <c r="C605" t="s">
        <v>27</v>
      </c>
      <c r="D605" t="s">
        <v>28</v>
      </c>
      <c r="E605" t="s">
        <v>34</v>
      </c>
      <c r="F605" t="s">
        <v>30</v>
      </c>
      <c r="G605" t="s">
        <v>36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P605">
        <v>54</v>
      </c>
      <c r="R605">
        <v>0</v>
      </c>
      <c r="T605">
        <v>0</v>
      </c>
      <c r="V605">
        <v>0</v>
      </c>
      <c r="X605">
        <v>0</v>
      </c>
      <c r="Z605">
        <v>0</v>
      </c>
    </row>
    <row r="606" spans="1:26" x14ac:dyDescent="0.3">
      <c r="A606" t="s">
        <v>646</v>
      </c>
      <c r="B606">
        <v>45682</v>
      </c>
      <c r="C606" t="s">
        <v>27</v>
      </c>
      <c r="D606" t="s">
        <v>38</v>
      </c>
      <c r="E606" t="s">
        <v>29</v>
      </c>
      <c r="F606" t="s">
        <v>49</v>
      </c>
      <c r="G606" t="s">
        <v>31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1</v>
      </c>
      <c r="N606">
        <v>0</v>
      </c>
      <c r="P606">
        <v>54.5</v>
      </c>
      <c r="R606">
        <v>0</v>
      </c>
      <c r="T606">
        <v>1</v>
      </c>
      <c r="V606">
        <v>0</v>
      </c>
      <c r="X606">
        <v>0</v>
      </c>
      <c r="Z606">
        <v>1</v>
      </c>
    </row>
    <row r="607" spans="1:26" x14ac:dyDescent="0.3">
      <c r="A607" t="s">
        <v>647</v>
      </c>
      <c r="B607">
        <v>45781</v>
      </c>
      <c r="C607" t="s">
        <v>27</v>
      </c>
      <c r="D607" t="s">
        <v>33</v>
      </c>
      <c r="E607" t="s">
        <v>34</v>
      </c>
      <c r="F607" t="s">
        <v>39</v>
      </c>
      <c r="G607" t="s">
        <v>40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P607">
        <v>61.3</v>
      </c>
      <c r="R607">
        <v>0</v>
      </c>
      <c r="T607">
        <v>1</v>
      </c>
      <c r="V607">
        <v>1</v>
      </c>
      <c r="X607">
        <v>0</v>
      </c>
      <c r="Z607">
        <v>0</v>
      </c>
    </row>
    <row r="608" spans="1:26" x14ac:dyDescent="0.3">
      <c r="A608" t="s">
        <v>648</v>
      </c>
      <c r="B608">
        <v>45761</v>
      </c>
      <c r="C608" t="s">
        <v>27</v>
      </c>
      <c r="D608" t="s">
        <v>33</v>
      </c>
      <c r="E608" t="s">
        <v>34</v>
      </c>
      <c r="F608" t="s">
        <v>35</v>
      </c>
      <c r="G608" t="s">
        <v>36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P608">
        <v>62.7</v>
      </c>
      <c r="R608">
        <v>0</v>
      </c>
      <c r="T608">
        <v>1</v>
      </c>
      <c r="V608">
        <v>0</v>
      </c>
      <c r="X608">
        <v>0</v>
      </c>
      <c r="Z608">
        <v>0</v>
      </c>
    </row>
    <row r="609" spans="1:26" x14ac:dyDescent="0.3">
      <c r="A609" t="s">
        <v>649</v>
      </c>
      <c r="B609">
        <v>45765</v>
      </c>
      <c r="C609" t="s">
        <v>27</v>
      </c>
      <c r="D609" t="s">
        <v>42</v>
      </c>
      <c r="E609" t="s">
        <v>34</v>
      </c>
      <c r="F609" t="s">
        <v>39</v>
      </c>
      <c r="G609" t="s">
        <v>36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P609">
        <v>43.1</v>
      </c>
      <c r="R609">
        <v>0</v>
      </c>
      <c r="T609">
        <v>1</v>
      </c>
      <c r="V609">
        <v>1</v>
      </c>
      <c r="X609">
        <v>0</v>
      </c>
      <c r="Z609">
        <v>0</v>
      </c>
    </row>
    <row r="610" spans="1:26" x14ac:dyDescent="0.3">
      <c r="A610" t="s">
        <v>650</v>
      </c>
      <c r="B610">
        <v>45712</v>
      </c>
      <c r="C610" t="s">
        <v>27</v>
      </c>
      <c r="D610" t="s">
        <v>42</v>
      </c>
      <c r="E610" t="s">
        <v>29</v>
      </c>
      <c r="F610" t="s">
        <v>30</v>
      </c>
      <c r="G610" t="s">
        <v>31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P610">
        <v>59.9</v>
      </c>
      <c r="R610">
        <v>0</v>
      </c>
      <c r="T610">
        <v>0</v>
      </c>
      <c r="V610">
        <v>0</v>
      </c>
      <c r="X610">
        <v>0</v>
      </c>
      <c r="Z610">
        <v>0</v>
      </c>
    </row>
    <row r="611" spans="1:26" x14ac:dyDescent="0.3">
      <c r="A611" t="s">
        <v>651</v>
      </c>
      <c r="B611">
        <v>45766</v>
      </c>
      <c r="C611" t="s">
        <v>27</v>
      </c>
      <c r="D611" t="s">
        <v>28</v>
      </c>
      <c r="E611" t="s">
        <v>44</v>
      </c>
      <c r="F611" t="s">
        <v>39</v>
      </c>
      <c r="G611" t="s">
        <v>36</v>
      </c>
      <c r="H611">
        <v>1</v>
      </c>
      <c r="I611">
        <v>1</v>
      </c>
      <c r="J611">
        <v>1</v>
      </c>
      <c r="K611">
        <v>0</v>
      </c>
      <c r="L611">
        <v>0</v>
      </c>
      <c r="M611">
        <v>0</v>
      </c>
      <c r="N611">
        <v>0</v>
      </c>
      <c r="P611">
        <v>55.7</v>
      </c>
      <c r="R611">
        <v>0</v>
      </c>
      <c r="T611">
        <v>1</v>
      </c>
      <c r="V611">
        <v>1</v>
      </c>
      <c r="X611">
        <v>1</v>
      </c>
      <c r="Z611">
        <v>0</v>
      </c>
    </row>
    <row r="612" spans="1:26" x14ac:dyDescent="0.3">
      <c r="A612" t="s">
        <v>652</v>
      </c>
      <c r="B612">
        <v>45723</v>
      </c>
      <c r="C612" t="s">
        <v>27</v>
      </c>
      <c r="D612" t="s">
        <v>42</v>
      </c>
      <c r="E612" t="s">
        <v>29</v>
      </c>
      <c r="F612" t="s">
        <v>35</v>
      </c>
      <c r="G612" t="s">
        <v>31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P612">
        <v>37.1</v>
      </c>
      <c r="R612">
        <v>0</v>
      </c>
      <c r="T612">
        <v>1</v>
      </c>
      <c r="V612">
        <v>0</v>
      </c>
      <c r="X612">
        <v>0</v>
      </c>
      <c r="Z612">
        <v>0</v>
      </c>
    </row>
    <row r="613" spans="1:26" x14ac:dyDescent="0.3">
      <c r="A613" t="s">
        <v>653</v>
      </c>
      <c r="B613">
        <v>45725</v>
      </c>
      <c r="C613" t="s">
        <v>27</v>
      </c>
      <c r="D613" t="s">
        <v>38</v>
      </c>
      <c r="E613" t="s">
        <v>34</v>
      </c>
      <c r="F613" t="s">
        <v>35</v>
      </c>
      <c r="G613" t="s">
        <v>31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  <c r="N613">
        <v>0</v>
      </c>
      <c r="P613">
        <v>46.7</v>
      </c>
      <c r="R613">
        <v>0</v>
      </c>
      <c r="T613">
        <v>0</v>
      </c>
      <c r="V613">
        <v>0</v>
      </c>
      <c r="X613">
        <v>0</v>
      </c>
      <c r="Z613">
        <v>1</v>
      </c>
    </row>
    <row r="614" spans="1:26" x14ac:dyDescent="0.3">
      <c r="A614" t="s">
        <v>654</v>
      </c>
      <c r="B614">
        <v>45778</v>
      </c>
      <c r="C614" t="s">
        <v>27</v>
      </c>
      <c r="D614" t="s">
        <v>42</v>
      </c>
      <c r="E614" t="s">
        <v>29</v>
      </c>
      <c r="F614" t="s">
        <v>35</v>
      </c>
      <c r="G614" t="s">
        <v>31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P614">
        <v>54.1</v>
      </c>
      <c r="R614">
        <v>0</v>
      </c>
      <c r="T614">
        <v>1</v>
      </c>
      <c r="V614">
        <v>0</v>
      </c>
      <c r="X614">
        <v>0</v>
      </c>
      <c r="Z614">
        <v>0</v>
      </c>
    </row>
    <row r="615" spans="1:26" x14ac:dyDescent="0.3">
      <c r="A615" t="s">
        <v>655</v>
      </c>
      <c r="B615">
        <v>45697</v>
      </c>
      <c r="C615" t="s">
        <v>27</v>
      </c>
      <c r="D615" t="s">
        <v>33</v>
      </c>
      <c r="E615" t="s">
        <v>29</v>
      </c>
      <c r="F615" t="s">
        <v>35</v>
      </c>
      <c r="G615" t="s">
        <v>40</v>
      </c>
      <c r="H615">
        <v>1</v>
      </c>
      <c r="I615">
        <v>1</v>
      </c>
      <c r="J615">
        <v>1</v>
      </c>
      <c r="K615">
        <v>0</v>
      </c>
      <c r="L615">
        <v>0</v>
      </c>
      <c r="M615">
        <v>0</v>
      </c>
      <c r="N615">
        <v>0</v>
      </c>
      <c r="P615">
        <v>56.1</v>
      </c>
      <c r="R615">
        <v>0</v>
      </c>
      <c r="T615">
        <v>1</v>
      </c>
      <c r="V615">
        <v>1</v>
      </c>
      <c r="X615">
        <v>1</v>
      </c>
      <c r="Z615">
        <v>0</v>
      </c>
    </row>
    <row r="616" spans="1:26" x14ac:dyDescent="0.3">
      <c r="A616" t="s">
        <v>656</v>
      </c>
      <c r="B616">
        <v>45799</v>
      </c>
      <c r="C616" t="s">
        <v>27</v>
      </c>
      <c r="D616" t="s">
        <v>33</v>
      </c>
      <c r="E616" t="s">
        <v>34</v>
      </c>
      <c r="F616" t="s">
        <v>49</v>
      </c>
      <c r="G616" t="s">
        <v>40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P616">
        <v>23.6</v>
      </c>
      <c r="R616">
        <v>0</v>
      </c>
      <c r="T616">
        <v>0</v>
      </c>
      <c r="V616">
        <v>0</v>
      </c>
      <c r="X616">
        <v>0</v>
      </c>
      <c r="Z616">
        <v>0</v>
      </c>
    </row>
    <row r="617" spans="1:26" x14ac:dyDescent="0.3">
      <c r="A617" t="s">
        <v>657</v>
      </c>
      <c r="B617">
        <v>45699</v>
      </c>
      <c r="C617" t="s">
        <v>27</v>
      </c>
      <c r="D617" t="s">
        <v>28</v>
      </c>
      <c r="E617" t="s">
        <v>34</v>
      </c>
      <c r="F617" t="s">
        <v>35</v>
      </c>
      <c r="G617" t="s">
        <v>40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P617">
        <v>54.7</v>
      </c>
      <c r="R617">
        <v>0</v>
      </c>
      <c r="T617">
        <v>0</v>
      </c>
      <c r="V617">
        <v>0</v>
      </c>
      <c r="X617">
        <v>0</v>
      </c>
      <c r="Z617">
        <v>0</v>
      </c>
    </row>
    <row r="618" spans="1:26" x14ac:dyDescent="0.3">
      <c r="A618" t="s">
        <v>658</v>
      </c>
      <c r="B618">
        <v>45759</v>
      </c>
      <c r="C618" t="s">
        <v>27</v>
      </c>
      <c r="D618" t="s">
        <v>28</v>
      </c>
      <c r="E618" t="s">
        <v>34</v>
      </c>
      <c r="F618" t="s">
        <v>49</v>
      </c>
      <c r="G618" t="s">
        <v>31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2</v>
      </c>
      <c r="N618">
        <v>0</v>
      </c>
      <c r="P618">
        <v>50.4</v>
      </c>
      <c r="R618">
        <v>0</v>
      </c>
      <c r="T618">
        <v>0</v>
      </c>
      <c r="V618">
        <v>0</v>
      </c>
      <c r="X618">
        <v>0</v>
      </c>
      <c r="Z618">
        <v>2</v>
      </c>
    </row>
    <row r="619" spans="1:26" x14ac:dyDescent="0.3">
      <c r="A619" t="s">
        <v>659</v>
      </c>
      <c r="B619">
        <v>45717</v>
      </c>
      <c r="C619" t="s">
        <v>27</v>
      </c>
      <c r="D619" t="s">
        <v>33</v>
      </c>
      <c r="E619" t="s">
        <v>34</v>
      </c>
      <c r="F619" t="s">
        <v>51</v>
      </c>
      <c r="G619" t="s">
        <v>36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P619">
        <v>54.5</v>
      </c>
      <c r="R619">
        <v>0</v>
      </c>
      <c r="T619">
        <v>1</v>
      </c>
      <c r="V619">
        <v>0</v>
      </c>
      <c r="X619">
        <v>0</v>
      </c>
      <c r="Z619">
        <v>0</v>
      </c>
    </row>
    <row r="620" spans="1:26" x14ac:dyDescent="0.3">
      <c r="A620" t="s">
        <v>660</v>
      </c>
      <c r="B620">
        <v>45733</v>
      </c>
      <c r="C620" t="s">
        <v>27</v>
      </c>
      <c r="D620" t="s">
        <v>33</v>
      </c>
      <c r="E620" t="s">
        <v>29</v>
      </c>
      <c r="F620" t="s">
        <v>30</v>
      </c>
      <c r="G620" t="s">
        <v>31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P620">
        <v>58</v>
      </c>
      <c r="R620">
        <v>0</v>
      </c>
      <c r="T620">
        <v>0</v>
      </c>
      <c r="V620">
        <v>0</v>
      </c>
      <c r="X620">
        <v>0</v>
      </c>
      <c r="Z620">
        <v>0</v>
      </c>
    </row>
    <row r="621" spans="1:26" x14ac:dyDescent="0.3">
      <c r="A621" t="s">
        <v>661</v>
      </c>
      <c r="B621">
        <v>45668</v>
      </c>
      <c r="C621" t="s">
        <v>27</v>
      </c>
      <c r="D621" t="s">
        <v>28</v>
      </c>
      <c r="E621" t="s">
        <v>34</v>
      </c>
      <c r="F621" t="s">
        <v>39</v>
      </c>
      <c r="G621" t="s">
        <v>36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P621">
        <v>42.9</v>
      </c>
      <c r="R621">
        <v>0</v>
      </c>
      <c r="T621">
        <v>0</v>
      </c>
      <c r="V621">
        <v>0</v>
      </c>
      <c r="X621">
        <v>0</v>
      </c>
      <c r="Z621">
        <v>0</v>
      </c>
    </row>
    <row r="622" spans="1:26" x14ac:dyDescent="0.3">
      <c r="A622" t="s">
        <v>662</v>
      </c>
      <c r="B622">
        <v>45705</v>
      </c>
      <c r="C622" t="s">
        <v>27</v>
      </c>
      <c r="D622" t="s">
        <v>42</v>
      </c>
      <c r="E622" t="s">
        <v>34</v>
      </c>
      <c r="F622" t="s">
        <v>51</v>
      </c>
      <c r="G622" t="s">
        <v>40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P622">
        <v>51.1</v>
      </c>
      <c r="R622">
        <v>0</v>
      </c>
      <c r="T622">
        <v>1</v>
      </c>
      <c r="V622">
        <v>0</v>
      </c>
      <c r="X622">
        <v>0</v>
      </c>
      <c r="Z622">
        <v>0</v>
      </c>
    </row>
    <row r="623" spans="1:26" x14ac:dyDescent="0.3">
      <c r="A623" t="s">
        <v>663</v>
      </c>
      <c r="B623">
        <v>45741</v>
      </c>
      <c r="C623" t="s">
        <v>27</v>
      </c>
      <c r="D623" t="s">
        <v>38</v>
      </c>
      <c r="E623" t="s">
        <v>34</v>
      </c>
      <c r="F623" t="s">
        <v>39</v>
      </c>
      <c r="G623" t="s">
        <v>31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P623">
        <v>51.8</v>
      </c>
      <c r="R623">
        <v>0</v>
      </c>
      <c r="T623">
        <v>1</v>
      </c>
      <c r="V623">
        <v>1</v>
      </c>
      <c r="X623">
        <v>0</v>
      </c>
      <c r="Z623">
        <v>0</v>
      </c>
    </row>
    <row r="624" spans="1:26" x14ac:dyDescent="0.3">
      <c r="A624" t="s">
        <v>664</v>
      </c>
      <c r="B624">
        <v>45778</v>
      </c>
      <c r="C624" t="s">
        <v>27</v>
      </c>
      <c r="D624" t="s">
        <v>42</v>
      </c>
      <c r="E624" t="s">
        <v>34</v>
      </c>
      <c r="F624" t="s">
        <v>39</v>
      </c>
      <c r="G624" t="s">
        <v>36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P624">
        <v>67.7</v>
      </c>
      <c r="R624">
        <v>0</v>
      </c>
      <c r="T624">
        <v>0</v>
      </c>
      <c r="V624">
        <v>0</v>
      </c>
      <c r="X624">
        <v>0</v>
      </c>
      <c r="Z624">
        <v>0</v>
      </c>
    </row>
    <row r="625" spans="1:26" x14ac:dyDescent="0.3">
      <c r="A625" t="s">
        <v>665</v>
      </c>
      <c r="B625">
        <v>45749</v>
      </c>
      <c r="C625" t="s">
        <v>27</v>
      </c>
      <c r="D625" t="s">
        <v>38</v>
      </c>
      <c r="E625" t="s">
        <v>34</v>
      </c>
      <c r="F625" t="s">
        <v>35</v>
      </c>
      <c r="G625" t="s">
        <v>31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P625">
        <v>75.8</v>
      </c>
      <c r="R625">
        <v>0</v>
      </c>
      <c r="T625">
        <v>0</v>
      </c>
      <c r="V625">
        <v>0</v>
      </c>
      <c r="X625">
        <v>0</v>
      </c>
      <c r="Z625">
        <v>0</v>
      </c>
    </row>
    <row r="626" spans="1:26" x14ac:dyDescent="0.3">
      <c r="A626" t="s">
        <v>666</v>
      </c>
      <c r="B626">
        <v>45752</v>
      </c>
      <c r="C626" t="s">
        <v>27</v>
      </c>
      <c r="D626" t="s">
        <v>38</v>
      </c>
      <c r="E626" t="s">
        <v>34</v>
      </c>
      <c r="F626" t="s">
        <v>30</v>
      </c>
      <c r="G626" t="s">
        <v>36</v>
      </c>
      <c r="H626">
        <v>1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P626">
        <v>72.8</v>
      </c>
      <c r="R626">
        <v>0</v>
      </c>
      <c r="T626">
        <v>1</v>
      </c>
      <c r="V626">
        <v>1</v>
      </c>
      <c r="X626">
        <v>0</v>
      </c>
      <c r="Z626">
        <v>0</v>
      </c>
    </row>
    <row r="627" spans="1:26" x14ac:dyDescent="0.3">
      <c r="A627" t="s">
        <v>667</v>
      </c>
      <c r="B627">
        <v>45712</v>
      </c>
      <c r="C627" t="s">
        <v>27</v>
      </c>
      <c r="D627" t="s">
        <v>28</v>
      </c>
      <c r="E627" t="s">
        <v>29</v>
      </c>
      <c r="F627" t="s">
        <v>51</v>
      </c>
      <c r="G627" t="s">
        <v>36</v>
      </c>
      <c r="H627">
        <v>1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P627">
        <v>54.4</v>
      </c>
      <c r="R627">
        <v>0</v>
      </c>
      <c r="T627">
        <v>1</v>
      </c>
      <c r="V627">
        <v>1</v>
      </c>
      <c r="X627">
        <v>0</v>
      </c>
      <c r="Z627">
        <v>0</v>
      </c>
    </row>
    <row r="628" spans="1:26" x14ac:dyDescent="0.3">
      <c r="A628" t="s">
        <v>668</v>
      </c>
      <c r="B628">
        <v>45681</v>
      </c>
      <c r="C628" t="s">
        <v>27</v>
      </c>
      <c r="D628" t="s">
        <v>33</v>
      </c>
      <c r="E628" t="s">
        <v>34</v>
      </c>
      <c r="F628" t="s">
        <v>39</v>
      </c>
      <c r="G628" t="s">
        <v>31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P628">
        <v>51.8</v>
      </c>
      <c r="R628">
        <v>0</v>
      </c>
      <c r="T628">
        <v>1</v>
      </c>
      <c r="V628">
        <v>0</v>
      </c>
      <c r="X628">
        <v>0</v>
      </c>
      <c r="Z628">
        <v>0</v>
      </c>
    </row>
    <row r="629" spans="1:26" x14ac:dyDescent="0.3">
      <c r="A629" t="s">
        <v>669</v>
      </c>
      <c r="B629">
        <v>45757</v>
      </c>
      <c r="C629" t="s">
        <v>27</v>
      </c>
      <c r="D629" t="s">
        <v>42</v>
      </c>
      <c r="E629" t="s">
        <v>34</v>
      </c>
      <c r="F629" t="s">
        <v>39</v>
      </c>
      <c r="G629" t="s">
        <v>36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P629">
        <v>40.299999999999997</v>
      </c>
      <c r="R629">
        <v>0</v>
      </c>
      <c r="T629">
        <v>0</v>
      </c>
      <c r="V629">
        <v>0</v>
      </c>
      <c r="X629">
        <v>0</v>
      </c>
      <c r="Z629">
        <v>0</v>
      </c>
    </row>
    <row r="630" spans="1:26" x14ac:dyDescent="0.3">
      <c r="A630" t="s">
        <v>670</v>
      </c>
      <c r="B630">
        <v>45707</v>
      </c>
      <c r="C630" t="s">
        <v>27</v>
      </c>
      <c r="D630" t="s">
        <v>42</v>
      </c>
      <c r="E630" t="s">
        <v>34</v>
      </c>
      <c r="F630" t="s">
        <v>49</v>
      </c>
      <c r="G630" t="s">
        <v>36</v>
      </c>
      <c r="H630">
        <v>1</v>
      </c>
      <c r="I630">
        <v>1</v>
      </c>
      <c r="J630">
        <v>1</v>
      </c>
      <c r="K630">
        <v>0</v>
      </c>
      <c r="L630">
        <v>0</v>
      </c>
      <c r="M630">
        <v>0</v>
      </c>
      <c r="N630">
        <v>0</v>
      </c>
      <c r="P630">
        <v>61.7</v>
      </c>
      <c r="R630">
        <v>0</v>
      </c>
      <c r="T630">
        <v>1</v>
      </c>
      <c r="V630">
        <v>1</v>
      </c>
      <c r="X630">
        <v>1</v>
      </c>
      <c r="Z630">
        <v>0</v>
      </c>
    </row>
    <row r="631" spans="1:26" x14ac:dyDescent="0.3">
      <c r="A631" t="s">
        <v>671</v>
      </c>
      <c r="B631">
        <v>45738</v>
      </c>
      <c r="C631" t="s">
        <v>27</v>
      </c>
      <c r="D631" t="s">
        <v>28</v>
      </c>
      <c r="E631" t="s">
        <v>34</v>
      </c>
      <c r="F631" t="s">
        <v>51</v>
      </c>
      <c r="G631" t="s">
        <v>36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P631">
        <v>45</v>
      </c>
      <c r="R631">
        <v>0</v>
      </c>
      <c r="T631">
        <v>0</v>
      </c>
      <c r="V631">
        <v>0</v>
      </c>
      <c r="X631">
        <v>0</v>
      </c>
      <c r="Z631">
        <v>0</v>
      </c>
    </row>
    <row r="632" spans="1:26" x14ac:dyDescent="0.3">
      <c r="A632" t="s">
        <v>672</v>
      </c>
      <c r="B632">
        <v>45755</v>
      </c>
      <c r="C632" t="s">
        <v>27</v>
      </c>
      <c r="D632" t="s">
        <v>38</v>
      </c>
      <c r="E632" t="s">
        <v>29</v>
      </c>
      <c r="F632" t="s">
        <v>35</v>
      </c>
      <c r="G632" t="s">
        <v>40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P632">
        <v>60</v>
      </c>
      <c r="R632">
        <v>0</v>
      </c>
      <c r="T632">
        <v>1</v>
      </c>
      <c r="V632">
        <v>1</v>
      </c>
      <c r="X632">
        <v>1</v>
      </c>
      <c r="Z632">
        <v>0</v>
      </c>
    </row>
    <row r="633" spans="1:26" x14ac:dyDescent="0.3">
      <c r="A633" t="s">
        <v>673</v>
      </c>
      <c r="B633">
        <v>45732</v>
      </c>
      <c r="C633" t="s">
        <v>27</v>
      </c>
      <c r="D633" t="s">
        <v>28</v>
      </c>
      <c r="E633" t="s">
        <v>34</v>
      </c>
      <c r="F633" t="s">
        <v>51</v>
      </c>
      <c r="G633" t="s">
        <v>36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R633">
        <v>0</v>
      </c>
      <c r="T633">
        <v>1</v>
      </c>
      <c r="V633">
        <v>0</v>
      </c>
      <c r="X633">
        <v>0</v>
      </c>
      <c r="Z633">
        <v>0</v>
      </c>
    </row>
    <row r="634" spans="1:26" x14ac:dyDescent="0.3">
      <c r="A634" t="s">
        <v>674</v>
      </c>
      <c r="B634">
        <v>45723</v>
      </c>
      <c r="C634" t="s">
        <v>27</v>
      </c>
      <c r="D634" t="s">
        <v>38</v>
      </c>
      <c r="E634" t="s">
        <v>34</v>
      </c>
      <c r="F634" t="s">
        <v>39</v>
      </c>
      <c r="G634" t="s">
        <v>36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P634">
        <v>55.5</v>
      </c>
      <c r="R634">
        <v>0</v>
      </c>
      <c r="T634">
        <v>1</v>
      </c>
      <c r="V634">
        <v>0</v>
      </c>
      <c r="X634">
        <v>0</v>
      </c>
      <c r="Z634">
        <v>0</v>
      </c>
    </row>
    <row r="635" spans="1:26" x14ac:dyDescent="0.3">
      <c r="A635" t="s">
        <v>675</v>
      </c>
      <c r="B635">
        <v>45732</v>
      </c>
      <c r="C635" t="s">
        <v>27</v>
      </c>
      <c r="D635" t="s">
        <v>42</v>
      </c>
      <c r="E635" t="s">
        <v>34</v>
      </c>
      <c r="F635" t="s">
        <v>49</v>
      </c>
      <c r="G635" t="s">
        <v>31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P635">
        <v>51.8</v>
      </c>
      <c r="R635">
        <v>0</v>
      </c>
      <c r="T635">
        <v>0</v>
      </c>
      <c r="V635">
        <v>0</v>
      </c>
      <c r="X635">
        <v>0</v>
      </c>
      <c r="Z635">
        <v>0</v>
      </c>
    </row>
    <row r="636" spans="1:26" x14ac:dyDescent="0.3">
      <c r="A636" t="s">
        <v>676</v>
      </c>
      <c r="B636">
        <v>45803</v>
      </c>
      <c r="C636" t="s">
        <v>27</v>
      </c>
      <c r="D636" t="s">
        <v>38</v>
      </c>
      <c r="E636" t="s">
        <v>34</v>
      </c>
      <c r="G636" t="s">
        <v>40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3</v>
      </c>
      <c r="N636">
        <v>0</v>
      </c>
      <c r="P636">
        <v>56</v>
      </c>
      <c r="R636">
        <v>0</v>
      </c>
      <c r="T636">
        <v>1</v>
      </c>
      <c r="V636">
        <v>0</v>
      </c>
      <c r="X636">
        <v>0</v>
      </c>
      <c r="Z636">
        <v>3</v>
      </c>
    </row>
    <row r="637" spans="1:26" x14ac:dyDescent="0.3">
      <c r="A637" t="s">
        <v>677</v>
      </c>
      <c r="B637">
        <v>45671</v>
      </c>
      <c r="C637" t="s">
        <v>27</v>
      </c>
      <c r="D637" t="s">
        <v>33</v>
      </c>
      <c r="E637" t="s">
        <v>34</v>
      </c>
      <c r="F637" t="s">
        <v>35</v>
      </c>
      <c r="G637" t="s">
        <v>36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P637">
        <v>52.5</v>
      </c>
      <c r="R637">
        <v>0</v>
      </c>
      <c r="T637">
        <v>0</v>
      </c>
      <c r="V637">
        <v>0</v>
      </c>
      <c r="X637">
        <v>0</v>
      </c>
      <c r="Z637">
        <v>0</v>
      </c>
    </row>
    <row r="638" spans="1:26" x14ac:dyDescent="0.3">
      <c r="A638" t="s">
        <v>678</v>
      </c>
      <c r="B638">
        <v>45746</v>
      </c>
      <c r="C638" t="s">
        <v>27</v>
      </c>
      <c r="D638" t="s">
        <v>33</v>
      </c>
      <c r="E638" t="s">
        <v>34</v>
      </c>
      <c r="F638" t="s">
        <v>39</v>
      </c>
      <c r="G638" t="s">
        <v>40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P638">
        <v>42.5</v>
      </c>
      <c r="R638">
        <v>0</v>
      </c>
      <c r="T638">
        <v>1</v>
      </c>
      <c r="V638">
        <v>0</v>
      </c>
      <c r="X638">
        <v>0</v>
      </c>
      <c r="Z638">
        <v>0</v>
      </c>
    </row>
    <row r="639" spans="1:26" x14ac:dyDescent="0.3">
      <c r="A639" t="s">
        <v>679</v>
      </c>
      <c r="B639">
        <v>45789</v>
      </c>
      <c r="C639" t="s">
        <v>27</v>
      </c>
      <c r="D639" t="s">
        <v>38</v>
      </c>
      <c r="E639" t="s">
        <v>29</v>
      </c>
      <c r="F639" t="s">
        <v>30</v>
      </c>
      <c r="G639" t="s">
        <v>36</v>
      </c>
      <c r="H639">
        <v>1</v>
      </c>
      <c r="I639">
        <v>1</v>
      </c>
      <c r="J639">
        <v>1</v>
      </c>
      <c r="K639">
        <v>0</v>
      </c>
      <c r="L639">
        <v>0</v>
      </c>
      <c r="M639">
        <v>0</v>
      </c>
      <c r="N639">
        <v>0</v>
      </c>
      <c r="P639">
        <v>65.3</v>
      </c>
      <c r="R639">
        <v>0</v>
      </c>
      <c r="T639">
        <v>1</v>
      </c>
      <c r="V639">
        <v>1</v>
      </c>
      <c r="X639">
        <v>1</v>
      </c>
      <c r="Z639">
        <v>0</v>
      </c>
    </row>
    <row r="640" spans="1:26" x14ac:dyDescent="0.3">
      <c r="A640" t="s">
        <v>680</v>
      </c>
      <c r="B640">
        <v>45787</v>
      </c>
      <c r="C640" t="s">
        <v>27</v>
      </c>
      <c r="D640" t="s">
        <v>33</v>
      </c>
      <c r="E640" t="s">
        <v>34</v>
      </c>
      <c r="F640" t="s">
        <v>39</v>
      </c>
      <c r="G640" t="s">
        <v>36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P640">
        <v>37.6</v>
      </c>
      <c r="R640">
        <v>0</v>
      </c>
      <c r="T640">
        <v>0</v>
      </c>
      <c r="V640">
        <v>0</v>
      </c>
      <c r="X640">
        <v>0</v>
      </c>
      <c r="Z640">
        <v>0</v>
      </c>
    </row>
    <row r="641" spans="1:26" x14ac:dyDescent="0.3">
      <c r="A641" t="s">
        <v>681</v>
      </c>
      <c r="B641">
        <v>45756</v>
      </c>
      <c r="C641" t="s">
        <v>27</v>
      </c>
      <c r="D641" t="s">
        <v>38</v>
      </c>
      <c r="E641" t="s">
        <v>34</v>
      </c>
      <c r="F641" t="s">
        <v>51</v>
      </c>
      <c r="G641" t="s">
        <v>31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P641">
        <v>57.8</v>
      </c>
      <c r="R641">
        <v>0</v>
      </c>
      <c r="T641">
        <v>0</v>
      </c>
      <c r="V641">
        <v>0</v>
      </c>
      <c r="X641">
        <v>0</v>
      </c>
      <c r="Z641">
        <v>0</v>
      </c>
    </row>
    <row r="642" spans="1:26" x14ac:dyDescent="0.3">
      <c r="A642" t="s">
        <v>682</v>
      </c>
      <c r="B642">
        <v>45803</v>
      </c>
      <c r="C642" t="s">
        <v>27</v>
      </c>
      <c r="D642" t="s">
        <v>28</v>
      </c>
      <c r="E642" t="s">
        <v>34</v>
      </c>
      <c r="F642" t="s">
        <v>51</v>
      </c>
      <c r="G642" t="s">
        <v>36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P642">
        <v>52.7</v>
      </c>
      <c r="R642">
        <v>0</v>
      </c>
      <c r="T642">
        <v>1</v>
      </c>
      <c r="V642">
        <v>0</v>
      </c>
      <c r="X642">
        <v>0</v>
      </c>
      <c r="Z642">
        <v>0</v>
      </c>
    </row>
    <row r="643" spans="1:26" x14ac:dyDescent="0.3">
      <c r="A643" t="s">
        <v>683</v>
      </c>
      <c r="B643">
        <v>45700</v>
      </c>
      <c r="C643" t="s">
        <v>27</v>
      </c>
      <c r="D643" t="s">
        <v>28</v>
      </c>
      <c r="E643" t="s">
        <v>34</v>
      </c>
      <c r="F643" t="s">
        <v>35</v>
      </c>
      <c r="G643" t="s">
        <v>36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P643">
        <v>51.7</v>
      </c>
      <c r="R643">
        <v>0</v>
      </c>
      <c r="T643">
        <v>1</v>
      </c>
      <c r="V643">
        <v>0</v>
      </c>
      <c r="X643">
        <v>0</v>
      </c>
      <c r="Z643">
        <v>0</v>
      </c>
    </row>
    <row r="644" spans="1:26" x14ac:dyDescent="0.3">
      <c r="A644" t="s">
        <v>684</v>
      </c>
      <c r="B644">
        <v>45748</v>
      </c>
      <c r="C644" t="s">
        <v>27</v>
      </c>
      <c r="D644" t="s">
        <v>28</v>
      </c>
      <c r="E644" t="s">
        <v>29</v>
      </c>
      <c r="F644" t="s">
        <v>30</v>
      </c>
      <c r="G644" t="s">
        <v>31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P644">
        <v>57</v>
      </c>
      <c r="R644">
        <v>0</v>
      </c>
      <c r="T644">
        <v>0</v>
      </c>
      <c r="V644">
        <v>0</v>
      </c>
      <c r="X644">
        <v>0</v>
      </c>
      <c r="Z644">
        <v>0</v>
      </c>
    </row>
    <row r="645" spans="1:26" x14ac:dyDescent="0.3">
      <c r="A645" t="s">
        <v>685</v>
      </c>
      <c r="B645">
        <v>45675</v>
      </c>
      <c r="C645" t="s">
        <v>27</v>
      </c>
      <c r="D645" t="s">
        <v>42</v>
      </c>
      <c r="E645" t="s">
        <v>29</v>
      </c>
      <c r="F645" t="s">
        <v>35</v>
      </c>
      <c r="G645" t="s">
        <v>31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P645">
        <v>39.5</v>
      </c>
      <c r="R645">
        <v>0</v>
      </c>
      <c r="T645">
        <v>0</v>
      </c>
      <c r="V645">
        <v>0</v>
      </c>
      <c r="X645">
        <v>0</v>
      </c>
      <c r="Z645">
        <v>0</v>
      </c>
    </row>
    <row r="646" spans="1:26" x14ac:dyDescent="0.3">
      <c r="A646" t="s">
        <v>686</v>
      </c>
      <c r="B646">
        <v>45753</v>
      </c>
      <c r="C646" t="s">
        <v>27</v>
      </c>
      <c r="D646" t="s">
        <v>38</v>
      </c>
      <c r="E646" t="s">
        <v>44</v>
      </c>
      <c r="F646" t="s">
        <v>35</v>
      </c>
      <c r="G646" t="s">
        <v>36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P646">
        <v>76.5</v>
      </c>
      <c r="R646">
        <v>0</v>
      </c>
      <c r="T646">
        <v>1</v>
      </c>
      <c r="V646">
        <v>0</v>
      </c>
      <c r="X646">
        <v>0</v>
      </c>
      <c r="Z646">
        <v>0</v>
      </c>
    </row>
    <row r="647" spans="1:26" x14ac:dyDescent="0.3">
      <c r="A647" t="s">
        <v>687</v>
      </c>
      <c r="B647">
        <v>45764</v>
      </c>
      <c r="C647" t="s">
        <v>27</v>
      </c>
      <c r="D647" t="s">
        <v>38</v>
      </c>
      <c r="E647" t="s">
        <v>34</v>
      </c>
      <c r="F647" t="s">
        <v>35</v>
      </c>
      <c r="G647" t="s">
        <v>36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P647">
        <v>32.4</v>
      </c>
      <c r="R647">
        <v>0</v>
      </c>
      <c r="T647">
        <v>1</v>
      </c>
      <c r="V647">
        <v>0</v>
      </c>
      <c r="X647">
        <v>0</v>
      </c>
      <c r="Z647">
        <v>0</v>
      </c>
    </row>
    <row r="648" spans="1:26" x14ac:dyDescent="0.3">
      <c r="A648" t="s">
        <v>688</v>
      </c>
      <c r="B648">
        <v>45695</v>
      </c>
      <c r="C648" t="s">
        <v>27</v>
      </c>
      <c r="D648" t="s">
        <v>28</v>
      </c>
      <c r="E648" t="s">
        <v>29</v>
      </c>
      <c r="F648" t="s">
        <v>39</v>
      </c>
      <c r="G648" t="s">
        <v>36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P648">
        <v>58.6</v>
      </c>
      <c r="R648">
        <v>0</v>
      </c>
      <c r="T648">
        <v>0</v>
      </c>
      <c r="V648">
        <v>0</v>
      </c>
      <c r="X648">
        <v>0</v>
      </c>
      <c r="Z648">
        <v>0</v>
      </c>
    </row>
    <row r="649" spans="1:26" x14ac:dyDescent="0.3">
      <c r="A649" t="s">
        <v>689</v>
      </c>
      <c r="B649">
        <v>45720</v>
      </c>
      <c r="C649" t="s">
        <v>27</v>
      </c>
      <c r="D649" t="s">
        <v>38</v>
      </c>
      <c r="E649" t="s">
        <v>34</v>
      </c>
      <c r="F649" t="s">
        <v>35</v>
      </c>
      <c r="G649" t="s">
        <v>31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P649">
        <v>78.599999999999994</v>
      </c>
      <c r="R649">
        <v>0</v>
      </c>
      <c r="T649">
        <v>1</v>
      </c>
      <c r="V649">
        <v>0</v>
      </c>
      <c r="X649">
        <v>0</v>
      </c>
      <c r="Z649">
        <v>0</v>
      </c>
    </row>
    <row r="650" spans="1:26" x14ac:dyDescent="0.3">
      <c r="A650" t="s">
        <v>690</v>
      </c>
      <c r="B650">
        <v>45705</v>
      </c>
      <c r="C650" t="s">
        <v>27</v>
      </c>
      <c r="D650" t="s">
        <v>28</v>
      </c>
      <c r="E650" t="s">
        <v>29</v>
      </c>
      <c r="F650" t="s">
        <v>35</v>
      </c>
      <c r="G650" t="s">
        <v>40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P650">
        <v>54.5</v>
      </c>
      <c r="R650">
        <v>0</v>
      </c>
      <c r="T650">
        <v>0</v>
      </c>
      <c r="V650">
        <v>0</v>
      </c>
      <c r="X650">
        <v>0</v>
      </c>
      <c r="Z650">
        <v>0</v>
      </c>
    </row>
    <row r="651" spans="1:26" x14ac:dyDescent="0.3">
      <c r="A651" t="s">
        <v>691</v>
      </c>
      <c r="B651">
        <v>45783</v>
      </c>
      <c r="C651" t="s">
        <v>27</v>
      </c>
      <c r="D651" t="s">
        <v>42</v>
      </c>
      <c r="E651" t="s">
        <v>34</v>
      </c>
      <c r="F651" t="s">
        <v>49</v>
      </c>
      <c r="G651" t="s">
        <v>36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P651">
        <v>57.6</v>
      </c>
      <c r="R651">
        <v>0</v>
      </c>
      <c r="T651">
        <v>1</v>
      </c>
      <c r="V651">
        <v>0</v>
      </c>
      <c r="X651">
        <v>0</v>
      </c>
      <c r="Z651">
        <v>0</v>
      </c>
    </row>
    <row r="652" spans="1:26" x14ac:dyDescent="0.3">
      <c r="A652" t="s">
        <v>692</v>
      </c>
      <c r="B652">
        <v>45741</v>
      </c>
      <c r="C652" t="s">
        <v>27</v>
      </c>
      <c r="D652" t="s">
        <v>42</v>
      </c>
      <c r="E652" t="s">
        <v>34</v>
      </c>
      <c r="F652" t="s">
        <v>49</v>
      </c>
      <c r="G652" t="s">
        <v>40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P652">
        <v>52.8</v>
      </c>
      <c r="R652">
        <v>0</v>
      </c>
      <c r="T652">
        <v>0</v>
      </c>
      <c r="V652">
        <v>0</v>
      </c>
      <c r="X652">
        <v>0</v>
      </c>
      <c r="Z652">
        <v>0</v>
      </c>
    </row>
    <row r="653" spans="1:26" x14ac:dyDescent="0.3">
      <c r="A653" t="s">
        <v>693</v>
      </c>
      <c r="B653">
        <v>45720</v>
      </c>
      <c r="C653" t="s">
        <v>27</v>
      </c>
      <c r="D653" t="s">
        <v>33</v>
      </c>
      <c r="E653" t="s">
        <v>34</v>
      </c>
      <c r="F653" t="s">
        <v>30</v>
      </c>
      <c r="G653" t="s">
        <v>40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P653">
        <v>52.9</v>
      </c>
      <c r="R653">
        <v>0</v>
      </c>
      <c r="T653">
        <v>1</v>
      </c>
      <c r="V653">
        <v>0</v>
      </c>
      <c r="X653">
        <v>0</v>
      </c>
      <c r="Z653">
        <v>0</v>
      </c>
    </row>
    <row r="654" spans="1:26" x14ac:dyDescent="0.3">
      <c r="A654" t="s">
        <v>694</v>
      </c>
      <c r="B654">
        <v>45786</v>
      </c>
      <c r="C654" t="s">
        <v>27</v>
      </c>
      <c r="D654" t="s">
        <v>33</v>
      </c>
      <c r="E654" t="s">
        <v>34</v>
      </c>
      <c r="F654" t="s">
        <v>35</v>
      </c>
      <c r="G654" t="s">
        <v>36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0</v>
      </c>
      <c r="P654">
        <v>55.9</v>
      </c>
      <c r="R654">
        <v>0</v>
      </c>
      <c r="T654">
        <v>1</v>
      </c>
      <c r="V654">
        <v>0</v>
      </c>
      <c r="X654">
        <v>0</v>
      </c>
      <c r="Z654">
        <v>1</v>
      </c>
    </row>
    <row r="655" spans="1:26" x14ac:dyDescent="0.3">
      <c r="A655" t="s">
        <v>695</v>
      </c>
      <c r="B655">
        <v>45794</v>
      </c>
      <c r="C655" t="s">
        <v>27</v>
      </c>
      <c r="D655" t="s">
        <v>33</v>
      </c>
      <c r="E655" t="s">
        <v>34</v>
      </c>
      <c r="F655" t="s">
        <v>49</v>
      </c>
      <c r="G655" t="s">
        <v>40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P655">
        <v>74.2</v>
      </c>
      <c r="R655">
        <v>0</v>
      </c>
      <c r="T655">
        <v>1</v>
      </c>
      <c r="V655">
        <v>0</v>
      </c>
      <c r="X655">
        <v>0</v>
      </c>
      <c r="Z655">
        <v>0</v>
      </c>
    </row>
    <row r="656" spans="1:26" x14ac:dyDescent="0.3">
      <c r="A656" t="s">
        <v>696</v>
      </c>
      <c r="B656">
        <v>45669</v>
      </c>
      <c r="C656" t="s">
        <v>27</v>
      </c>
      <c r="D656" t="s">
        <v>33</v>
      </c>
      <c r="E656" t="s">
        <v>34</v>
      </c>
      <c r="F656" t="s">
        <v>35</v>
      </c>
      <c r="G656" t="s">
        <v>36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P656">
        <v>46.3</v>
      </c>
      <c r="R656">
        <v>0</v>
      </c>
      <c r="T656">
        <v>0</v>
      </c>
      <c r="V656">
        <v>0</v>
      </c>
      <c r="X656">
        <v>0</v>
      </c>
      <c r="Z656">
        <v>0</v>
      </c>
    </row>
    <row r="657" spans="1:26" x14ac:dyDescent="0.3">
      <c r="A657" t="s">
        <v>697</v>
      </c>
      <c r="B657">
        <v>45728</v>
      </c>
      <c r="C657" t="s">
        <v>27</v>
      </c>
      <c r="D657" t="s">
        <v>33</v>
      </c>
      <c r="E657" t="s">
        <v>34</v>
      </c>
      <c r="F657" t="s">
        <v>35</v>
      </c>
      <c r="G657" t="s">
        <v>40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P657">
        <v>62</v>
      </c>
      <c r="R657">
        <v>0</v>
      </c>
      <c r="T657">
        <v>1</v>
      </c>
      <c r="V657">
        <v>0</v>
      </c>
      <c r="X657">
        <v>0</v>
      </c>
      <c r="Z657">
        <v>0</v>
      </c>
    </row>
    <row r="658" spans="1:26" x14ac:dyDescent="0.3">
      <c r="A658" t="s">
        <v>698</v>
      </c>
      <c r="B658">
        <v>45749</v>
      </c>
      <c r="C658" t="s">
        <v>27</v>
      </c>
      <c r="D658" t="s">
        <v>42</v>
      </c>
      <c r="E658" t="s">
        <v>34</v>
      </c>
      <c r="F658" t="s">
        <v>35</v>
      </c>
      <c r="G658" t="s">
        <v>31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P658">
        <v>55.6</v>
      </c>
      <c r="R658">
        <v>0</v>
      </c>
      <c r="T658">
        <v>0</v>
      </c>
      <c r="V658">
        <v>0</v>
      </c>
      <c r="X658">
        <v>0</v>
      </c>
      <c r="Z658">
        <v>0</v>
      </c>
    </row>
    <row r="659" spans="1:26" x14ac:dyDescent="0.3">
      <c r="A659" t="s">
        <v>699</v>
      </c>
      <c r="B659">
        <v>45670</v>
      </c>
      <c r="C659" t="s">
        <v>27</v>
      </c>
      <c r="D659" t="s">
        <v>42</v>
      </c>
      <c r="E659" t="s">
        <v>34</v>
      </c>
      <c r="F659" t="s">
        <v>35</v>
      </c>
      <c r="G659" t="s">
        <v>31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P659">
        <v>62.8</v>
      </c>
      <c r="R659">
        <v>0</v>
      </c>
      <c r="T659">
        <v>1</v>
      </c>
      <c r="V659">
        <v>0</v>
      </c>
      <c r="X659">
        <v>0</v>
      </c>
      <c r="Z659">
        <v>0</v>
      </c>
    </row>
    <row r="660" spans="1:26" x14ac:dyDescent="0.3">
      <c r="A660" t="s">
        <v>700</v>
      </c>
      <c r="B660">
        <v>45723</v>
      </c>
      <c r="C660" t="s">
        <v>27</v>
      </c>
      <c r="D660" t="s">
        <v>38</v>
      </c>
      <c r="E660" t="s">
        <v>34</v>
      </c>
      <c r="F660" t="s">
        <v>49</v>
      </c>
      <c r="G660" t="s">
        <v>36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P660">
        <v>73.099999999999994</v>
      </c>
      <c r="R660">
        <v>0</v>
      </c>
      <c r="T660">
        <v>0</v>
      </c>
      <c r="V660">
        <v>0</v>
      </c>
      <c r="X660">
        <v>0</v>
      </c>
      <c r="Z660">
        <v>0</v>
      </c>
    </row>
    <row r="661" spans="1:26" x14ac:dyDescent="0.3">
      <c r="A661" t="s">
        <v>701</v>
      </c>
      <c r="B661">
        <v>45767</v>
      </c>
      <c r="C661" t="s">
        <v>27</v>
      </c>
      <c r="D661" t="s">
        <v>42</v>
      </c>
      <c r="E661" t="s">
        <v>29</v>
      </c>
      <c r="F661" t="s">
        <v>51</v>
      </c>
      <c r="G661" t="s">
        <v>36</v>
      </c>
      <c r="H661">
        <v>1</v>
      </c>
      <c r="I661">
        <v>1</v>
      </c>
      <c r="J661">
        <v>1</v>
      </c>
      <c r="K661">
        <v>1</v>
      </c>
      <c r="L661">
        <v>347.52</v>
      </c>
      <c r="M661">
        <v>0</v>
      </c>
      <c r="N661">
        <v>0</v>
      </c>
      <c r="O661">
        <v>2</v>
      </c>
      <c r="P661">
        <v>57.2</v>
      </c>
      <c r="R661">
        <v>1</v>
      </c>
      <c r="T661">
        <v>1</v>
      </c>
      <c r="V661">
        <v>1</v>
      </c>
      <c r="X661">
        <v>1</v>
      </c>
      <c r="Z661">
        <v>0</v>
      </c>
    </row>
    <row r="662" spans="1:26" x14ac:dyDescent="0.3">
      <c r="A662" t="s">
        <v>702</v>
      </c>
      <c r="B662">
        <v>45664</v>
      </c>
      <c r="C662" t="s">
        <v>27</v>
      </c>
      <c r="D662" t="s">
        <v>42</v>
      </c>
      <c r="E662" t="s">
        <v>34</v>
      </c>
      <c r="F662" t="s">
        <v>39</v>
      </c>
      <c r="G662" t="s">
        <v>36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P662">
        <v>67.900000000000006</v>
      </c>
      <c r="R662">
        <v>0</v>
      </c>
      <c r="T662">
        <v>1</v>
      </c>
      <c r="V662">
        <v>0</v>
      </c>
      <c r="X662">
        <v>0</v>
      </c>
      <c r="Z662">
        <v>0</v>
      </c>
    </row>
    <row r="663" spans="1:26" x14ac:dyDescent="0.3">
      <c r="A663" t="s">
        <v>703</v>
      </c>
      <c r="B663">
        <v>45770</v>
      </c>
      <c r="C663" t="s">
        <v>27</v>
      </c>
      <c r="D663" t="s">
        <v>42</v>
      </c>
      <c r="E663" t="s">
        <v>34</v>
      </c>
      <c r="F663" t="s">
        <v>49</v>
      </c>
      <c r="G663" t="s">
        <v>36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P663">
        <v>50.1</v>
      </c>
      <c r="R663">
        <v>0</v>
      </c>
      <c r="T663">
        <v>0</v>
      </c>
      <c r="V663">
        <v>0</v>
      </c>
      <c r="X663">
        <v>0</v>
      </c>
      <c r="Z663">
        <v>0</v>
      </c>
    </row>
    <row r="664" spans="1:26" x14ac:dyDescent="0.3">
      <c r="A664" t="s">
        <v>704</v>
      </c>
      <c r="B664">
        <v>45803</v>
      </c>
      <c r="C664" t="s">
        <v>27</v>
      </c>
      <c r="D664" t="s">
        <v>28</v>
      </c>
      <c r="E664" t="s">
        <v>34</v>
      </c>
      <c r="F664" t="s">
        <v>39</v>
      </c>
      <c r="G664" t="s">
        <v>31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P664">
        <v>67.8</v>
      </c>
      <c r="R664">
        <v>0</v>
      </c>
      <c r="T664">
        <v>0</v>
      </c>
      <c r="V664">
        <v>0</v>
      </c>
      <c r="X664">
        <v>0</v>
      </c>
      <c r="Z664">
        <v>0</v>
      </c>
    </row>
    <row r="665" spans="1:26" x14ac:dyDescent="0.3">
      <c r="A665" t="s">
        <v>705</v>
      </c>
      <c r="B665">
        <v>45733</v>
      </c>
      <c r="C665" t="s">
        <v>27</v>
      </c>
      <c r="D665" t="s">
        <v>28</v>
      </c>
      <c r="E665" t="s">
        <v>29</v>
      </c>
      <c r="F665" t="s">
        <v>51</v>
      </c>
      <c r="G665" t="s">
        <v>31</v>
      </c>
      <c r="H665">
        <v>1</v>
      </c>
      <c r="I665">
        <v>1</v>
      </c>
      <c r="J665">
        <v>1</v>
      </c>
      <c r="K665">
        <v>0</v>
      </c>
      <c r="L665">
        <v>0</v>
      </c>
      <c r="M665">
        <v>0</v>
      </c>
      <c r="N665">
        <v>0</v>
      </c>
      <c r="P665">
        <v>60.8</v>
      </c>
      <c r="R665">
        <v>0</v>
      </c>
      <c r="T665">
        <v>1</v>
      </c>
      <c r="V665">
        <v>1</v>
      </c>
      <c r="X665">
        <v>1</v>
      </c>
      <c r="Z665">
        <v>0</v>
      </c>
    </row>
    <row r="666" spans="1:26" x14ac:dyDescent="0.3">
      <c r="A666" t="s">
        <v>706</v>
      </c>
      <c r="B666">
        <v>45794</v>
      </c>
      <c r="C666" t="s">
        <v>27</v>
      </c>
      <c r="D666" t="s">
        <v>28</v>
      </c>
      <c r="E666" t="s">
        <v>29</v>
      </c>
      <c r="F666" t="s">
        <v>39</v>
      </c>
      <c r="G666" t="s">
        <v>31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3</v>
      </c>
      <c r="N666">
        <v>0</v>
      </c>
      <c r="P666">
        <v>33.700000000000003</v>
      </c>
      <c r="R666">
        <v>0</v>
      </c>
      <c r="T666">
        <v>1</v>
      </c>
      <c r="V666">
        <v>0</v>
      </c>
      <c r="X666">
        <v>0</v>
      </c>
      <c r="Z666">
        <v>3</v>
      </c>
    </row>
    <row r="667" spans="1:26" x14ac:dyDescent="0.3">
      <c r="A667" t="s">
        <v>707</v>
      </c>
      <c r="B667">
        <v>45709</v>
      </c>
      <c r="C667" t="s">
        <v>27</v>
      </c>
      <c r="D667" t="s">
        <v>28</v>
      </c>
      <c r="E667" t="s">
        <v>34</v>
      </c>
      <c r="F667" t="s">
        <v>39</v>
      </c>
      <c r="G667" t="s">
        <v>31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P667">
        <v>45.2</v>
      </c>
      <c r="R667">
        <v>0</v>
      </c>
      <c r="T667">
        <v>0</v>
      </c>
      <c r="V667">
        <v>0</v>
      </c>
      <c r="X667">
        <v>0</v>
      </c>
      <c r="Z667">
        <v>0</v>
      </c>
    </row>
    <row r="668" spans="1:26" x14ac:dyDescent="0.3">
      <c r="A668" t="s">
        <v>708</v>
      </c>
      <c r="B668">
        <v>45713</v>
      </c>
      <c r="C668" t="s">
        <v>27</v>
      </c>
      <c r="D668" t="s">
        <v>38</v>
      </c>
      <c r="E668" t="s">
        <v>29</v>
      </c>
      <c r="F668" t="s">
        <v>39</v>
      </c>
      <c r="G668" t="s">
        <v>40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P668">
        <v>48.2</v>
      </c>
      <c r="R668">
        <v>0</v>
      </c>
      <c r="T668">
        <v>0</v>
      </c>
      <c r="V668">
        <v>0</v>
      </c>
      <c r="X668">
        <v>0</v>
      </c>
      <c r="Z668">
        <v>0</v>
      </c>
    </row>
    <row r="669" spans="1:26" x14ac:dyDescent="0.3">
      <c r="A669" t="s">
        <v>709</v>
      </c>
      <c r="B669">
        <v>45687</v>
      </c>
      <c r="C669" t="s">
        <v>27</v>
      </c>
      <c r="D669" t="s">
        <v>42</v>
      </c>
      <c r="E669" t="s">
        <v>34</v>
      </c>
      <c r="F669" t="s">
        <v>51</v>
      </c>
      <c r="G669" t="s">
        <v>36</v>
      </c>
      <c r="H669">
        <v>1</v>
      </c>
      <c r="I669">
        <v>1</v>
      </c>
      <c r="J669">
        <v>0</v>
      </c>
      <c r="K669">
        <v>0</v>
      </c>
      <c r="L669">
        <v>0</v>
      </c>
      <c r="M669">
        <v>1</v>
      </c>
      <c r="N669">
        <v>0</v>
      </c>
      <c r="P669">
        <v>44.8</v>
      </c>
      <c r="R669">
        <v>0</v>
      </c>
      <c r="T669">
        <v>1</v>
      </c>
      <c r="V669">
        <v>1</v>
      </c>
      <c r="X669">
        <v>0</v>
      </c>
      <c r="Z669">
        <v>1</v>
      </c>
    </row>
    <row r="670" spans="1:26" x14ac:dyDescent="0.3">
      <c r="A670" t="s">
        <v>710</v>
      </c>
      <c r="B670">
        <v>45705</v>
      </c>
      <c r="C670" t="s">
        <v>27</v>
      </c>
      <c r="D670" t="s">
        <v>28</v>
      </c>
      <c r="E670" t="s">
        <v>44</v>
      </c>
      <c r="F670" t="s">
        <v>51</v>
      </c>
      <c r="G670" t="s">
        <v>31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P670">
        <v>52.1</v>
      </c>
      <c r="R670">
        <v>0</v>
      </c>
      <c r="T670">
        <v>0</v>
      </c>
      <c r="V670">
        <v>0</v>
      </c>
      <c r="X670">
        <v>0</v>
      </c>
      <c r="Z670">
        <v>0</v>
      </c>
    </row>
    <row r="671" spans="1:26" x14ac:dyDescent="0.3">
      <c r="A671" t="s">
        <v>711</v>
      </c>
      <c r="B671">
        <v>45794</v>
      </c>
      <c r="C671" t="s">
        <v>27</v>
      </c>
      <c r="D671" t="s">
        <v>28</v>
      </c>
      <c r="E671" t="s">
        <v>29</v>
      </c>
      <c r="F671" t="s">
        <v>39</v>
      </c>
      <c r="G671" t="s">
        <v>31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P671">
        <v>30.7</v>
      </c>
      <c r="R671">
        <v>0</v>
      </c>
      <c r="T671">
        <v>1</v>
      </c>
      <c r="V671">
        <v>0</v>
      </c>
      <c r="X671">
        <v>0</v>
      </c>
      <c r="Z671">
        <v>0</v>
      </c>
    </row>
    <row r="672" spans="1:26" x14ac:dyDescent="0.3">
      <c r="A672" t="s">
        <v>712</v>
      </c>
      <c r="B672">
        <v>45777</v>
      </c>
      <c r="C672" t="s">
        <v>27</v>
      </c>
      <c r="D672" t="s">
        <v>38</v>
      </c>
      <c r="E672" t="s">
        <v>29</v>
      </c>
      <c r="F672" t="s">
        <v>39</v>
      </c>
      <c r="G672" t="s">
        <v>36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P672">
        <v>58.4</v>
      </c>
      <c r="R672">
        <v>0</v>
      </c>
      <c r="T672">
        <v>1</v>
      </c>
      <c r="V672">
        <v>0</v>
      </c>
      <c r="X672">
        <v>0</v>
      </c>
      <c r="Z672">
        <v>0</v>
      </c>
    </row>
    <row r="673" spans="1:26" x14ac:dyDescent="0.3">
      <c r="A673" t="s">
        <v>713</v>
      </c>
      <c r="B673">
        <v>45738</v>
      </c>
      <c r="C673" t="s">
        <v>27</v>
      </c>
      <c r="D673" t="s">
        <v>33</v>
      </c>
      <c r="E673" t="s">
        <v>34</v>
      </c>
      <c r="F673" t="s">
        <v>49</v>
      </c>
      <c r="G673" t="s">
        <v>36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P673">
        <v>52.6</v>
      </c>
      <c r="R673">
        <v>0</v>
      </c>
      <c r="T673">
        <v>1</v>
      </c>
      <c r="V673">
        <v>1</v>
      </c>
      <c r="X673">
        <v>0</v>
      </c>
      <c r="Z673">
        <v>0</v>
      </c>
    </row>
    <row r="674" spans="1:26" x14ac:dyDescent="0.3">
      <c r="A674" t="s">
        <v>714</v>
      </c>
      <c r="B674">
        <v>45667</v>
      </c>
      <c r="C674" t="s">
        <v>27</v>
      </c>
      <c r="D674" t="s">
        <v>33</v>
      </c>
      <c r="F674" t="s">
        <v>39</v>
      </c>
      <c r="G674" t="s">
        <v>36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1</v>
      </c>
      <c r="N674">
        <v>0</v>
      </c>
      <c r="P674">
        <v>19.100000000000001</v>
      </c>
      <c r="R674">
        <v>0</v>
      </c>
      <c r="T674">
        <v>1</v>
      </c>
      <c r="V674">
        <v>0</v>
      </c>
      <c r="X674">
        <v>0</v>
      </c>
      <c r="Z674">
        <v>1</v>
      </c>
    </row>
    <row r="675" spans="1:26" x14ac:dyDescent="0.3">
      <c r="A675" t="s">
        <v>715</v>
      </c>
      <c r="B675">
        <v>45737</v>
      </c>
      <c r="C675" t="s">
        <v>27</v>
      </c>
      <c r="D675" t="s">
        <v>42</v>
      </c>
      <c r="F675" t="s">
        <v>39</v>
      </c>
      <c r="G675" t="s">
        <v>36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P675">
        <v>36.799999999999997</v>
      </c>
      <c r="R675">
        <v>0</v>
      </c>
      <c r="T675">
        <v>1</v>
      </c>
      <c r="V675">
        <v>0</v>
      </c>
      <c r="X675">
        <v>0</v>
      </c>
      <c r="Z675">
        <v>0</v>
      </c>
    </row>
    <row r="676" spans="1:26" x14ac:dyDescent="0.3">
      <c r="A676" t="s">
        <v>716</v>
      </c>
      <c r="B676">
        <v>45789</v>
      </c>
      <c r="C676" t="s">
        <v>27</v>
      </c>
      <c r="D676" t="s">
        <v>28</v>
      </c>
      <c r="E676" t="s">
        <v>29</v>
      </c>
      <c r="F676" t="s">
        <v>39</v>
      </c>
      <c r="G676" t="s">
        <v>31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P676">
        <v>68.5</v>
      </c>
      <c r="R676">
        <v>0</v>
      </c>
      <c r="T676">
        <v>0</v>
      </c>
      <c r="V676">
        <v>0</v>
      </c>
      <c r="X676">
        <v>0</v>
      </c>
      <c r="Z676">
        <v>0</v>
      </c>
    </row>
    <row r="677" spans="1:26" x14ac:dyDescent="0.3">
      <c r="A677" t="s">
        <v>717</v>
      </c>
      <c r="B677">
        <v>45801</v>
      </c>
      <c r="C677" t="s">
        <v>27</v>
      </c>
      <c r="D677" t="s">
        <v>33</v>
      </c>
      <c r="E677" t="s">
        <v>34</v>
      </c>
      <c r="F677" t="s">
        <v>39</v>
      </c>
      <c r="G677" t="s">
        <v>36</v>
      </c>
      <c r="H677">
        <v>1</v>
      </c>
      <c r="I677">
        <v>1</v>
      </c>
      <c r="J677">
        <v>1</v>
      </c>
      <c r="K677">
        <v>0</v>
      </c>
      <c r="L677">
        <v>0</v>
      </c>
      <c r="M677">
        <v>0</v>
      </c>
      <c r="N677">
        <v>0</v>
      </c>
      <c r="P677">
        <v>40.1</v>
      </c>
      <c r="R677">
        <v>0</v>
      </c>
      <c r="T677">
        <v>1</v>
      </c>
      <c r="V677">
        <v>1</v>
      </c>
      <c r="X677">
        <v>1</v>
      </c>
      <c r="Z677">
        <v>0</v>
      </c>
    </row>
    <row r="678" spans="1:26" x14ac:dyDescent="0.3">
      <c r="A678" t="s">
        <v>718</v>
      </c>
      <c r="B678">
        <v>45780</v>
      </c>
      <c r="C678" t="s">
        <v>27</v>
      </c>
      <c r="D678" t="s">
        <v>33</v>
      </c>
      <c r="E678" t="s">
        <v>44</v>
      </c>
      <c r="F678" t="s">
        <v>35</v>
      </c>
      <c r="G678" t="s">
        <v>36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P678">
        <v>47.5</v>
      </c>
      <c r="R678">
        <v>0</v>
      </c>
      <c r="T678">
        <v>1</v>
      </c>
      <c r="V678">
        <v>0</v>
      </c>
      <c r="X678">
        <v>0</v>
      </c>
      <c r="Z678">
        <v>0</v>
      </c>
    </row>
    <row r="679" spans="1:26" x14ac:dyDescent="0.3">
      <c r="A679" t="s">
        <v>719</v>
      </c>
      <c r="B679">
        <v>45671</v>
      </c>
      <c r="C679" t="s">
        <v>27</v>
      </c>
      <c r="D679" t="s">
        <v>42</v>
      </c>
      <c r="E679" t="s">
        <v>34</v>
      </c>
      <c r="F679" t="s">
        <v>35</v>
      </c>
      <c r="G679" t="s">
        <v>31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P679">
        <v>77.099999999999994</v>
      </c>
      <c r="R679">
        <v>0</v>
      </c>
      <c r="T679">
        <v>1</v>
      </c>
      <c r="V679">
        <v>0</v>
      </c>
      <c r="X679">
        <v>0</v>
      </c>
      <c r="Z679">
        <v>0</v>
      </c>
    </row>
    <row r="680" spans="1:26" x14ac:dyDescent="0.3">
      <c r="A680" t="s">
        <v>720</v>
      </c>
      <c r="B680">
        <v>45743</v>
      </c>
      <c r="C680" t="s">
        <v>27</v>
      </c>
      <c r="D680" t="s">
        <v>33</v>
      </c>
      <c r="E680" t="s">
        <v>34</v>
      </c>
      <c r="F680" t="s">
        <v>51</v>
      </c>
      <c r="G680" t="s">
        <v>31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P680">
        <v>75.900000000000006</v>
      </c>
      <c r="R680">
        <v>0</v>
      </c>
      <c r="T680">
        <v>1</v>
      </c>
      <c r="V680">
        <v>0</v>
      </c>
      <c r="X680">
        <v>0</v>
      </c>
      <c r="Z680">
        <v>0</v>
      </c>
    </row>
    <row r="681" spans="1:26" x14ac:dyDescent="0.3">
      <c r="A681" t="s">
        <v>721</v>
      </c>
      <c r="B681">
        <v>45716</v>
      </c>
      <c r="C681" t="s">
        <v>27</v>
      </c>
      <c r="D681" t="s">
        <v>28</v>
      </c>
      <c r="E681" t="s">
        <v>29</v>
      </c>
      <c r="F681" t="s">
        <v>49</v>
      </c>
      <c r="G681" t="s">
        <v>40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</v>
      </c>
      <c r="N681">
        <v>0</v>
      </c>
      <c r="P681">
        <v>52</v>
      </c>
      <c r="R681">
        <v>0</v>
      </c>
      <c r="T681">
        <v>0</v>
      </c>
      <c r="V681">
        <v>0</v>
      </c>
      <c r="X681">
        <v>0</v>
      </c>
      <c r="Z681">
        <v>1</v>
      </c>
    </row>
    <row r="682" spans="1:26" x14ac:dyDescent="0.3">
      <c r="A682" t="s">
        <v>722</v>
      </c>
      <c r="B682">
        <v>45789</v>
      </c>
      <c r="C682" t="s">
        <v>27</v>
      </c>
      <c r="D682" t="s">
        <v>33</v>
      </c>
      <c r="E682" t="s">
        <v>29</v>
      </c>
      <c r="F682" t="s">
        <v>49</v>
      </c>
      <c r="G682" t="s">
        <v>40</v>
      </c>
      <c r="H682">
        <v>1</v>
      </c>
      <c r="I682">
        <v>1</v>
      </c>
      <c r="J682">
        <v>1</v>
      </c>
      <c r="K682">
        <v>0</v>
      </c>
      <c r="L682">
        <v>0</v>
      </c>
      <c r="M682">
        <v>0</v>
      </c>
      <c r="N682">
        <v>0</v>
      </c>
      <c r="P682">
        <v>64.900000000000006</v>
      </c>
      <c r="R682">
        <v>0</v>
      </c>
      <c r="T682">
        <v>1</v>
      </c>
      <c r="V682">
        <v>1</v>
      </c>
      <c r="X682">
        <v>1</v>
      </c>
      <c r="Z682">
        <v>0</v>
      </c>
    </row>
    <row r="683" spans="1:26" x14ac:dyDescent="0.3">
      <c r="A683" t="s">
        <v>723</v>
      </c>
      <c r="B683">
        <v>45730</v>
      </c>
      <c r="C683" t="s">
        <v>27</v>
      </c>
      <c r="D683" t="s">
        <v>28</v>
      </c>
      <c r="E683" t="s">
        <v>34</v>
      </c>
      <c r="F683" t="s">
        <v>35</v>
      </c>
      <c r="G683" t="s">
        <v>36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P683">
        <v>48.2</v>
      </c>
      <c r="R683">
        <v>0</v>
      </c>
      <c r="T683">
        <v>1</v>
      </c>
      <c r="V683">
        <v>0</v>
      </c>
      <c r="X683">
        <v>0</v>
      </c>
      <c r="Z683">
        <v>0</v>
      </c>
    </row>
    <row r="684" spans="1:26" x14ac:dyDescent="0.3">
      <c r="A684" t="s">
        <v>724</v>
      </c>
      <c r="B684">
        <v>45797</v>
      </c>
      <c r="C684" t="s">
        <v>27</v>
      </c>
      <c r="D684" t="s">
        <v>38</v>
      </c>
      <c r="E684" t="s">
        <v>34</v>
      </c>
      <c r="F684" t="s">
        <v>35</v>
      </c>
      <c r="G684" t="s">
        <v>31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P684">
        <v>42.1</v>
      </c>
      <c r="R684">
        <v>0</v>
      </c>
      <c r="T684">
        <v>0</v>
      </c>
      <c r="V684">
        <v>0</v>
      </c>
      <c r="X684">
        <v>0</v>
      </c>
      <c r="Z684">
        <v>0</v>
      </c>
    </row>
    <row r="685" spans="1:26" x14ac:dyDescent="0.3">
      <c r="A685" t="s">
        <v>725</v>
      </c>
      <c r="B685">
        <v>45712</v>
      </c>
      <c r="C685" t="s">
        <v>27</v>
      </c>
      <c r="D685" t="s">
        <v>42</v>
      </c>
      <c r="E685" t="s">
        <v>29</v>
      </c>
      <c r="F685" t="s">
        <v>49</v>
      </c>
      <c r="G685" t="s">
        <v>36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P685">
        <v>27.6</v>
      </c>
      <c r="R685">
        <v>0</v>
      </c>
      <c r="T685">
        <v>0</v>
      </c>
      <c r="V685">
        <v>0</v>
      </c>
      <c r="X685">
        <v>0</v>
      </c>
      <c r="Z685">
        <v>0</v>
      </c>
    </row>
    <row r="686" spans="1:26" x14ac:dyDescent="0.3">
      <c r="A686" t="s">
        <v>726</v>
      </c>
      <c r="B686">
        <v>45701</v>
      </c>
      <c r="C686" t="s">
        <v>27</v>
      </c>
      <c r="D686" t="s">
        <v>33</v>
      </c>
      <c r="E686" t="s">
        <v>34</v>
      </c>
      <c r="F686" t="s">
        <v>35</v>
      </c>
      <c r="G686" t="s">
        <v>40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1</v>
      </c>
      <c r="N686">
        <v>0</v>
      </c>
      <c r="P686">
        <v>68.5</v>
      </c>
      <c r="R686">
        <v>0</v>
      </c>
      <c r="T686">
        <v>1</v>
      </c>
      <c r="V686">
        <v>0</v>
      </c>
      <c r="X686">
        <v>0</v>
      </c>
      <c r="Z686">
        <v>1</v>
      </c>
    </row>
    <row r="687" spans="1:26" x14ac:dyDescent="0.3">
      <c r="A687" t="s">
        <v>727</v>
      </c>
      <c r="B687">
        <v>45694</v>
      </c>
      <c r="C687" t="s">
        <v>27</v>
      </c>
      <c r="D687" t="s">
        <v>42</v>
      </c>
      <c r="E687" t="s">
        <v>29</v>
      </c>
      <c r="F687" t="s">
        <v>35</v>
      </c>
      <c r="G687" t="s">
        <v>36</v>
      </c>
      <c r="H687">
        <v>1</v>
      </c>
      <c r="I687">
        <v>1</v>
      </c>
      <c r="J687">
        <v>1</v>
      </c>
      <c r="K687">
        <v>0</v>
      </c>
      <c r="L687">
        <v>0</v>
      </c>
      <c r="M687">
        <v>0</v>
      </c>
      <c r="N687">
        <v>0</v>
      </c>
      <c r="P687">
        <v>59.2</v>
      </c>
      <c r="R687">
        <v>0</v>
      </c>
      <c r="T687">
        <v>1</v>
      </c>
      <c r="V687">
        <v>1</v>
      </c>
      <c r="X687">
        <v>1</v>
      </c>
      <c r="Z687">
        <v>0</v>
      </c>
    </row>
    <row r="688" spans="1:26" x14ac:dyDescent="0.3">
      <c r="A688" t="s">
        <v>728</v>
      </c>
      <c r="B688">
        <v>45718</v>
      </c>
      <c r="C688" t="s">
        <v>27</v>
      </c>
      <c r="D688" t="s">
        <v>28</v>
      </c>
      <c r="E688" t="s">
        <v>34</v>
      </c>
      <c r="F688" t="s">
        <v>51</v>
      </c>
      <c r="G688" t="s">
        <v>31</v>
      </c>
      <c r="H688">
        <v>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P688">
        <v>63.3</v>
      </c>
      <c r="R688">
        <v>0</v>
      </c>
      <c r="T688">
        <v>1</v>
      </c>
      <c r="V688">
        <v>0</v>
      </c>
      <c r="X688">
        <v>0</v>
      </c>
      <c r="Z688">
        <v>0</v>
      </c>
    </row>
    <row r="689" spans="1:29" x14ac:dyDescent="0.3">
      <c r="A689" t="s">
        <v>729</v>
      </c>
      <c r="B689">
        <v>45775</v>
      </c>
      <c r="C689" t="s">
        <v>27</v>
      </c>
      <c r="D689" t="s">
        <v>38</v>
      </c>
      <c r="E689" t="s">
        <v>29</v>
      </c>
      <c r="F689" t="s">
        <v>39</v>
      </c>
      <c r="G689" t="s">
        <v>36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P689">
        <v>55</v>
      </c>
      <c r="R689">
        <v>0</v>
      </c>
      <c r="T689">
        <v>0</v>
      </c>
      <c r="V689">
        <v>0</v>
      </c>
      <c r="X689">
        <v>0</v>
      </c>
      <c r="Z689">
        <v>0</v>
      </c>
    </row>
    <row r="690" spans="1:29" x14ac:dyDescent="0.3">
      <c r="A690" t="s">
        <v>730</v>
      </c>
      <c r="B690">
        <v>45804</v>
      </c>
      <c r="C690" t="s">
        <v>27</v>
      </c>
      <c r="D690" t="s">
        <v>28</v>
      </c>
      <c r="E690" t="s">
        <v>29</v>
      </c>
      <c r="G690" t="s">
        <v>40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P690">
        <v>64.8</v>
      </c>
      <c r="R690">
        <v>0</v>
      </c>
      <c r="T690">
        <v>1</v>
      </c>
      <c r="V690">
        <v>0</v>
      </c>
      <c r="X690">
        <v>0</v>
      </c>
      <c r="Z690">
        <v>0</v>
      </c>
    </row>
    <row r="691" spans="1:29" x14ac:dyDescent="0.3">
      <c r="A691" t="s">
        <v>731</v>
      </c>
      <c r="B691">
        <v>45754</v>
      </c>
      <c r="C691" t="s">
        <v>27</v>
      </c>
      <c r="D691" t="s">
        <v>42</v>
      </c>
      <c r="E691" t="s">
        <v>29</v>
      </c>
      <c r="F691" t="s">
        <v>35</v>
      </c>
      <c r="G691" t="s">
        <v>31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2</v>
      </c>
      <c r="N691">
        <v>0</v>
      </c>
      <c r="P691">
        <v>41.8</v>
      </c>
      <c r="R691">
        <v>0</v>
      </c>
      <c r="T691">
        <v>0</v>
      </c>
      <c r="V691">
        <v>0</v>
      </c>
      <c r="X691">
        <v>0</v>
      </c>
      <c r="Z691">
        <v>2</v>
      </c>
    </row>
    <row r="692" spans="1:29" x14ac:dyDescent="0.3">
      <c r="A692" t="s">
        <v>732</v>
      </c>
      <c r="B692">
        <v>45761</v>
      </c>
      <c r="C692" t="s">
        <v>733</v>
      </c>
      <c r="D692" t="s">
        <v>38</v>
      </c>
      <c r="E692" t="s">
        <v>29</v>
      </c>
      <c r="F692" t="s">
        <v>51</v>
      </c>
      <c r="G692" t="s">
        <v>31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P692">
        <v>73.2</v>
      </c>
      <c r="R692">
        <v>0</v>
      </c>
      <c r="T692">
        <v>1</v>
      </c>
      <c r="U692">
        <v>1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693</v>
      </c>
      <c r="AC692">
        <v>715</v>
      </c>
    </row>
    <row r="693" spans="1:29" x14ac:dyDescent="0.3">
      <c r="A693" t="s">
        <v>734</v>
      </c>
      <c r="B693">
        <v>45786</v>
      </c>
      <c r="C693" t="s">
        <v>733</v>
      </c>
      <c r="D693" t="s">
        <v>38</v>
      </c>
      <c r="E693" t="s">
        <v>29</v>
      </c>
      <c r="F693" t="s">
        <v>35</v>
      </c>
      <c r="G693" t="s">
        <v>31</v>
      </c>
      <c r="H693">
        <v>1</v>
      </c>
      <c r="I693">
        <v>1</v>
      </c>
      <c r="J693">
        <v>1</v>
      </c>
      <c r="K693">
        <v>0</v>
      </c>
      <c r="L693">
        <v>0</v>
      </c>
      <c r="M693">
        <v>3</v>
      </c>
      <c r="N693">
        <v>0</v>
      </c>
      <c r="P693">
        <v>55.7</v>
      </c>
      <c r="R693">
        <v>0</v>
      </c>
      <c r="S693">
        <v>0</v>
      </c>
      <c r="T693">
        <v>0</v>
      </c>
      <c r="U693">
        <v>1</v>
      </c>
      <c r="V693">
        <v>0</v>
      </c>
      <c r="W693">
        <v>1</v>
      </c>
      <c r="X693">
        <v>0</v>
      </c>
      <c r="Y693">
        <v>1</v>
      </c>
      <c r="Z693">
        <v>0</v>
      </c>
      <c r="AA693">
        <v>3</v>
      </c>
    </row>
    <row r="694" spans="1:29" x14ac:dyDescent="0.3">
      <c r="A694" t="s">
        <v>735</v>
      </c>
      <c r="B694">
        <v>45737</v>
      </c>
      <c r="C694" t="s">
        <v>733</v>
      </c>
      <c r="D694" t="s">
        <v>28</v>
      </c>
      <c r="E694" t="s">
        <v>34</v>
      </c>
      <c r="F694" t="s">
        <v>35</v>
      </c>
      <c r="G694" t="s">
        <v>36</v>
      </c>
      <c r="H694">
        <v>1</v>
      </c>
      <c r="I694">
        <v>1</v>
      </c>
      <c r="J694">
        <v>1</v>
      </c>
      <c r="K694">
        <v>0</v>
      </c>
      <c r="L694">
        <v>0</v>
      </c>
      <c r="M694">
        <v>0</v>
      </c>
      <c r="N694">
        <v>0</v>
      </c>
      <c r="P694">
        <v>82.8</v>
      </c>
      <c r="R694">
        <v>0</v>
      </c>
      <c r="S694">
        <v>0</v>
      </c>
      <c r="T694">
        <v>1</v>
      </c>
      <c r="U694">
        <v>1</v>
      </c>
      <c r="V694">
        <v>1</v>
      </c>
      <c r="W694">
        <v>1</v>
      </c>
      <c r="X694">
        <v>0</v>
      </c>
      <c r="Y694">
        <v>1</v>
      </c>
      <c r="Z694">
        <v>0</v>
      </c>
      <c r="AA694">
        <v>0</v>
      </c>
    </row>
    <row r="695" spans="1:29" x14ac:dyDescent="0.3">
      <c r="A695" t="s">
        <v>736</v>
      </c>
      <c r="B695">
        <v>45743</v>
      </c>
      <c r="C695" t="s">
        <v>733</v>
      </c>
      <c r="D695" t="s">
        <v>28</v>
      </c>
      <c r="E695" t="s">
        <v>29</v>
      </c>
      <c r="F695" t="s">
        <v>51</v>
      </c>
      <c r="G695" t="s">
        <v>36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S695">
        <v>0</v>
      </c>
      <c r="U695">
        <v>1</v>
      </c>
      <c r="W695">
        <v>0</v>
      </c>
      <c r="Y695">
        <v>0</v>
      </c>
      <c r="AA695">
        <v>0</v>
      </c>
    </row>
    <row r="696" spans="1:29" x14ac:dyDescent="0.3">
      <c r="A696" t="s">
        <v>737</v>
      </c>
      <c r="B696">
        <v>45678</v>
      </c>
      <c r="C696" t="s">
        <v>733</v>
      </c>
      <c r="D696" t="s">
        <v>42</v>
      </c>
      <c r="E696" t="s">
        <v>34</v>
      </c>
      <c r="F696" t="s">
        <v>39</v>
      </c>
      <c r="G696" t="s">
        <v>36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P696">
        <v>34.4</v>
      </c>
      <c r="S696">
        <v>0</v>
      </c>
      <c r="U696">
        <v>0</v>
      </c>
      <c r="W696">
        <v>0</v>
      </c>
      <c r="Y696">
        <v>0</v>
      </c>
      <c r="AA696">
        <v>0</v>
      </c>
    </row>
    <row r="697" spans="1:29" x14ac:dyDescent="0.3">
      <c r="A697" t="s">
        <v>738</v>
      </c>
      <c r="B697">
        <v>45735</v>
      </c>
      <c r="C697" t="s">
        <v>733</v>
      </c>
      <c r="D697" t="s">
        <v>38</v>
      </c>
      <c r="E697" t="s">
        <v>29</v>
      </c>
      <c r="F697" t="s">
        <v>30</v>
      </c>
      <c r="G697" t="s">
        <v>36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P697">
        <v>45.2</v>
      </c>
      <c r="S697">
        <v>0</v>
      </c>
      <c r="U697">
        <v>1</v>
      </c>
      <c r="W697">
        <v>0</v>
      </c>
      <c r="Y697">
        <v>0</v>
      </c>
      <c r="AA697">
        <v>0</v>
      </c>
    </row>
    <row r="698" spans="1:29" x14ac:dyDescent="0.3">
      <c r="A698" t="s">
        <v>739</v>
      </c>
      <c r="B698">
        <v>45804</v>
      </c>
      <c r="C698" t="s">
        <v>733</v>
      </c>
      <c r="D698" t="s">
        <v>28</v>
      </c>
      <c r="E698" t="s">
        <v>34</v>
      </c>
      <c r="F698" t="s">
        <v>35</v>
      </c>
      <c r="G698" t="s">
        <v>31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P698">
        <v>71.599999999999994</v>
      </c>
      <c r="S698">
        <v>0</v>
      </c>
      <c r="U698">
        <v>1</v>
      </c>
      <c r="W698">
        <v>0</v>
      </c>
      <c r="Y698">
        <v>0</v>
      </c>
      <c r="AA698">
        <v>0</v>
      </c>
    </row>
    <row r="699" spans="1:29" x14ac:dyDescent="0.3">
      <c r="A699" t="s">
        <v>740</v>
      </c>
      <c r="B699">
        <v>45658</v>
      </c>
      <c r="C699" t="s">
        <v>733</v>
      </c>
      <c r="D699" t="s">
        <v>28</v>
      </c>
      <c r="E699" t="s">
        <v>34</v>
      </c>
      <c r="F699" t="s">
        <v>51</v>
      </c>
      <c r="G699" t="s">
        <v>36</v>
      </c>
      <c r="H699">
        <v>1</v>
      </c>
      <c r="I699">
        <v>1</v>
      </c>
      <c r="J699">
        <v>1</v>
      </c>
      <c r="K699">
        <v>0</v>
      </c>
      <c r="L699">
        <v>0</v>
      </c>
      <c r="M699">
        <v>0</v>
      </c>
      <c r="N699">
        <v>0</v>
      </c>
      <c r="P699">
        <v>69.099999999999994</v>
      </c>
      <c r="S699">
        <v>0</v>
      </c>
      <c r="U699">
        <v>1</v>
      </c>
      <c r="W699">
        <v>1</v>
      </c>
      <c r="Y699">
        <v>1</v>
      </c>
      <c r="AA699">
        <v>0</v>
      </c>
    </row>
    <row r="700" spans="1:29" x14ac:dyDescent="0.3">
      <c r="A700" t="s">
        <v>741</v>
      </c>
      <c r="B700">
        <v>45745</v>
      </c>
      <c r="C700" t="s">
        <v>733</v>
      </c>
      <c r="D700" t="s">
        <v>33</v>
      </c>
      <c r="E700" t="s">
        <v>29</v>
      </c>
      <c r="F700" t="s">
        <v>39</v>
      </c>
      <c r="G700" t="s">
        <v>40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1</v>
      </c>
      <c r="N700">
        <v>0</v>
      </c>
      <c r="P700">
        <v>37.700000000000003</v>
      </c>
      <c r="S700">
        <v>0</v>
      </c>
      <c r="U700">
        <v>1</v>
      </c>
      <c r="W700">
        <v>0</v>
      </c>
      <c r="Y700">
        <v>0</v>
      </c>
      <c r="AA700">
        <v>1</v>
      </c>
    </row>
    <row r="701" spans="1:29" x14ac:dyDescent="0.3">
      <c r="A701" t="s">
        <v>742</v>
      </c>
      <c r="B701">
        <v>45733</v>
      </c>
      <c r="C701" t="s">
        <v>733</v>
      </c>
      <c r="D701" t="s">
        <v>33</v>
      </c>
      <c r="E701" t="s">
        <v>29</v>
      </c>
      <c r="F701" t="s">
        <v>35</v>
      </c>
      <c r="G701" t="s">
        <v>31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1</v>
      </c>
      <c r="N701">
        <v>0</v>
      </c>
      <c r="P701">
        <v>60.8</v>
      </c>
      <c r="S701">
        <v>0</v>
      </c>
      <c r="U701">
        <v>1</v>
      </c>
      <c r="W701">
        <v>0</v>
      </c>
      <c r="Y701">
        <v>0</v>
      </c>
      <c r="AA701">
        <v>1</v>
      </c>
    </row>
    <row r="702" spans="1:29" x14ac:dyDescent="0.3">
      <c r="A702" t="s">
        <v>743</v>
      </c>
      <c r="B702">
        <v>45782</v>
      </c>
      <c r="C702" t="s">
        <v>733</v>
      </c>
      <c r="D702" t="s">
        <v>28</v>
      </c>
      <c r="E702" t="s">
        <v>34</v>
      </c>
      <c r="F702" t="s">
        <v>35</v>
      </c>
      <c r="G702" t="s">
        <v>36</v>
      </c>
      <c r="H702">
        <v>1</v>
      </c>
      <c r="I702">
        <v>1</v>
      </c>
      <c r="J702">
        <v>1</v>
      </c>
      <c r="K702">
        <v>1</v>
      </c>
      <c r="L702">
        <v>444.13</v>
      </c>
      <c r="M702">
        <v>0</v>
      </c>
      <c r="N702">
        <v>0</v>
      </c>
      <c r="O702">
        <v>10</v>
      </c>
      <c r="P702">
        <v>80.7</v>
      </c>
      <c r="S702">
        <v>0</v>
      </c>
      <c r="U702">
        <v>1</v>
      </c>
      <c r="W702">
        <v>1</v>
      </c>
      <c r="Y702">
        <v>1</v>
      </c>
      <c r="AA702">
        <v>0</v>
      </c>
    </row>
    <row r="703" spans="1:29" x14ac:dyDescent="0.3">
      <c r="A703" t="s">
        <v>744</v>
      </c>
      <c r="B703">
        <v>45781</v>
      </c>
      <c r="C703" t="s">
        <v>733</v>
      </c>
      <c r="D703" t="s">
        <v>42</v>
      </c>
      <c r="E703" t="s">
        <v>34</v>
      </c>
      <c r="F703" t="s">
        <v>51</v>
      </c>
      <c r="G703" t="s">
        <v>36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P703">
        <v>69.2</v>
      </c>
      <c r="S703">
        <v>1</v>
      </c>
      <c r="U703">
        <v>1</v>
      </c>
      <c r="W703">
        <v>0</v>
      </c>
      <c r="Y703">
        <v>0</v>
      </c>
      <c r="AA703">
        <v>0</v>
      </c>
    </row>
    <row r="704" spans="1:29" x14ac:dyDescent="0.3">
      <c r="A704" t="s">
        <v>745</v>
      </c>
      <c r="B704">
        <v>45741</v>
      </c>
      <c r="C704" t="s">
        <v>733</v>
      </c>
      <c r="D704" t="s">
        <v>28</v>
      </c>
      <c r="E704" t="s">
        <v>34</v>
      </c>
      <c r="F704" t="s">
        <v>51</v>
      </c>
      <c r="G704" t="s">
        <v>40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3</v>
      </c>
      <c r="N704">
        <v>0</v>
      </c>
      <c r="P704">
        <v>55</v>
      </c>
      <c r="S704">
        <v>0</v>
      </c>
      <c r="U704">
        <v>0</v>
      </c>
      <c r="W704">
        <v>0</v>
      </c>
      <c r="Y704">
        <v>0</v>
      </c>
      <c r="AA704">
        <v>3</v>
      </c>
    </row>
    <row r="705" spans="1:27" x14ac:dyDescent="0.3">
      <c r="A705" t="s">
        <v>746</v>
      </c>
      <c r="B705">
        <v>45764</v>
      </c>
      <c r="C705" t="s">
        <v>733</v>
      </c>
      <c r="D705" t="s">
        <v>33</v>
      </c>
      <c r="E705" t="s">
        <v>34</v>
      </c>
      <c r="F705" t="s">
        <v>30</v>
      </c>
      <c r="G705" t="s">
        <v>36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</v>
      </c>
      <c r="N705">
        <v>0</v>
      </c>
      <c r="P705">
        <v>73.599999999999994</v>
      </c>
      <c r="S705">
        <v>0</v>
      </c>
      <c r="U705">
        <v>0</v>
      </c>
      <c r="W705">
        <v>0</v>
      </c>
      <c r="Y705">
        <v>0</v>
      </c>
      <c r="AA705">
        <v>1</v>
      </c>
    </row>
    <row r="706" spans="1:27" x14ac:dyDescent="0.3">
      <c r="A706" t="s">
        <v>747</v>
      </c>
      <c r="B706">
        <v>45800</v>
      </c>
      <c r="C706" t="s">
        <v>733</v>
      </c>
      <c r="D706" t="s">
        <v>42</v>
      </c>
      <c r="E706" t="s">
        <v>34</v>
      </c>
      <c r="F706" t="s">
        <v>49</v>
      </c>
      <c r="G706" t="s">
        <v>31</v>
      </c>
      <c r="H706">
        <v>1</v>
      </c>
      <c r="I706">
        <v>1</v>
      </c>
      <c r="J706">
        <v>1</v>
      </c>
      <c r="K706">
        <v>0</v>
      </c>
      <c r="L706">
        <v>0</v>
      </c>
      <c r="M706">
        <v>1</v>
      </c>
      <c r="N706">
        <v>0</v>
      </c>
      <c r="P706">
        <v>47.3</v>
      </c>
      <c r="S706">
        <v>0</v>
      </c>
      <c r="U706">
        <v>1</v>
      </c>
      <c r="W706">
        <v>1</v>
      </c>
      <c r="Y706">
        <v>1</v>
      </c>
      <c r="AA706">
        <v>1</v>
      </c>
    </row>
    <row r="707" spans="1:27" x14ac:dyDescent="0.3">
      <c r="A707" t="s">
        <v>748</v>
      </c>
      <c r="B707">
        <v>45670</v>
      </c>
      <c r="C707" t="s">
        <v>733</v>
      </c>
      <c r="D707" t="s">
        <v>28</v>
      </c>
      <c r="E707" t="s">
        <v>34</v>
      </c>
      <c r="F707" t="s">
        <v>35</v>
      </c>
      <c r="G707" t="s">
        <v>31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P707">
        <v>43.6</v>
      </c>
      <c r="S707">
        <v>0</v>
      </c>
      <c r="U707">
        <v>0</v>
      </c>
      <c r="W707">
        <v>0</v>
      </c>
      <c r="Y707">
        <v>0</v>
      </c>
      <c r="AA707">
        <v>0</v>
      </c>
    </row>
    <row r="708" spans="1:27" x14ac:dyDescent="0.3">
      <c r="A708" t="s">
        <v>749</v>
      </c>
      <c r="B708">
        <v>45686</v>
      </c>
      <c r="C708" t="s">
        <v>733</v>
      </c>
      <c r="D708" t="s">
        <v>28</v>
      </c>
      <c r="E708" t="s">
        <v>29</v>
      </c>
      <c r="F708" t="s">
        <v>35</v>
      </c>
      <c r="G708" t="s">
        <v>31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S708">
        <v>0</v>
      </c>
      <c r="U708">
        <v>1</v>
      </c>
      <c r="W708">
        <v>0</v>
      </c>
      <c r="Y708">
        <v>0</v>
      </c>
      <c r="AA708">
        <v>0</v>
      </c>
    </row>
    <row r="709" spans="1:27" x14ac:dyDescent="0.3">
      <c r="A709" t="s">
        <v>750</v>
      </c>
      <c r="B709">
        <v>45788</v>
      </c>
      <c r="C709" t="s">
        <v>733</v>
      </c>
      <c r="D709" t="s">
        <v>42</v>
      </c>
      <c r="E709" t="s">
        <v>34</v>
      </c>
      <c r="F709" t="s">
        <v>30</v>
      </c>
      <c r="G709" t="s">
        <v>36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P709">
        <v>55.2</v>
      </c>
      <c r="S709">
        <v>0</v>
      </c>
      <c r="U709">
        <v>0</v>
      </c>
      <c r="W709">
        <v>0</v>
      </c>
      <c r="Y709">
        <v>0</v>
      </c>
      <c r="AA709">
        <v>0</v>
      </c>
    </row>
    <row r="710" spans="1:27" x14ac:dyDescent="0.3">
      <c r="A710" t="s">
        <v>751</v>
      </c>
      <c r="B710">
        <v>45769</v>
      </c>
      <c r="C710" t="s">
        <v>733</v>
      </c>
      <c r="D710" t="s">
        <v>42</v>
      </c>
      <c r="E710" t="s">
        <v>34</v>
      </c>
      <c r="F710" t="s">
        <v>35</v>
      </c>
      <c r="G710" t="s">
        <v>31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P710">
        <v>49.4</v>
      </c>
      <c r="S710">
        <v>0</v>
      </c>
      <c r="U710">
        <v>1</v>
      </c>
      <c r="W710">
        <v>0</v>
      </c>
      <c r="Y710">
        <v>0</v>
      </c>
      <c r="AA710">
        <v>0</v>
      </c>
    </row>
    <row r="711" spans="1:27" x14ac:dyDescent="0.3">
      <c r="A711" t="s">
        <v>752</v>
      </c>
      <c r="B711">
        <v>45719</v>
      </c>
      <c r="C711" t="s">
        <v>733</v>
      </c>
      <c r="D711" t="s">
        <v>42</v>
      </c>
      <c r="E711" t="s">
        <v>34</v>
      </c>
      <c r="F711" t="s">
        <v>51</v>
      </c>
      <c r="G711" t="s">
        <v>36</v>
      </c>
      <c r="H711">
        <v>1</v>
      </c>
      <c r="I711">
        <v>1</v>
      </c>
      <c r="J711">
        <v>1</v>
      </c>
      <c r="K711">
        <v>0</v>
      </c>
      <c r="L711">
        <v>0</v>
      </c>
      <c r="M711">
        <v>1</v>
      </c>
      <c r="N711">
        <v>0</v>
      </c>
      <c r="P711">
        <v>60.1</v>
      </c>
      <c r="S711">
        <v>0</v>
      </c>
      <c r="U711">
        <v>1</v>
      </c>
      <c r="W711">
        <v>1</v>
      </c>
      <c r="Y711">
        <v>1</v>
      </c>
      <c r="AA711">
        <v>1</v>
      </c>
    </row>
    <row r="712" spans="1:27" x14ac:dyDescent="0.3">
      <c r="A712" t="s">
        <v>753</v>
      </c>
      <c r="B712">
        <v>45734</v>
      </c>
      <c r="C712" t="s">
        <v>733</v>
      </c>
      <c r="D712" t="s">
        <v>28</v>
      </c>
      <c r="E712" t="s">
        <v>34</v>
      </c>
      <c r="F712" t="s">
        <v>49</v>
      </c>
      <c r="G712" t="s">
        <v>36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P712">
        <v>55.9</v>
      </c>
      <c r="S712">
        <v>0</v>
      </c>
      <c r="U712">
        <v>1</v>
      </c>
      <c r="W712">
        <v>0</v>
      </c>
      <c r="Y712">
        <v>0</v>
      </c>
      <c r="AA712">
        <v>0</v>
      </c>
    </row>
    <row r="713" spans="1:27" x14ac:dyDescent="0.3">
      <c r="A713" t="s">
        <v>754</v>
      </c>
      <c r="B713">
        <v>45752</v>
      </c>
      <c r="C713" t="s">
        <v>733</v>
      </c>
      <c r="D713" t="s">
        <v>28</v>
      </c>
      <c r="E713" t="s">
        <v>34</v>
      </c>
      <c r="F713" t="s">
        <v>35</v>
      </c>
      <c r="G713" t="s">
        <v>31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P713">
        <v>51.5</v>
      </c>
      <c r="S713">
        <v>0</v>
      </c>
      <c r="U713">
        <v>1</v>
      </c>
      <c r="W713">
        <v>0</v>
      </c>
      <c r="Y713">
        <v>0</v>
      </c>
      <c r="AA713">
        <v>0</v>
      </c>
    </row>
    <row r="714" spans="1:27" x14ac:dyDescent="0.3">
      <c r="A714" t="s">
        <v>755</v>
      </c>
      <c r="B714">
        <v>45763</v>
      </c>
      <c r="C714" t="s">
        <v>733</v>
      </c>
      <c r="D714" t="s">
        <v>38</v>
      </c>
      <c r="E714" t="s">
        <v>34</v>
      </c>
      <c r="F714" t="s">
        <v>35</v>
      </c>
      <c r="G714" t="s">
        <v>36</v>
      </c>
      <c r="H714">
        <v>1</v>
      </c>
      <c r="I714">
        <v>1</v>
      </c>
      <c r="J714">
        <v>1</v>
      </c>
      <c r="K714">
        <v>1</v>
      </c>
      <c r="L714">
        <v>516.66999999999996</v>
      </c>
      <c r="M714">
        <v>0</v>
      </c>
      <c r="N714">
        <v>0</v>
      </c>
      <c r="O714">
        <v>11</v>
      </c>
      <c r="P714">
        <v>57.9</v>
      </c>
      <c r="S714">
        <v>0</v>
      </c>
      <c r="U714">
        <v>1</v>
      </c>
      <c r="W714">
        <v>1</v>
      </c>
      <c r="Y714">
        <v>1</v>
      </c>
      <c r="AA714">
        <v>0</v>
      </c>
    </row>
    <row r="715" spans="1:27" x14ac:dyDescent="0.3">
      <c r="A715" t="s">
        <v>756</v>
      </c>
      <c r="B715">
        <v>45767</v>
      </c>
      <c r="C715" t="s">
        <v>733</v>
      </c>
      <c r="D715" t="s">
        <v>42</v>
      </c>
      <c r="E715" t="s">
        <v>34</v>
      </c>
      <c r="F715" t="s">
        <v>49</v>
      </c>
      <c r="G715" t="s">
        <v>36</v>
      </c>
      <c r="H715">
        <v>1</v>
      </c>
      <c r="I715">
        <v>1</v>
      </c>
      <c r="J715">
        <v>1</v>
      </c>
      <c r="K715">
        <v>1</v>
      </c>
      <c r="L715">
        <v>277.18</v>
      </c>
      <c r="M715">
        <v>2</v>
      </c>
      <c r="N715">
        <v>0</v>
      </c>
      <c r="O715">
        <v>8</v>
      </c>
      <c r="P715">
        <v>59.2</v>
      </c>
      <c r="S715">
        <v>1</v>
      </c>
      <c r="U715">
        <v>1</v>
      </c>
      <c r="W715">
        <v>1</v>
      </c>
      <c r="Y715">
        <v>1</v>
      </c>
      <c r="AA715">
        <v>2</v>
      </c>
    </row>
    <row r="716" spans="1:27" x14ac:dyDescent="0.3">
      <c r="A716" t="s">
        <v>757</v>
      </c>
      <c r="B716">
        <v>45703</v>
      </c>
      <c r="C716" t="s">
        <v>733</v>
      </c>
      <c r="D716" t="s">
        <v>42</v>
      </c>
      <c r="E716" t="s">
        <v>34</v>
      </c>
      <c r="F716" t="s">
        <v>35</v>
      </c>
      <c r="G716" t="s">
        <v>36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P716">
        <v>64.2</v>
      </c>
      <c r="S716">
        <v>1</v>
      </c>
      <c r="U716">
        <v>0</v>
      </c>
      <c r="W716">
        <v>0</v>
      </c>
      <c r="Y716">
        <v>0</v>
      </c>
      <c r="AA716">
        <v>0</v>
      </c>
    </row>
    <row r="717" spans="1:27" x14ac:dyDescent="0.3">
      <c r="A717" t="s">
        <v>758</v>
      </c>
      <c r="B717">
        <v>45678</v>
      </c>
      <c r="C717" t="s">
        <v>733</v>
      </c>
      <c r="D717" t="s">
        <v>42</v>
      </c>
      <c r="E717" t="s">
        <v>34</v>
      </c>
      <c r="F717" t="s">
        <v>35</v>
      </c>
      <c r="G717" t="s">
        <v>36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P717">
        <v>68.8</v>
      </c>
      <c r="S717">
        <v>0</v>
      </c>
      <c r="U717">
        <v>1</v>
      </c>
      <c r="W717">
        <v>0</v>
      </c>
      <c r="Y717">
        <v>0</v>
      </c>
      <c r="AA717">
        <v>0</v>
      </c>
    </row>
    <row r="718" spans="1:27" x14ac:dyDescent="0.3">
      <c r="A718" t="s">
        <v>759</v>
      </c>
      <c r="B718">
        <v>45800</v>
      </c>
      <c r="C718" t="s">
        <v>733</v>
      </c>
      <c r="D718" t="s">
        <v>28</v>
      </c>
      <c r="E718" t="s">
        <v>34</v>
      </c>
      <c r="F718" t="s">
        <v>39</v>
      </c>
      <c r="G718" t="s">
        <v>40</v>
      </c>
      <c r="H718">
        <v>1</v>
      </c>
      <c r="I718">
        <v>1</v>
      </c>
      <c r="J718">
        <v>1</v>
      </c>
      <c r="K718">
        <v>0</v>
      </c>
      <c r="L718">
        <v>0</v>
      </c>
      <c r="M718">
        <v>0</v>
      </c>
      <c r="N718">
        <v>0</v>
      </c>
      <c r="P718">
        <v>77.900000000000006</v>
      </c>
      <c r="S718">
        <v>0</v>
      </c>
      <c r="U718">
        <v>1</v>
      </c>
      <c r="W718">
        <v>1</v>
      </c>
      <c r="Y718">
        <v>1</v>
      </c>
      <c r="AA718">
        <v>0</v>
      </c>
    </row>
    <row r="719" spans="1:27" x14ac:dyDescent="0.3">
      <c r="A719" t="s">
        <v>760</v>
      </c>
      <c r="B719">
        <v>45679</v>
      </c>
      <c r="C719" t="s">
        <v>733</v>
      </c>
      <c r="D719" t="s">
        <v>33</v>
      </c>
      <c r="E719" t="s">
        <v>34</v>
      </c>
      <c r="F719" t="s">
        <v>39</v>
      </c>
      <c r="G719" t="s">
        <v>31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P719">
        <v>92.1</v>
      </c>
      <c r="S719">
        <v>0</v>
      </c>
      <c r="U719">
        <v>0</v>
      </c>
      <c r="W719">
        <v>0</v>
      </c>
      <c r="Y719">
        <v>0</v>
      </c>
      <c r="AA719">
        <v>0</v>
      </c>
    </row>
    <row r="720" spans="1:27" x14ac:dyDescent="0.3">
      <c r="A720" t="s">
        <v>761</v>
      </c>
      <c r="B720">
        <v>45771</v>
      </c>
      <c r="C720" t="s">
        <v>733</v>
      </c>
      <c r="D720" t="s">
        <v>33</v>
      </c>
      <c r="E720" t="s">
        <v>34</v>
      </c>
      <c r="F720" t="s">
        <v>39</v>
      </c>
      <c r="G720" t="s">
        <v>40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P720">
        <v>63.6</v>
      </c>
      <c r="S720">
        <v>0</v>
      </c>
      <c r="U720">
        <v>0</v>
      </c>
      <c r="W720">
        <v>0</v>
      </c>
      <c r="Y720">
        <v>0</v>
      </c>
      <c r="AA720">
        <v>0</v>
      </c>
    </row>
    <row r="721" spans="1:27" x14ac:dyDescent="0.3">
      <c r="A721" t="s">
        <v>762</v>
      </c>
      <c r="B721">
        <v>45674</v>
      </c>
      <c r="C721" t="s">
        <v>733</v>
      </c>
      <c r="D721" t="s">
        <v>33</v>
      </c>
      <c r="E721" t="s">
        <v>29</v>
      </c>
      <c r="F721" t="s">
        <v>30</v>
      </c>
      <c r="G721" t="s">
        <v>36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2</v>
      </c>
      <c r="N721">
        <v>0</v>
      </c>
      <c r="P721">
        <v>61.6</v>
      </c>
      <c r="S721">
        <v>0</v>
      </c>
      <c r="U721">
        <v>0</v>
      </c>
      <c r="W721">
        <v>0</v>
      </c>
      <c r="Y721">
        <v>0</v>
      </c>
      <c r="AA721">
        <v>2</v>
      </c>
    </row>
    <row r="722" spans="1:27" x14ac:dyDescent="0.3">
      <c r="A722" t="s">
        <v>763</v>
      </c>
      <c r="B722">
        <v>45679</v>
      </c>
      <c r="C722" t="s">
        <v>733</v>
      </c>
      <c r="D722" t="s">
        <v>38</v>
      </c>
      <c r="E722" t="s">
        <v>34</v>
      </c>
      <c r="F722" t="s">
        <v>49</v>
      </c>
      <c r="G722" t="s">
        <v>31</v>
      </c>
      <c r="H722">
        <v>1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P722">
        <v>82.3</v>
      </c>
      <c r="S722">
        <v>0</v>
      </c>
      <c r="U722">
        <v>1</v>
      </c>
      <c r="W722">
        <v>1</v>
      </c>
      <c r="Y722">
        <v>0</v>
      </c>
      <c r="AA722">
        <v>0</v>
      </c>
    </row>
    <row r="723" spans="1:27" x14ac:dyDescent="0.3">
      <c r="A723" t="s">
        <v>764</v>
      </c>
      <c r="B723">
        <v>45781</v>
      </c>
      <c r="C723" t="s">
        <v>733</v>
      </c>
      <c r="D723" t="s">
        <v>38</v>
      </c>
      <c r="E723" t="s">
        <v>29</v>
      </c>
      <c r="F723" t="s">
        <v>39</v>
      </c>
      <c r="G723" t="s">
        <v>36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P723">
        <v>79.3</v>
      </c>
      <c r="S723">
        <v>0</v>
      </c>
      <c r="U723">
        <v>1</v>
      </c>
      <c r="W723">
        <v>0</v>
      </c>
      <c r="Y723">
        <v>0</v>
      </c>
      <c r="AA723">
        <v>0</v>
      </c>
    </row>
    <row r="724" spans="1:27" x14ac:dyDescent="0.3">
      <c r="A724" t="s">
        <v>765</v>
      </c>
      <c r="B724">
        <v>45729</v>
      </c>
      <c r="C724" t="s">
        <v>733</v>
      </c>
      <c r="D724" t="s">
        <v>42</v>
      </c>
      <c r="E724" t="s">
        <v>34</v>
      </c>
      <c r="G724" t="s">
        <v>36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P724">
        <v>57.7</v>
      </c>
      <c r="S724">
        <v>0</v>
      </c>
      <c r="U724">
        <v>0</v>
      </c>
      <c r="W724">
        <v>0</v>
      </c>
      <c r="Y724">
        <v>0</v>
      </c>
      <c r="AA724">
        <v>0</v>
      </c>
    </row>
    <row r="725" spans="1:27" x14ac:dyDescent="0.3">
      <c r="A725" t="s">
        <v>766</v>
      </c>
      <c r="B725">
        <v>45659</v>
      </c>
      <c r="C725" t="s">
        <v>733</v>
      </c>
      <c r="D725" t="s">
        <v>28</v>
      </c>
      <c r="E725" t="s">
        <v>34</v>
      </c>
      <c r="F725" t="s">
        <v>35</v>
      </c>
      <c r="G725" t="s">
        <v>31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P725">
        <v>63.1</v>
      </c>
      <c r="S725">
        <v>0</v>
      </c>
      <c r="U725">
        <v>1</v>
      </c>
      <c r="W725">
        <v>0</v>
      </c>
      <c r="Y725">
        <v>0</v>
      </c>
      <c r="AA725">
        <v>0</v>
      </c>
    </row>
    <row r="726" spans="1:27" x14ac:dyDescent="0.3">
      <c r="A726" t="s">
        <v>767</v>
      </c>
      <c r="B726">
        <v>45670</v>
      </c>
      <c r="C726" t="s">
        <v>733</v>
      </c>
      <c r="D726" t="s">
        <v>38</v>
      </c>
      <c r="E726" t="s">
        <v>34</v>
      </c>
      <c r="F726" t="s">
        <v>39</v>
      </c>
      <c r="G726" t="s">
        <v>31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P726">
        <v>72.3</v>
      </c>
      <c r="S726">
        <v>0</v>
      </c>
      <c r="U726">
        <v>0</v>
      </c>
      <c r="W726">
        <v>0</v>
      </c>
      <c r="Y726">
        <v>0</v>
      </c>
      <c r="AA726">
        <v>0</v>
      </c>
    </row>
    <row r="727" spans="1:27" x14ac:dyDescent="0.3">
      <c r="A727" t="s">
        <v>768</v>
      </c>
      <c r="B727">
        <v>45697</v>
      </c>
      <c r="C727" t="s">
        <v>733</v>
      </c>
      <c r="D727" t="s">
        <v>38</v>
      </c>
      <c r="E727" t="s">
        <v>34</v>
      </c>
      <c r="F727" t="s">
        <v>51</v>
      </c>
      <c r="G727" t="s">
        <v>36</v>
      </c>
      <c r="H727">
        <v>1</v>
      </c>
      <c r="I727">
        <v>1</v>
      </c>
      <c r="J727">
        <v>1</v>
      </c>
      <c r="K727">
        <v>0</v>
      </c>
      <c r="L727">
        <v>0</v>
      </c>
      <c r="M727">
        <v>0</v>
      </c>
      <c r="N727">
        <v>0</v>
      </c>
      <c r="P727">
        <v>78</v>
      </c>
      <c r="S727">
        <v>0</v>
      </c>
      <c r="U727">
        <v>1</v>
      </c>
      <c r="W727">
        <v>1</v>
      </c>
      <c r="Y727">
        <v>1</v>
      </c>
      <c r="AA727">
        <v>0</v>
      </c>
    </row>
    <row r="728" spans="1:27" x14ac:dyDescent="0.3">
      <c r="A728" t="s">
        <v>769</v>
      </c>
      <c r="B728">
        <v>45756</v>
      </c>
      <c r="C728" t="s">
        <v>733</v>
      </c>
      <c r="D728" t="s">
        <v>38</v>
      </c>
      <c r="E728" t="s">
        <v>29</v>
      </c>
      <c r="F728" t="s">
        <v>51</v>
      </c>
      <c r="G728" t="s">
        <v>36</v>
      </c>
      <c r="H728">
        <v>1</v>
      </c>
      <c r="I728">
        <v>1</v>
      </c>
      <c r="J728">
        <v>0</v>
      </c>
      <c r="K728">
        <v>0</v>
      </c>
      <c r="L728">
        <v>0</v>
      </c>
      <c r="M728">
        <v>2</v>
      </c>
      <c r="N728">
        <v>0</v>
      </c>
      <c r="P728">
        <v>59.1</v>
      </c>
      <c r="S728">
        <v>0</v>
      </c>
      <c r="U728">
        <v>1</v>
      </c>
      <c r="W728">
        <v>1</v>
      </c>
      <c r="Y728">
        <v>0</v>
      </c>
      <c r="AA728">
        <v>2</v>
      </c>
    </row>
    <row r="729" spans="1:27" x14ac:dyDescent="0.3">
      <c r="A729" t="s">
        <v>770</v>
      </c>
      <c r="B729">
        <v>45659</v>
      </c>
      <c r="C729" t="s">
        <v>733</v>
      </c>
      <c r="D729" t="s">
        <v>42</v>
      </c>
      <c r="E729" t="s">
        <v>34</v>
      </c>
      <c r="F729" t="s">
        <v>39</v>
      </c>
      <c r="G729" t="s">
        <v>36</v>
      </c>
      <c r="H729">
        <v>1</v>
      </c>
      <c r="I729">
        <v>1</v>
      </c>
      <c r="J729">
        <v>1</v>
      </c>
      <c r="K729">
        <v>1</v>
      </c>
      <c r="L729">
        <v>604.09</v>
      </c>
      <c r="M729">
        <v>0</v>
      </c>
      <c r="N729">
        <v>0</v>
      </c>
      <c r="O729">
        <v>7</v>
      </c>
      <c r="P729">
        <v>47.1</v>
      </c>
      <c r="S729">
        <v>0</v>
      </c>
      <c r="U729">
        <v>1</v>
      </c>
      <c r="W729">
        <v>1</v>
      </c>
      <c r="Y729">
        <v>1</v>
      </c>
      <c r="AA729">
        <v>0</v>
      </c>
    </row>
    <row r="730" spans="1:27" x14ac:dyDescent="0.3">
      <c r="A730" t="s">
        <v>771</v>
      </c>
      <c r="B730">
        <v>45692</v>
      </c>
      <c r="C730" t="s">
        <v>733</v>
      </c>
      <c r="D730" t="s">
        <v>42</v>
      </c>
      <c r="E730" t="s">
        <v>34</v>
      </c>
      <c r="G730" t="s">
        <v>40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P730">
        <v>64.900000000000006</v>
      </c>
      <c r="S730">
        <v>1</v>
      </c>
      <c r="U730">
        <v>1</v>
      </c>
      <c r="W730">
        <v>0</v>
      </c>
      <c r="Y730">
        <v>0</v>
      </c>
      <c r="AA730">
        <v>0</v>
      </c>
    </row>
    <row r="731" spans="1:27" x14ac:dyDescent="0.3">
      <c r="A731" t="s">
        <v>772</v>
      </c>
      <c r="B731">
        <v>45707</v>
      </c>
      <c r="C731" t="s">
        <v>733</v>
      </c>
      <c r="D731" t="s">
        <v>42</v>
      </c>
      <c r="E731" t="s">
        <v>44</v>
      </c>
      <c r="F731" t="s">
        <v>39</v>
      </c>
      <c r="G731" t="s">
        <v>36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P731">
        <v>67.3</v>
      </c>
      <c r="S731">
        <v>0</v>
      </c>
      <c r="U731">
        <v>0</v>
      </c>
      <c r="W731">
        <v>0</v>
      </c>
      <c r="Y731">
        <v>0</v>
      </c>
      <c r="AA731">
        <v>0</v>
      </c>
    </row>
    <row r="732" spans="1:27" x14ac:dyDescent="0.3">
      <c r="A732" t="s">
        <v>773</v>
      </c>
      <c r="B732">
        <v>45748</v>
      </c>
      <c r="C732" t="s">
        <v>733</v>
      </c>
      <c r="D732" t="s">
        <v>38</v>
      </c>
      <c r="E732" t="s">
        <v>34</v>
      </c>
      <c r="F732" t="s">
        <v>39</v>
      </c>
      <c r="G732" t="s">
        <v>31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2</v>
      </c>
      <c r="N732">
        <v>0</v>
      </c>
      <c r="P732">
        <v>52.9</v>
      </c>
      <c r="S732">
        <v>0</v>
      </c>
      <c r="U732">
        <v>1</v>
      </c>
      <c r="W732">
        <v>0</v>
      </c>
      <c r="Y732">
        <v>0</v>
      </c>
      <c r="AA732">
        <v>2</v>
      </c>
    </row>
    <row r="733" spans="1:27" x14ac:dyDescent="0.3">
      <c r="A733" t="s">
        <v>774</v>
      </c>
      <c r="B733">
        <v>45686</v>
      </c>
      <c r="C733" t="s">
        <v>733</v>
      </c>
      <c r="D733" t="s">
        <v>28</v>
      </c>
      <c r="E733" t="s">
        <v>34</v>
      </c>
      <c r="F733" t="s">
        <v>49</v>
      </c>
      <c r="G733" t="s">
        <v>36</v>
      </c>
      <c r="H733">
        <v>1</v>
      </c>
      <c r="I733">
        <v>1</v>
      </c>
      <c r="J733">
        <v>1</v>
      </c>
      <c r="K733">
        <v>1</v>
      </c>
      <c r="L733">
        <v>442.37</v>
      </c>
      <c r="M733">
        <v>1</v>
      </c>
      <c r="N733">
        <v>0</v>
      </c>
      <c r="O733">
        <v>4</v>
      </c>
      <c r="P733">
        <v>69.900000000000006</v>
      </c>
      <c r="S733">
        <v>0</v>
      </c>
      <c r="U733">
        <v>1</v>
      </c>
      <c r="W733">
        <v>1</v>
      </c>
      <c r="Y733">
        <v>1</v>
      </c>
      <c r="AA733">
        <v>1</v>
      </c>
    </row>
    <row r="734" spans="1:27" x14ac:dyDescent="0.3">
      <c r="A734" t="s">
        <v>775</v>
      </c>
      <c r="B734">
        <v>45795</v>
      </c>
      <c r="C734" t="s">
        <v>733</v>
      </c>
      <c r="D734" t="s">
        <v>28</v>
      </c>
      <c r="E734" t="s">
        <v>34</v>
      </c>
      <c r="F734" t="s">
        <v>49</v>
      </c>
      <c r="G734" t="s">
        <v>31</v>
      </c>
      <c r="H734">
        <v>1</v>
      </c>
      <c r="I734">
        <v>1</v>
      </c>
      <c r="J734">
        <v>1</v>
      </c>
      <c r="K734">
        <v>0</v>
      </c>
      <c r="L734">
        <v>0</v>
      </c>
      <c r="M734">
        <v>0</v>
      </c>
      <c r="N734">
        <v>0</v>
      </c>
      <c r="P734">
        <v>78.900000000000006</v>
      </c>
      <c r="S734">
        <v>1</v>
      </c>
      <c r="U734">
        <v>1</v>
      </c>
      <c r="W734">
        <v>1</v>
      </c>
      <c r="Y734">
        <v>1</v>
      </c>
      <c r="AA734">
        <v>0</v>
      </c>
    </row>
    <row r="735" spans="1:27" x14ac:dyDescent="0.3">
      <c r="A735" t="s">
        <v>776</v>
      </c>
      <c r="B735">
        <v>45762</v>
      </c>
      <c r="C735" t="s">
        <v>733</v>
      </c>
      <c r="D735" t="s">
        <v>38</v>
      </c>
      <c r="E735" t="s">
        <v>29</v>
      </c>
      <c r="F735" t="s">
        <v>51</v>
      </c>
      <c r="G735" t="s">
        <v>40</v>
      </c>
      <c r="H735">
        <v>1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P735">
        <v>83.3</v>
      </c>
      <c r="S735">
        <v>0</v>
      </c>
      <c r="U735">
        <v>1</v>
      </c>
      <c r="W735">
        <v>1</v>
      </c>
      <c r="Y735">
        <v>0</v>
      </c>
      <c r="AA735">
        <v>0</v>
      </c>
    </row>
    <row r="736" spans="1:27" x14ac:dyDescent="0.3">
      <c r="A736" t="s">
        <v>777</v>
      </c>
      <c r="B736">
        <v>45744</v>
      </c>
      <c r="C736" t="s">
        <v>733</v>
      </c>
      <c r="D736" t="s">
        <v>38</v>
      </c>
      <c r="E736" t="s">
        <v>29</v>
      </c>
      <c r="F736" t="s">
        <v>30</v>
      </c>
      <c r="G736" t="s">
        <v>36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1</v>
      </c>
      <c r="N736">
        <v>0</v>
      </c>
      <c r="P736">
        <v>24.5</v>
      </c>
      <c r="S736">
        <v>0</v>
      </c>
      <c r="U736">
        <v>1</v>
      </c>
      <c r="W736">
        <v>0</v>
      </c>
      <c r="Y736">
        <v>0</v>
      </c>
      <c r="AA736">
        <v>1</v>
      </c>
    </row>
    <row r="737" spans="1:27" x14ac:dyDescent="0.3">
      <c r="A737" t="s">
        <v>778</v>
      </c>
      <c r="B737">
        <v>45748</v>
      </c>
      <c r="C737" t="s">
        <v>733</v>
      </c>
      <c r="D737" t="s">
        <v>33</v>
      </c>
      <c r="E737" t="s">
        <v>34</v>
      </c>
      <c r="F737" t="s">
        <v>39</v>
      </c>
      <c r="G737" t="s">
        <v>31</v>
      </c>
      <c r="H737">
        <v>1</v>
      </c>
      <c r="I737">
        <v>1</v>
      </c>
      <c r="J737">
        <v>0</v>
      </c>
      <c r="K737">
        <v>0</v>
      </c>
      <c r="L737">
        <v>0</v>
      </c>
      <c r="M737">
        <v>1</v>
      </c>
      <c r="N737">
        <v>0</v>
      </c>
      <c r="P737">
        <v>56.9</v>
      </c>
      <c r="S737">
        <v>0</v>
      </c>
      <c r="U737">
        <v>1</v>
      </c>
      <c r="W737">
        <v>1</v>
      </c>
      <c r="Y737">
        <v>0</v>
      </c>
      <c r="AA737">
        <v>1</v>
      </c>
    </row>
    <row r="738" spans="1:27" x14ac:dyDescent="0.3">
      <c r="A738" t="s">
        <v>779</v>
      </c>
      <c r="B738">
        <v>45699</v>
      </c>
      <c r="C738" t="s">
        <v>733</v>
      </c>
      <c r="D738" t="s">
        <v>33</v>
      </c>
      <c r="E738" t="s">
        <v>34</v>
      </c>
      <c r="F738" t="s">
        <v>51</v>
      </c>
      <c r="G738" t="s">
        <v>31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P738">
        <v>69.900000000000006</v>
      </c>
      <c r="S738">
        <v>0</v>
      </c>
      <c r="U738">
        <v>1</v>
      </c>
      <c r="W738">
        <v>0</v>
      </c>
      <c r="Y738">
        <v>0</v>
      </c>
      <c r="AA738">
        <v>0</v>
      </c>
    </row>
    <row r="739" spans="1:27" x14ac:dyDescent="0.3">
      <c r="A739" t="s">
        <v>780</v>
      </c>
      <c r="B739">
        <v>45720</v>
      </c>
      <c r="C739" t="s">
        <v>733</v>
      </c>
      <c r="D739" t="s">
        <v>42</v>
      </c>
      <c r="E739" t="s">
        <v>34</v>
      </c>
      <c r="F739" t="s">
        <v>35</v>
      </c>
      <c r="G739" t="s">
        <v>36</v>
      </c>
      <c r="H739">
        <v>1</v>
      </c>
      <c r="I739">
        <v>1</v>
      </c>
      <c r="J739">
        <v>1</v>
      </c>
      <c r="K739">
        <v>0</v>
      </c>
      <c r="L739">
        <v>0</v>
      </c>
      <c r="M739">
        <v>0</v>
      </c>
      <c r="N739">
        <v>0</v>
      </c>
      <c r="P739">
        <v>81.5</v>
      </c>
      <c r="S739">
        <v>0</v>
      </c>
      <c r="U739">
        <v>1</v>
      </c>
      <c r="W739">
        <v>1</v>
      </c>
      <c r="Y739">
        <v>1</v>
      </c>
      <c r="AA739">
        <v>0</v>
      </c>
    </row>
    <row r="740" spans="1:27" x14ac:dyDescent="0.3">
      <c r="A740" t="s">
        <v>781</v>
      </c>
      <c r="B740">
        <v>45678</v>
      </c>
      <c r="C740" t="s">
        <v>733</v>
      </c>
      <c r="D740" t="s">
        <v>28</v>
      </c>
      <c r="E740" t="s">
        <v>44</v>
      </c>
      <c r="F740" t="s">
        <v>51</v>
      </c>
      <c r="G740" t="s">
        <v>31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2</v>
      </c>
      <c r="N740">
        <v>0</v>
      </c>
      <c r="P740">
        <v>37.9</v>
      </c>
      <c r="S740">
        <v>0</v>
      </c>
      <c r="U740">
        <v>0</v>
      </c>
      <c r="W740">
        <v>0</v>
      </c>
      <c r="Y740">
        <v>0</v>
      </c>
      <c r="AA740">
        <v>2</v>
      </c>
    </row>
    <row r="741" spans="1:27" x14ac:dyDescent="0.3">
      <c r="A741" t="s">
        <v>782</v>
      </c>
      <c r="B741">
        <v>45702</v>
      </c>
      <c r="C741" t="s">
        <v>733</v>
      </c>
      <c r="D741" t="s">
        <v>28</v>
      </c>
      <c r="E741" t="s">
        <v>34</v>
      </c>
      <c r="F741" t="s">
        <v>49</v>
      </c>
      <c r="G741" t="s">
        <v>36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</v>
      </c>
      <c r="N741">
        <v>0</v>
      </c>
      <c r="P741">
        <v>61.7</v>
      </c>
      <c r="S741">
        <v>0</v>
      </c>
      <c r="U741">
        <v>0</v>
      </c>
      <c r="W741">
        <v>0</v>
      </c>
      <c r="Y741">
        <v>0</v>
      </c>
      <c r="AA741">
        <v>1</v>
      </c>
    </row>
    <row r="742" spans="1:27" x14ac:dyDescent="0.3">
      <c r="A742" t="s">
        <v>783</v>
      </c>
      <c r="B742">
        <v>45746</v>
      </c>
      <c r="C742" t="s">
        <v>733</v>
      </c>
      <c r="D742" t="s">
        <v>28</v>
      </c>
      <c r="E742" t="s">
        <v>29</v>
      </c>
      <c r="G742" t="s">
        <v>40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2</v>
      </c>
      <c r="N742">
        <v>0</v>
      </c>
      <c r="P742">
        <v>53.2</v>
      </c>
      <c r="S742">
        <v>0</v>
      </c>
      <c r="U742">
        <v>1</v>
      </c>
      <c r="W742">
        <v>0</v>
      </c>
      <c r="Y742">
        <v>0</v>
      </c>
      <c r="AA742">
        <v>2</v>
      </c>
    </row>
    <row r="743" spans="1:27" x14ac:dyDescent="0.3">
      <c r="A743" t="s">
        <v>784</v>
      </c>
      <c r="B743">
        <v>45665</v>
      </c>
      <c r="C743" t="s">
        <v>733</v>
      </c>
      <c r="D743" t="s">
        <v>28</v>
      </c>
      <c r="E743" t="s">
        <v>34</v>
      </c>
      <c r="F743" t="s">
        <v>49</v>
      </c>
      <c r="G743" t="s">
        <v>36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P743">
        <v>61.9</v>
      </c>
      <c r="S743">
        <v>0</v>
      </c>
      <c r="U743">
        <v>0</v>
      </c>
      <c r="W743">
        <v>0</v>
      </c>
      <c r="Y743">
        <v>0</v>
      </c>
      <c r="AA743">
        <v>0</v>
      </c>
    </row>
    <row r="744" spans="1:27" x14ac:dyDescent="0.3">
      <c r="A744" t="s">
        <v>785</v>
      </c>
      <c r="B744">
        <v>45695</v>
      </c>
      <c r="C744" t="s">
        <v>733</v>
      </c>
      <c r="D744" t="s">
        <v>28</v>
      </c>
      <c r="E744" t="s">
        <v>34</v>
      </c>
      <c r="F744" t="s">
        <v>51</v>
      </c>
      <c r="G744" t="s">
        <v>36</v>
      </c>
      <c r="H744">
        <v>1</v>
      </c>
      <c r="I744">
        <v>1</v>
      </c>
      <c r="J744">
        <v>1</v>
      </c>
      <c r="K744">
        <v>0</v>
      </c>
      <c r="L744">
        <v>0</v>
      </c>
      <c r="M744">
        <v>0</v>
      </c>
      <c r="N744">
        <v>0</v>
      </c>
      <c r="P744">
        <v>68.900000000000006</v>
      </c>
      <c r="S744">
        <v>0</v>
      </c>
      <c r="U744">
        <v>1</v>
      </c>
      <c r="W744">
        <v>1</v>
      </c>
      <c r="Y744">
        <v>1</v>
      </c>
      <c r="AA744">
        <v>0</v>
      </c>
    </row>
    <row r="745" spans="1:27" x14ac:dyDescent="0.3">
      <c r="A745" t="s">
        <v>786</v>
      </c>
      <c r="B745">
        <v>45689</v>
      </c>
      <c r="C745" t="s">
        <v>733</v>
      </c>
      <c r="D745" t="s">
        <v>28</v>
      </c>
      <c r="E745" t="s">
        <v>44</v>
      </c>
      <c r="F745" t="s">
        <v>39</v>
      </c>
      <c r="G745" t="s">
        <v>31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P745">
        <v>66.3</v>
      </c>
      <c r="S745">
        <v>0</v>
      </c>
      <c r="U745">
        <v>0</v>
      </c>
      <c r="W745">
        <v>0</v>
      </c>
      <c r="Y745">
        <v>0</v>
      </c>
      <c r="AA745">
        <v>0</v>
      </c>
    </row>
    <row r="746" spans="1:27" x14ac:dyDescent="0.3">
      <c r="A746" t="s">
        <v>787</v>
      </c>
      <c r="B746">
        <v>45661</v>
      </c>
      <c r="C746" t="s">
        <v>733</v>
      </c>
      <c r="D746" t="s">
        <v>38</v>
      </c>
      <c r="E746" t="s">
        <v>34</v>
      </c>
      <c r="F746" t="s">
        <v>30</v>
      </c>
      <c r="G746" t="s">
        <v>36</v>
      </c>
      <c r="H746">
        <v>1</v>
      </c>
      <c r="I746">
        <v>1</v>
      </c>
      <c r="J746">
        <v>1</v>
      </c>
      <c r="K746">
        <v>0</v>
      </c>
      <c r="L746">
        <v>0</v>
      </c>
      <c r="M746">
        <v>0</v>
      </c>
      <c r="N746">
        <v>0</v>
      </c>
      <c r="P746">
        <v>54.6</v>
      </c>
      <c r="S746">
        <v>0</v>
      </c>
      <c r="U746">
        <v>1</v>
      </c>
      <c r="W746">
        <v>1</v>
      </c>
      <c r="Y746">
        <v>1</v>
      </c>
      <c r="AA746">
        <v>0</v>
      </c>
    </row>
    <row r="747" spans="1:27" x14ac:dyDescent="0.3">
      <c r="A747" t="s">
        <v>788</v>
      </c>
      <c r="B747">
        <v>45793</v>
      </c>
      <c r="C747" t="s">
        <v>733</v>
      </c>
      <c r="D747" t="s">
        <v>42</v>
      </c>
      <c r="E747" t="s">
        <v>29</v>
      </c>
      <c r="F747" t="s">
        <v>49</v>
      </c>
      <c r="G747" t="s">
        <v>36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P747">
        <v>53.8</v>
      </c>
      <c r="S747">
        <v>0</v>
      </c>
      <c r="U747">
        <v>0</v>
      </c>
      <c r="W747">
        <v>0</v>
      </c>
      <c r="Y747">
        <v>0</v>
      </c>
      <c r="AA747">
        <v>0</v>
      </c>
    </row>
    <row r="748" spans="1:27" x14ac:dyDescent="0.3">
      <c r="A748" t="s">
        <v>789</v>
      </c>
      <c r="B748">
        <v>45716</v>
      </c>
      <c r="C748" t="s">
        <v>733</v>
      </c>
      <c r="D748" t="s">
        <v>33</v>
      </c>
      <c r="E748" t="s">
        <v>34</v>
      </c>
      <c r="F748" t="s">
        <v>49</v>
      </c>
      <c r="G748" t="s">
        <v>36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P748">
        <v>59.5</v>
      </c>
      <c r="S748">
        <v>0</v>
      </c>
      <c r="U748">
        <v>1</v>
      </c>
      <c r="W748">
        <v>0</v>
      </c>
      <c r="Y748">
        <v>0</v>
      </c>
      <c r="AA748">
        <v>0</v>
      </c>
    </row>
    <row r="749" spans="1:27" x14ac:dyDescent="0.3">
      <c r="A749" t="s">
        <v>790</v>
      </c>
      <c r="B749">
        <v>45759</v>
      </c>
      <c r="C749" t="s">
        <v>733</v>
      </c>
      <c r="D749" t="s">
        <v>28</v>
      </c>
      <c r="E749" t="s">
        <v>34</v>
      </c>
      <c r="F749" t="s">
        <v>49</v>
      </c>
      <c r="G749" t="s">
        <v>36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P749">
        <v>52.6</v>
      </c>
      <c r="S749">
        <v>0</v>
      </c>
      <c r="U749">
        <v>1</v>
      </c>
      <c r="W749">
        <v>0</v>
      </c>
      <c r="Y749">
        <v>0</v>
      </c>
      <c r="AA749">
        <v>0</v>
      </c>
    </row>
    <row r="750" spans="1:27" x14ac:dyDescent="0.3">
      <c r="A750" t="s">
        <v>791</v>
      </c>
      <c r="B750">
        <v>45739</v>
      </c>
      <c r="C750" t="s">
        <v>733</v>
      </c>
      <c r="D750" t="s">
        <v>42</v>
      </c>
      <c r="E750" t="s">
        <v>29</v>
      </c>
      <c r="F750" t="s">
        <v>35</v>
      </c>
      <c r="G750" t="s">
        <v>36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P750">
        <v>49</v>
      </c>
      <c r="S750">
        <v>0</v>
      </c>
      <c r="U750">
        <v>0</v>
      </c>
      <c r="W750">
        <v>0</v>
      </c>
      <c r="Y750">
        <v>0</v>
      </c>
      <c r="AA750">
        <v>0</v>
      </c>
    </row>
    <row r="751" spans="1:27" x14ac:dyDescent="0.3">
      <c r="A751" t="s">
        <v>792</v>
      </c>
      <c r="B751">
        <v>45806</v>
      </c>
      <c r="C751" t="s">
        <v>733</v>
      </c>
      <c r="D751" t="s">
        <v>28</v>
      </c>
      <c r="E751" t="s">
        <v>44</v>
      </c>
      <c r="F751" t="s">
        <v>35</v>
      </c>
      <c r="G751" t="s">
        <v>36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P751">
        <v>59.3</v>
      </c>
      <c r="S751">
        <v>0</v>
      </c>
      <c r="U751">
        <v>1</v>
      </c>
      <c r="W751">
        <v>0</v>
      </c>
      <c r="Y751">
        <v>0</v>
      </c>
      <c r="AA751">
        <v>0</v>
      </c>
    </row>
    <row r="752" spans="1:27" x14ac:dyDescent="0.3">
      <c r="A752" t="s">
        <v>793</v>
      </c>
      <c r="B752">
        <v>45798</v>
      </c>
      <c r="C752" t="s">
        <v>733</v>
      </c>
      <c r="D752" t="s">
        <v>42</v>
      </c>
      <c r="E752" t="s">
        <v>29</v>
      </c>
      <c r="F752" t="s">
        <v>35</v>
      </c>
      <c r="G752" t="s">
        <v>31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P752">
        <v>67.2</v>
      </c>
      <c r="S752">
        <v>0</v>
      </c>
      <c r="U752">
        <v>0</v>
      </c>
      <c r="W752">
        <v>0</v>
      </c>
      <c r="Y752">
        <v>0</v>
      </c>
      <c r="AA752">
        <v>0</v>
      </c>
    </row>
    <row r="753" spans="1:27" x14ac:dyDescent="0.3">
      <c r="A753" t="s">
        <v>794</v>
      </c>
      <c r="B753">
        <v>45662</v>
      </c>
      <c r="C753" t="s">
        <v>733</v>
      </c>
      <c r="D753" t="s">
        <v>42</v>
      </c>
      <c r="E753" t="s">
        <v>34</v>
      </c>
      <c r="F753" t="s">
        <v>49</v>
      </c>
      <c r="G753" t="s">
        <v>40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P753">
        <v>73.5</v>
      </c>
      <c r="S753">
        <v>0</v>
      </c>
      <c r="U753">
        <v>0</v>
      </c>
      <c r="W753">
        <v>0</v>
      </c>
      <c r="Y753">
        <v>0</v>
      </c>
      <c r="AA753">
        <v>0</v>
      </c>
    </row>
    <row r="754" spans="1:27" x14ac:dyDescent="0.3">
      <c r="A754" t="s">
        <v>795</v>
      </c>
      <c r="B754">
        <v>45735</v>
      </c>
      <c r="C754" t="s">
        <v>733</v>
      </c>
      <c r="D754" t="s">
        <v>38</v>
      </c>
      <c r="E754" t="s">
        <v>44</v>
      </c>
      <c r="F754" t="s">
        <v>35</v>
      </c>
      <c r="G754" t="s">
        <v>36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P754">
        <v>61.2</v>
      </c>
      <c r="S754">
        <v>0</v>
      </c>
      <c r="U754">
        <v>1</v>
      </c>
      <c r="W754">
        <v>0</v>
      </c>
      <c r="Y754">
        <v>0</v>
      </c>
      <c r="AA754">
        <v>0</v>
      </c>
    </row>
    <row r="755" spans="1:27" x14ac:dyDescent="0.3">
      <c r="A755" t="s">
        <v>796</v>
      </c>
      <c r="B755">
        <v>45771</v>
      </c>
      <c r="C755" t="s">
        <v>733</v>
      </c>
      <c r="D755" t="s">
        <v>38</v>
      </c>
      <c r="E755" t="s">
        <v>34</v>
      </c>
      <c r="F755" t="s">
        <v>35</v>
      </c>
      <c r="G755" t="s">
        <v>36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1</v>
      </c>
      <c r="N755">
        <v>0</v>
      </c>
      <c r="P755">
        <v>56.4</v>
      </c>
      <c r="S755">
        <v>0</v>
      </c>
      <c r="U755">
        <v>1</v>
      </c>
      <c r="W755">
        <v>0</v>
      </c>
      <c r="Y755">
        <v>0</v>
      </c>
      <c r="AA755">
        <v>1</v>
      </c>
    </row>
    <row r="756" spans="1:27" x14ac:dyDescent="0.3">
      <c r="A756" t="s">
        <v>797</v>
      </c>
      <c r="B756">
        <v>45726</v>
      </c>
      <c r="C756" t="s">
        <v>733</v>
      </c>
      <c r="D756" t="s">
        <v>28</v>
      </c>
      <c r="E756" t="s">
        <v>44</v>
      </c>
      <c r="F756" t="s">
        <v>35</v>
      </c>
      <c r="G756" t="s">
        <v>36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3</v>
      </c>
      <c r="N756">
        <v>0</v>
      </c>
      <c r="P756">
        <v>72.599999999999994</v>
      </c>
      <c r="S756">
        <v>0</v>
      </c>
      <c r="U756">
        <v>0</v>
      </c>
      <c r="W756">
        <v>0</v>
      </c>
      <c r="Y756">
        <v>0</v>
      </c>
      <c r="AA756">
        <v>3</v>
      </c>
    </row>
    <row r="757" spans="1:27" x14ac:dyDescent="0.3">
      <c r="A757" t="s">
        <v>798</v>
      </c>
      <c r="B757">
        <v>45710</v>
      </c>
      <c r="C757" t="s">
        <v>733</v>
      </c>
      <c r="D757" t="s">
        <v>42</v>
      </c>
      <c r="E757" t="s">
        <v>44</v>
      </c>
      <c r="F757" t="s">
        <v>49</v>
      </c>
      <c r="G757" t="s">
        <v>31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P757">
        <v>61.7</v>
      </c>
      <c r="S757">
        <v>0</v>
      </c>
      <c r="U757">
        <v>1</v>
      </c>
      <c r="W757">
        <v>0</v>
      </c>
      <c r="Y757">
        <v>0</v>
      </c>
      <c r="AA757">
        <v>0</v>
      </c>
    </row>
    <row r="758" spans="1:27" x14ac:dyDescent="0.3">
      <c r="A758" t="s">
        <v>799</v>
      </c>
      <c r="B758">
        <v>45794</v>
      </c>
      <c r="C758" t="s">
        <v>733</v>
      </c>
      <c r="D758" t="s">
        <v>38</v>
      </c>
      <c r="E758" t="s">
        <v>34</v>
      </c>
      <c r="F758" t="s">
        <v>51</v>
      </c>
      <c r="G758" t="s">
        <v>36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0</v>
      </c>
      <c r="P758">
        <v>66.900000000000006</v>
      </c>
      <c r="S758">
        <v>0</v>
      </c>
      <c r="U758">
        <v>0</v>
      </c>
      <c r="W758">
        <v>0</v>
      </c>
      <c r="Y758">
        <v>0</v>
      </c>
      <c r="AA758">
        <v>1</v>
      </c>
    </row>
    <row r="759" spans="1:27" x14ac:dyDescent="0.3">
      <c r="A759" t="s">
        <v>800</v>
      </c>
      <c r="B759">
        <v>45786</v>
      </c>
      <c r="C759" t="s">
        <v>733</v>
      </c>
      <c r="D759" t="s">
        <v>38</v>
      </c>
      <c r="E759" t="s">
        <v>44</v>
      </c>
      <c r="F759" t="s">
        <v>49</v>
      </c>
      <c r="G759" t="s">
        <v>40</v>
      </c>
      <c r="H759">
        <v>1</v>
      </c>
      <c r="I759">
        <v>1</v>
      </c>
      <c r="J759">
        <v>1</v>
      </c>
      <c r="K759">
        <v>1</v>
      </c>
      <c r="L759">
        <v>1506.24</v>
      </c>
      <c r="M759">
        <v>1</v>
      </c>
      <c r="N759">
        <v>0</v>
      </c>
      <c r="O759">
        <v>7</v>
      </c>
      <c r="P759">
        <v>64.900000000000006</v>
      </c>
      <c r="S759">
        <v>0</v>
      </c>
      <c r="U759">
        <v>1</v>
      </c>
      <c r="W759">
        <v>1</v>
      </c>
      <c r="Y759">
        <v>1</v>
      </c>
      <c r="AA759">
        <v>1</v>
      </c>
    </row>
    <row r="760" spans="1:27" x14ac:dyDescent="0.3">
      <c r="A760" t="s">
        <v>801</v>
      </c>
      <c r="B760">
        <v>45773</v>
      </c>
      <c r="C760" t="s">
        <v>733</v>
      </c>
      <c r="D760" t="s">
        <v>38</v>
      </c>
      <c r="E760" t="s">
        <v>44</v>
      </c>
      <c r="F760" t="s">
        <v>35</v>
      </c>
      <c r="G760" t="s">
        <v>40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P760">
        <v>57.5</v>
      </c>
      <c r="S760">
        <v>1</v>
      </c>
      <c r="U760">
        <v>1</v>
      </c>
      <c r="W760">
        <v>0</v>
      </c>
      <c r="Y760">
        <v>0</v>
      </c>
      <c r="AA760">
        <v>0</v>
      </c>
    </row>
    <row r="761" spans="1:27" x14ac:dyDescent="0.3">
      <c r="A761" t="s">
        <v>802</v>
      </c>
      <c r="B761">
        <v>45731</v>
      </c>
      <c r="C761" t="s">
        <v>733</v>
      </c>
      <c r="D761" t="s">
        <v>33</v>
      </c>
      <c r="E761" t="s">
        <v>29</v>
      </c>
      <c r="F761" t="s">
        <v>51</v>
      </c>
      <c r="G761" t="s">
        <v>36</v>
      </c>
      <c r="H761">
        <v>1</v>
      </c>
      <c r="I761">
        <v>1</v>
      </c>
      <c r="J761">
        <v>1</v>
      </c>
      <c r="K761">
        <v>0</v>
      </c>
      <c r="L761">
        <v>0</v>
      </c>
      <c r="M761">
        <v>0</v>
      </c>
      <c r="N761">
        <v>0</v>
      </c>
      <c r="P761">
        <v>76.3</v>
      </c>
      <c r="S761">
        <v>0</v>
      </c>
      <c r="U761">
        <v>1</v>
      </c>
      <c r="W761">
        <v>1</v>
      </c>
      <c r="Y761">
        <v>1</v>
      </c>
      <c r="AA761">
        <v>0</v>
      </c>
    </row>
    <row r="762" spans="1:27" x14ac:dyDescent="0.3">
      <c r="A762" t="s">
        <v>803</v>
      </c>
      <c r="B762">
        <v>45750</v>
      </c>
      <c r="C762" t="s">
        <v>733</v>
      </c>
      <c r="D762" t="s">
        <v>28</v>
      </c>
      <c r="E762" t="s">
        <v>34</v>
      </c>
      <c r="F762" t="s">
        <v>39</v>
      </c>
      <c r="G762" t="s">
        <v>36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P762">
        <v>47.5</v>
      </c>
      <c r="S762">
        <v>0</v>
      </c>
      <c r="U762">
        <v>0</v>
      </c>
      <c r="W762">
        <v>0</v>
      </c>
      <c r="Y762">
        <v>0</v>
      </c>
      <c r="AA762">
        <v>0</v>
      </c>
    </row>
    <row r="763" spans="1:27" x14ac:dyDescent="0.3">
      <c r="A763" t="s">
        <v>804</v>
      </c>
      <c r="B763">
        <v>45742</v>
      </c>
      <c r="C763" t="s">
        <v>733</v>
      </c>
      <c r="D763" t="s">
        <v>42</v>
      </c>
      <c r="E763" t="s">
        <v>34</v>
      </c>
      <c r="F763" t="s">
        <v>39</v>
      </c>
      <c r="G763" t="s">
        <v>36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S763">
        <v>0</v>
      </c>
      <c r="U763">
        <v>0</v>
      </c>
      <c r="W763">
        <v>0</v>
      </c>
      <c r="Y763">
        <v>0</v>
      </c>
      <c r="AA763">
        <v>0</v>
      </c>
    </row>
    <row r="764" spans="1:27" x14ac:dyDescent="0.3">
      <c r="A764" t="s">
        <v>805</v>
      </c>
      <c r="B764">
        <v>45693</v>
      </c>
      <c r="C764" t="s">
        <v>733</v>
      </c>
      <c r="D764" t="s">
        <v>33</v>
      </c>
      <c r="E764" t="s">
        <v>29</v>
      </c>
      <c r="F764" t="s">
        <v>35</v>
      </c>
      <c r="G764" t="s">
        <v>31</v>
      </c>
      <c r="H764">
        <v>1</v>
      </c>
      <c r="I764">
        <v>1</v>
      </c>
      <c r="J764">
        <v>0</v>
      </c>
      <c r="K764">
        <v>0</v>
      </c>
      <c r="L764">
        <v>0</v>
      </c>
      <c r="M764">
        <v>2</v>
      </c>
      <c r="N764">
        <v>0</v>
      </c>
      <c r="P764">
        <v>71.599999999999994</v>
      </c>
      <c r="S764">
        <v>0</v>
      </c>
      <c r="U764">
        <v>1</v>
      </c>
      <c r="W764">
        <v>1</v>
      </c>
      <c r="Y764">
        <v>0</v>
      </c>
      <c r="AA764">
        <v>2</v>
      </c>
    </row>
    <row r="765" spans="1:27" x14ac:dyDescent="0.3">
      <c r="A765" t="s">
        <v>806</v>
      </c>
      <c r="B765">
        <v>45785</v>
      </c>
      <c r="C765" t="s">
        <v>733</v>
      </c>
      <c r="D765" t="s">
        <v>42</v>
      </c>
      <c r="E765" t="s">
        <v>34</v>
      </c>
      <c r="F765" t="s">
        <v>51</v>
      </c>
      <c r="G765" t="s">
        <v>31</v>
      </c>
      <c r="H765">
        <v>1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P765">
        <v>55.8</v>
      </c>
      <c r="S765">
        <v>0</v>
      </c>
      <c r="U765">
        <v>1</v>
      </c>
      <c r="W765">
        <v>1</v>
      </c>
      <c r="Y765">
        <v>0</v>
      </c>
      <c r="AA765">
        <v>0</v>
      </c>
    </row>
    <row r="766" spans="1:27" x14ac:dyDescent="0.3">
      <c r="A766" t="s">
        <v>807</v>
      </c>
      <c r="B766">
        <v>45741</v>
      </c>
      <c r="C766" t="s">
        <v>733</v>
      </c>
      <c r="D766" t="s">
        <v>42</v>
      </c>
      <c r="E766" t="s">
        <v>29</v>
      </c>
      <c r="F766" t="s">
        <v>35</v>
      </c>
      <c r="G766" t="s">
        <v>31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</v>
      </c>
      <c r="N766">
        <v>0</v>
      </c>
      <c r="P766">
        <v>60.1</v>
      </c>
      <c r="S766">
        <v>0</v>
      </c>
      <c r="U766">
        <v>0</v>
      </c>
      <c r="W766">
        <v>0</v>
      </c>
      <c r="Y766">
        <v>0</v>
      </c>
      <c r="AA766">
        <v>1</v>
      </c>
    </row>
    <row r="767" spans="1:27" x14ac:dyDescent="0.3">
      <c r="A767" t="s">
        <v>808</v>
      </c>
      <c r="B767">
        <v>45671</v>
      </c>
      <c r="C767" t="s">
        <v>733</v>
      </c>
      <c r="D767" t="s">
        <v>33</v>
      </c>
      <c r="F767" t="s">
        <v>30</v>
      </c>
      <c r="G767" t="s">
        <v>31</v>
      </c>
      <c r="H767">
        <v>1</v>
      </c>
      <c r="I767">
        <v>1</v>
      </c>
      <c r="J767">
        <v>1</v>
      </c>
      <c r="K767">
        <v>0</v>
      </c>
      <c r="L767">
        <v>0</v>
      </c>
      <c r="M767">
        <v>1</v>
      </c>
      <c r="N767">
        <v>0</v>
      </c>
      <c r="P767">
        <v>59.3</v>
      </c>
      <c r="S767">
        <v>0</v>
      </c>
      <c r="U767">
        <v>1</v>
      </c>
      <c r="W767">
        <v>1</v>
      </c>
      <c r="Y767">
        <v>1</v>
      </c>
      <c r="AA767">
        <v>1</v>
      </c>
    </row>
    <row r="768" spans="1:27" x14ac:dyDescent="0.3">
      <c r="A768" t="s">
        <v>809</v>
      </c>
      <c r="B768">
        <v>45742</v>
      </c>
      <c r="C768" t="s">
        <v>733</v>
      </c>
      <c r="D768" t="s">
        <v>28</v>
      </c>
      <c r="E768" t="s">
        <v>34</v>
      </c>
      <c r="F768" t="s">
        <v>35</v>
      </c>
      <c r="G768" t="s">
        <v>36</v>
      </c>
      <c r="H768">
        <v>1</v>
      </c>
      <c r="I768">
        <v>1</v>
      </c>
      <c r="J768">
        <v>0</v>
      </c>
      <c r="K768">
        <v>0</v>
      </c>
      <c r="L768">
        <v>0</v>
      </c>
      <c r="M768">
        <v>2</v>
      </c>
      <c r="N768">
        <v>0</v>
      </c>
      <c r="P768">
        <v>49.3</v>
      </c>
      <c r="S768">
        <v>0</v>
      </c>
      <c r="U768">
        <v>1</v>
      </c>
      <c r="W768">
        <v>1</v>
      </c>
      <c r="Y768">
        <v>0</v>
      </c>
      <c r="AA768">
        <v>2</v>
      </c>
    </row>
    <row r="769" spans="1:27" x14ac:dyDescent="0.3">
      <c r="A769" t="s">
        <v>810</v>
      </c>
      <c r="B769">
        <v>45673</v>
      </c>
      <c r="C769" t="s">
        <v>733</v>
      </c>
      <c r="D769" t="s">
        <v>38</v>
      </c>
      <c r="E769" t="s">
        <v>34</v>
      </c>
      <c r="F769" t="s">
        <v>49</v>
      </c>
      <c r="G769" t="s">
        <v>36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P769">
        <v>75</v>
      </c>
      <c r="S769">
        <v>0</v>
      </c>
      <c r="U769">
        <v>1</v>
      </c>
      <c r="W769">
        <v>0</v>
      </c>
      <c r="Y769">
        <v>0</v>
      </c>
      <c r="AA769">
        <v>0</v>
      </c>
    </row>
    <row r="770" spans="1:27" x14ac:dyDescent="0.3">
      <c r="A770" t="s">
        <v>811</v>
      </c>
      <c r="B770">
        <v>45661</v>
      </c>
      <c r="C770" t="s">
        <v>733</v>
      </c>
      <c r="D770" t="s">
        <v>38</v>
      </c>
      <c r="E770" t="s">
        <v>34</v>
      </c>
      <c r="F770" t="s">
        <v>51</v>
      </c>
      <c r="G770" t="s">
        <v>36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P770">
        <v>70.2</v>
      </c>
      <c r="S770">
        <v>0</v>
      </c>
      <c r="U770">
        <v>1</v>
      </c>
      <c r="W770">
        <v>0</v>
      </c>
      <c r="Y770">
        <v>0</v>
      </c>
      <c r="AA770">
        <v>0</v>
      </c>
    </row>
    <row r="771" spans="1:27" x14ac:dyDescent="0.3">
      <c r="A771" t="s">
        <v>812</v>
      </c>
      <c r="B771">
        <v>45697</v>
      </c>
      <c r="C771" t="s">
        <v>733</v>
      </c>
      <c r="D771" t="s">
        <v>42</v>
      </c>
      <c r="E771" t="s">
        <v>29</v>
      </c>
      <c r="F771" t="s">
        <v>35</v>
      </c>
      <c r="G771" t="s">
        <v>40</v>
      </c>
      <c r="H771">
        <v>1</v>
      </c>
      <c r="I771">
        <v>1</v>
      </c>
      <c r="J771">
        <v>1</v>
      </c>
      <c r="K771">
        <v>0</v>
      </c>
      <c r="L771">
        <v>0</v>
      </c>
      <c r="M771">
        <v>0</v>
      </c>
      <c r="N771">
        <v>0</v>
      </c>
      <c r="P771">
        <v>56.6</v>
      </c>
      <c r="S771">
        <v>0</v>
      </c>
      <c r="U771">
        <v>1</v>
      </c>
      <c r="W771">
        <v>1</v>
      </c>
      <c r="Y771">
        <v>1</v>
      </c>
      <c r="AA771">
        <v>0</v>
      </c>
    </row>
    <row r="772" spans="1:27" x14ac:dyDescent="0.3">
      <c r="A772" t="s">
        <v>813</v>
      </c>
      <c r="B772">
        <v>45721</v>
      </c>
      <c r="C772" t="s">
        <v>733</v>
      </c>
      <c r="D772" t="s">
        <v>38</v>
      </c>
      <c r="E772" t="s">
        <v>29</v>
      </c>
      <c r="F772" t="s">
        <v>35</v>
      </c>
      <c r="G772" t="s">
        <v>36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P772">
        <v>65.400000000000006</v>
      </c>
      <c r="S772">
        <v>0</v>
      </c>
      <c r="U772">
        <v>1</v>
      </c>
      <c r="W772">
        <v>0</v>
      </c>
      <c r="Y772">
        <v>0</v>
      </c>
      <c r="AA772">
        <v>0</v>
      </c>
    </row>
    <row r="773" spans="1:27" x14ac:dyDescent="0.3">
      <c r="A773" t="s">
        <v>814</v>
      </c>
      <c r="B773">
        <v>45726</v>
      </c>
      <c r="C773" t="s">
        <v>733</v>
      </c>
      <c r="D773" t="s">
        <v>38</v>
      </c>
      <c r="E773" t="s">
        <v>34</v>
      </c>
      <c r="F773" t="s">
        <v>49</v>
      </c>
      <c r="G773" t="s">
        <v>31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P773">
        <v>47.6</v>
      </c>
      <c r="S773">
        <v>0</v>
      </c>
      <c r="U773">
        <v>1</v>
      </c>
      <c r="W773">
        <v>0</v>
      </c>
      <c r="Y773">
        <v>0</v>
      </c>
      <c r="AA773">
        <v>0</v>
      </c>
    </row>
    <row r="774" spans="1:27" x14ac:dyDescent="0.3">
      <c r="A774" t="s">
        <v>815</v>
      </c>
      <c r="B774">
        <v>45715</v>
      </c>
      <c r="C774" t="s">
        <v>733</v>
      </c>
      <c r="D774" t="s">
        <v>38</v>
      </c>
      <c r="E774" t="s">
        <v>29</v>
      </c>
      <c r="F774" t="s">
        <v>39</v>
      </c>
      <c r="G774" t="s">
        <v>36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P774">
        <v>56.7</v>
      </c>
      <c r="S774">
        <v>0</v>
      </c>
      <c r="U774">
        <v>1</v>
      </c>
      <c r="W774">
        <v>0</v>
      </c>
      <c r="Y774">
        <v>0</v>
      </c>
      <c r="AA774">
        <v>0</v>
      </c>
    </row>
    <row r="775" spans="1:27" x14ac:dyDescent="0.3">
      <c r="A775" t="s">
        <v>816</v>
      </c>
      <c r="B775">
        <v>45726</v>
      </c>
      <c r="C775" t="s">
        <v>733</v>
      </c>
      <c r="D775" t="s">
        <v>28</v>
      </c>
      <c r="E775" t="s">
        <v>29</v>
      </c>
      <c r="F775" t="s">
        <v>49</v>
      </c>
      <c r="G775" t="s">
        <v>31</v>
      </c>
      <c r="H775">
        <v>1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P775">
        <v>71.400000000000006</v>
      </c>
      <c r="S775">
        <v>0</v>
      </c>
      <c r="U775">
        <v>1</v>
      </c>
      <c r="W775">
        <v>1</v>
      </c>
      <c r="Y775">
        <v>0</v>
      </c>
      <c r="AA775">
        <v>0</v>
      </c>
    </row>
    <row r="776" spans="1:27" x14ac:dyDescent="0.3">
      <c r="A776" t="s">
        <v>817</v>
      </c>
      <c r="B776">
        <v>45770</v>
      </c>
      <c r="C776" t="s">
        <v>733</v>
      </c>
      <c r="D776" t="s">
        <v>33</v>
      </c>
      <c r="E776" t="s">
        <v>34</v>
      </c>
      <c r="F776" t="s">
        <v>51</v>
      </c>
      <c r="G776" t="s">
        <v>36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2</v>
      </c>
      <c r="N776">
        <v>0</v>
      </c>
      <c r="P776">
        <v>60.5</v>
      </c>
      <c r="S776">
        <v>0</v>
      </c>
      <c r="U776">
        <v>0</v>
      </c>
      <c r="W776">
        <v>0</v>
      </c>
      <c r="Y776">
        <v>0</v>
      </c>
      <c r="AA776">
        <v>2</v>
      </c>
    </row>
    <row r="777" spans="1:27" x14ac:dyDescent="0.3">
      <c r="A777" t="s">
        <v>818</v>
      </c>
      <c r="B777">
        <v>45759</v>
      </c>
      <c r="C777" t="s">
        <v>733</v>
      </c>
      <c r="D777" t="s">
        <v>28</v>
      </c>
      <c r="E777" t="s">
        <v>29</v>
      </c>
      <c r="F777" t="s">
        <v>39</v>
      </c>
      <c r="G777" t="s">
        <v>36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P777">
        <v>46.7</v>
      </c>
      <c r="S777">
        <v>0</v>
      </c>
      <c r="U777">
        <v>1</v>
      </c>
      <c r="W777">
        <v>0</v>
      </c>
      <c r="Y777">
        <v>0</v>
      </c>
      <c r="AA777">
        <v>0</v>
      </c>
    </row>
    <row r="778" spans="1:27" x14ac:dyDescent="0.3">
      <c r="A778" t="s">
        <v>819</v>
      </c>
      <c r="B778">
        <v>45683</v>
      </c>
      <c r="C778" t="s">
        <v>733</v>
      </c>
      <c r="D778" t="s">
        <v>38</v>
      </c>
      <c r="E778" t="s">
        <v>29</v>
      </c>
      <c r="F778" t="s">
        <v>49</v>
      </c>
      <c r="G778" t="s">
        <v>36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P778">
        <v>61</v>
      </c>
      <c r="S778">
        <v>0</v>
      </c>
      <c r="U778">
        <v>0</v>
      </c>
      <c r="W778">
        <v>0</v>
      </c>
      <c r="Y778">
        <v>0</v>
      </c>
      <c r="AA778">
        <v>0</v>
      </c>
    </row>
    <row r="779" spans="1:27" x14ac:dyDescent="0.3">
      <c r="A779" t="s">
        <v>820</v>
      </c>
      <c r="B779">
        <v>45801</v>
      </c>
      <c r="C779" t="s">
        <v>733</v>
      </c>
      <c r="D779" t="s">
        <v>33</v>
      </c>
      <c r="E779" t="s">
        <v>44</v>
      </c>
      <c r="F779" t="s">
        <v>39</v>
      </c>
      <c r="G779" t="s">
        <v>36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P779">
        <v>60.9</v>
      </c>
      <c r="S779">
        <v>0</v>
      </c>
      <c r="U779">
        <v>0</v>
      </c>
      <c r="W779">
        <v>0</v>
      </c>
      <c r="Y779">
        <v>0</v>
      </c>
      <c r="AA779">
        <v>0</v>
      </c>
    </row>
    <row r="780" spans="1:27" x14ac:dyDescent="0.3">
      <c r="A780" t="s">
        <v>821</v>
      </c>
      <c r="B780">
        <v>45665</v>
      </c>
      <c r="C780" t="s">
        <v>733</v>
      </c>
      <c r="D780" t="s">
        <v>42</v>
      </c>
      <c r="E780" t="s">
        <v>34</v>
      </c>
      <c r="F780" t="s">
        <v>35</v>
      </c>
      <c r="G780" t="s">
        <v>36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P780">
        <v>67.099999999999994</v>
      </c>
      <c r="S780">
        <v>0</v>
      </c>
      <c r="U780">
        <v>1</v>
      </c>
      <c r="W780">
        <v>0</v>
      </c>
      <c r="Y780">
        <v>0</v>
      </c>
      <c r="AA780">
        <v>0</v>
      </c>
    </row>
    <row r="781" spans="1:27" x14ac:dyDescent="0.3">
      <c r="A781" t="s">
        <v>822</v>
      </c>
      <c r="B781">
        <v>45762</v>
      </c>
      <c r="C781" t="s">
        <v>733</v>
      </c>
      <c r="D781" t="s">
        <v>28</v>
      </c>
      <c r="E781" t="s">
        <v>34</v>
      </c>
      <c r="F781" t="s">
        <v>49</v>
      </c>
      <c r="G781" t="s">
        <v>36</v>
      </c>
      <c r="H781">
        <v>1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P781">
        <v>59.6</v>
      </c>
      <c r="S781">
        <v>0</v>
      </c>
      <c r="U781">
        <v>1</v>
      </c>
      <c r="W781">
        <v>1</v>
      </c>
      <c r="Y781">
        <v>0</v>
      </c>
      <c r="AA781">
        <v>0</v>
      </c>
    </row>
    <row r="782" spans="1:27" x14ac:dyDescent="0.3">
      <c r="A782" t="s">
        <v>823</v>
      </c>
      <c r="B782">
        <v>45672</v>
      </c>
      <c r="C782" t="s">
        <v>733</v>
      </c>
      <c r="D782" t="s">
        <v>42</v>
      </c>
      <c r="E782" t="s">
        <v>29</v>
      </c>
      <c r="F782" t="s">
        <v>39</v>
      </c>
      <c r="G782" t="s">
        <v>36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P782">
        <v>83.8</v>
      </c>
      <c r="S782">
        <v>0</v>
      </c>
      <c r="U782">
        <v>1</v>
      </c>
      <c r="W782">
        <v>0</v>
      </c>
      <c r="Y782">
        <v>0</v>
      </c>
      <c r="AA782">
        <v>0</v>
      </c>
    </row>
    <row r="783" spans="1:27" x14ac:dyDescent="0.3">
      <c r="A783" t="s">
        <v>824</v>
      </c>
      <c r="B783">
        <v>45716</v>
      </c>
      <c r="C783" t="s">
        <v>733</v>
      </c>
      <c r="D783" t="s">
        <v>28</v>
      </c>
      <c r="E783" t="s">
        <v>34</v>
      </c>
      <c r="F783" t="s">
        <v>35</v>
      </c>
      <c r="G783" t="s">
        <v>31</v>
      </c>
      <c r="H783">
        <v>1</v>
      </c>
      <c r="I783">
        <v>1</v>
      </c>
      <c r="J783">
        <v>1</v>
      </c>
      <c r="K783">
        <v>0</v>
      </c>
      <c r="L783">
        <v>0</v>
      </c>
      <c r="M783">
        <v>0</v>
      </c>
      <c r="N783">
        <v>0</v>
      </c>
      <c r="P783">
        <v>70.8</v>
      </c>
      <c r="S783">
        <v>0</v>
      </c>
      <c r="U783">
        <v>1</v>
      </c>
      <c r="W783">
        <v>1</v>
      </c>
      <c r="Y783">
        <v>1</v>
      </c>
      <c r="AA783">
        <v>0</v>
      </c>
    </row>
    <row r="784" spans="1:27" x14ac:dyDescent="0.3">
      <c r="A784" t="s">
        <v>825</v>
      </c>
      <c r="B784">
        <v>45658</v>
      </c>
      <c r="C784" t="s">
        <v>733</v>
      </c>
      <c r="D784" t="s">
        <v>28</v>
      </c>
      <c r="E784" t="s">
        <v>44</v>
      </c>
      <c r="F784" t="s">
        <v>35</v>
      </c>
      <c r="G784" t="s">
        <v>31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P784">
        <v>65.900000000000006</v>
      </c>
      <c r="S784">
        <v>0</v>
      </c>
      <c r="U784">
        <v>0</v>
      </c>
      <c r="W784">
        <v>0</v>
      </c>
      <c r="Y784">
        <v>0</v>
      </c>
      <c r="AA784">
        <v>0</v>
      </c>
    </row>
    <row r="785" spans="1:27" x14ac:dyDescent="0.3">
      <c r="A785" t="s">
        <v>826</v>
      </c>
      <c r="B785">
        <v>45764</v>
      </c>
      <c r="C785" t="s">
        <v>733</v>
      </c>
      <c r="D785" t="s">
        <v>33</v>
      </c>
      <c r="E785" t="s">
        <v>34</v>
      </c>
      <c r="F785" t="s">
        <v>49</v>
      </c>
      <c r="G785" t="s">
        <v>36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P785">
        <v>58</v>
      </c>
      <c r="S785">
        <v>0</v>
      </c>
      <c r="U785">
        <v>1</v>
      </c>
      <c r="W785">
        <v>0</v>
      </c>
      <c r="Y785">
        <v>0</v>
      </c>
      <c r="AA785">
        <v>0</v>
      </c>
    </row>
    <row r="786" spans="1:27" x14ac:dyDescent="0.3">
      <c r="A786" t="s">
        <v>827</v>
      </c>
      <c r="B786">
        <v>45707</v>
      </c>
      <c r="C786" t="s">
        <v>733</v>
      </c>
      <c r="D786" t="s">
        <v>28</v>
      </c>
      <c r="E786" t="s">
        <v>34</v>
      </c>
      <c r="F786" t="s">
        <v>30</v>
      </c>
      <c r="G786" t="s">
        <v>31</v>
      </c>
      <c r="H786">
        <v>1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P786">
        <v>80.3</v>
      </c>
      <c r="S786">
        <v>0</v>
      </c>
      <c r="U786">
        <v>1</v>
      </c>
      <c r="W786">
        <v>1</v>
      </c>
      <c r="Y786">
        <v>0</v>
      </c>
      <c r="AA786">
        <v>0</v>
      </c>
    </row>
    <row r="787" spans="1:27" x14ac:dyDescent="0.3">
      <c r="A787" t="s">
        <v>828</v>
      </c>
      <c r="B787">
        <v>45730</v>
      </c>
      <c r="C787" t="s">
        <v>733</v>
      </c>
      <c r="D787" t="s">
        <v>28</v>
      </c>
      <c r="E787" t="s">
        <v>29</v>
      </c>
      <c r="F787" t="s">
        <v>35</v>
      </c>
      <c r="G787" t="s">
        <v>36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P787">
        <v>55.7</v>
      </c>
      <c r="S787">
        <v>0</v>
      </c>
      <c r="U787">
        <v>1</v>
      </c>
      <c r="W787">
        <v>0</v>
      </c>
      <c r="Y787">
        <v>0</v>
      </c>
      <c r="AA787">
        <v>0</v>
      </c>
    </row>
    <row r="788" spans="1:27" x14ac:dyDescent="0.3">
      <c r="A788" t="s">
        <v>829</v>
      </c>
      <c r="B788">
        <v>45768</v>
      </c>
      <c r="C788" t="s">
        <v>733</v>
      </c>
      <c r="D788" t="s">
        <v>28</v>
      </c>
      <c r="E788" t="s">
        <v>34</v>
      </c>
      <c r="F788" t="s">
        <v>35</v>
      </c>
      <c r="G788" t="s">
        <v>36</v>
      </c>
      <c r="H788">
        <v>1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P788">
        <v>84.9</v>
      </c>
      <c r="S788">
        <v>0</v>
      </c>
      <c r="U788">
        <v>1</v>
      </c>
      <c r="W788">
        <v>1</v>
      </c>
      <c r="Y788">
        <v>0</v>
      </c>
      <c r="AA788">
        <v>0</v>
      </c>
    </row>
    <row r="789" spans="1:27" x14ac:dyDescent="0.3">
      <c r="A789" t="s">
        <v>830</v>
      </c>
      <c r="B789">
        <v>45702</v>
      </c>
      <c r="C789" t="s">
        <v>733</v>
      </c>
      <c r="D789" t="s">
        <v>28</v>
      </c>
      <c r="E789" t="s">
        <v>34</v>
      </c>
      <c r="F789" t="s">
        <v>35</v>
      </c>
      <c r="G789" t="s">
        <v>36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P789">
        <v>63.3</v>
      </c>
      <c r="S789">
        <v>0</v>
      </c>
      <c r="U789">
        <v>1</v>
      </c>
      <c r="W789">
        <v>0</v>
      </c>
      <c r="Y789">
        <v>0</v>
      </c>
      <c r="AA789">
        <v>0</v>
      </c>
    </row>
    <row r="790" spans="1:27" x14ac:dyDescent="0.3">
      <c r="A790" t="s">
        <v>831</v>
      </c>
      <c r="B790">
        <v>45807</v>
      </c>
      <c r="C790" t="s">
        <v>733</v>
      </c>
      <c r="D790" t="s">
        <v>33</v>
      </c>
      <c r="E790" t="s">
        <v>34</v>
      </c>
      <c r="F790" t="s">
        <v>35</v>
      </c>
      <c r="G790" t="s">
        <v>36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P790">
        <v>53.1</v>
      </c>
      <c r="S790">
        <v>0</v>
      </c>
      <c r="U790">
        <v>0</v>
      </c>
      <c r="W790">
        <v>0</v>
      </c>
      <c r="Y790">
        <v>0</v>
      </c>
      <c r="AA790">
        <v>0</v>
      </c>
    </row>
    <row r="791" spans="1:27" x14ac:dyDescent="0.3">
      <c r="A791" t="s">
        <v>832</v>
      </c>
      <c r="B791">
        <v>45677</v>
      </c>
      <c r="C791" t="s">
        <v>733</v>
      </c>
      <c r="D791" t="s">
        <v>33</v>
      </c>
      <c r="E791" t="s">
        <v>34</v>
      </c>
      <c r="F791" t="s">
        <v>35</v>
      </c>
      <c r="G791" t="s">
        <v>36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P791">
        <v>66</v>
      </c>
      <c r="S791">
        <v>0</v>
      </c>
      <c r="U791">
        <v>0</v>
      </c>
      <c r="W791">
        <v>0</v>
      </c>
      <c r="Y791">
        <v>0</v>
      </c>
      <c r="AA791">
        <v>0</v>
      </c>
    </row>
    <row r="792" spans="1:27" x14ac:dyDescent="0.3">
      <c r="A792" t="s">
        <v>833</v>
      </c>
      <c r="B792">
        <v>45733</v>
      </c>
      <c r="C792" t="s">
        <v>733</v>
      </c>
      <c r="D792" t="s">
        <v>33</v>
      </c>
      <c r="E792" t="s">
        <v>34</v>
      </c>
      <c r="F792" t="s">
        <v>51</v>
      </c>
      <c r="G792" t="s">
        <v>40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P792">
        <v>54.7</v>
      </c>
      <c r="S792">
        <v>0</v>
      </c>
      <c r="U792">
        <v>0</v>
      </c>
      <c r="W792">
        <v>0</v>
      </c>
      <c r="Y792">
        <v>0</v>
      </c>
      <c r="AA792">
        <v>0</v>
      </c>
    </row>
    <row r="793" spans="1:27" x14ac:dyDescent="0.3">
      <c r="A793" t="s">
        <v>834</v>
      </c>
      <c r="B793">
        <v>45720</v>
      </c>
      <c r="C793" t="s">
        <v>733</v>
      </c>
      <c r="D793" t="s">
        <v>33</v>
      </c>
      <c r="E793" t="s">
        <v>34</v>
      </c>
      <c r="F793" t="s">
        <v>51</v>
      </c>
      <c r="G793" t="s">
        <v>36</v>
      </c>
      <c r="H793">
        <v>1</v>
      </c>
      <c r="I793">
        <v>1</v>
      </c>
      <c r="J793">
        <v>0</v>
      </c>
      <c r="K793">
        <v>0</v>
      </c>
      <c r="L793">
        <v>0</v>
      </c>
      <c r="M793">
        <v>1</v>
      </c>
      <c r="N793">
        <v>0</v>
      </c>
      <c r="P793">
        <v>41.2</v>
      </c>
      <c r="S793">
        <v>0</v>
      </c>
      <c r="U793">
        <v>1</v>
      </c>
      <c r="W793">
        <v>1</v>
      </c>
      <c r="Y793">
        <v>0</v>
      </c>
      <c r="AA793">
        <v>1</v>
      </c>
    </row>
    <row r="794" spans="1:27" x14ac:dyDescent="0.3">
      <c r="A794" t="s">
        <v>835</v>
      </c>
      <c r="B794">
        <v>45710</v>
      </c>
      <c r="C794" t="s">
        <v>733</v>
      </c>
      <c r="D794" t="s">
        <v>42</v>
      </c>
      <c r="E794" t="s">
        <v>34</v>
      </c>
      <c r="F794" t="s">
        <v>35</v>
      </c>
      <c r="G794" t="s">
        <v>40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P794">
        <v>66.7</v>
      </c>
      <c r="S794">
        <v>0</v>
      </c>
      <c r="U794">
        <v>0</v>
      </c>
      <c r="W794">
        <v>0</v>
      </c>
      <c r="Y794">
        <v>0</v>
      </c>
      <c r="AA794">
        <v>0</v>
      </c>
    </row>
    <row r="795" spans="1:27" x14ac:dyDescent="0.3">
      <c r="A795" t="s">
        <v>836</v>
      </c>
      <c r="B795">
        <v>45779</v>
      </c>
      <c r="C795" t="s">
        <v>733</v>
      </c>
      <c r="D795" t="s">
        <v>28</v>
      </c>
      <c r="E795" t="s">
        <v>34</v>
      </c>
      <c r="F795" t="s">
        <v>39</v>
      </c>
      <c r="G795" t="s">
        <v>40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P795">
        <v>39.4</v>
      </c>
      <c r="S795">
        <v>0</v>
      </c>
      <c r="U795">
        <v>0</v>
      </c>
      <c r="W795">
        <v>0</v>
      </c>
      <c r="Y795">
        <v>0</v>
      </c>
      <c r="AA795">
        <v>0</v>
      </c>
    </row>
    <row r="796" spans="1:27" x14ac:dyDescent="0.3">
      <c r="A796" t="s">
        <v>837</v>
      </c>
      <c r="B796">
        <v>45729</v>
      </c>
      <c r="C796" t="s">
        <v>733</v>
      </c>
      <c r="D796" t="s">
        <v>33</v>
      </c>
      <c r="E796" t="s">
        <v>29</v>
      </c>
      <c r="F796" t="s">
        <v>35</v>
      </c>
      <c r="G796" t="s">
        <v>40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3</v>
      </c>
      <c r="N796">
        <v>0</v>
      </c>
      <c r="P796">
        <v>67</v>
      </c>
      <c r="S796">
        <v>0</v>
      </c>
      <c r="U796">
        <v>0</v>
      </c>
      <c r="W796">
        <v>0</v>
      </c>
      <c r="Y796">
        <v>0</v>
      </c>
      <c r="AA796">
        <v>3</v>
      </c>
    </row>
    <row r="797" spans="1:27" x14ac:dyDescent="0.3">
      <c r="A797" t="s">
        <v>838</v>
      </c>
      <c r="B797">
        <v>45808</v>
      </c>
      <c r="C797" t="s">
        <v>733</v>
      </c>
      <c r="D797" t="s">
        <v>42</v>
      </c>
      <c r="E797" t="s">
        <v>34</v>
      </c>
      <c r="F797" t="s">
        <v>35</v>
      </c>
      <c r="G797" t="s">
        <v>31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P797">
        <v>50.4</v>
      </c>
      <c r="S797">
        <v>0</v>
      </c>
      <c r="U797">
        <v>1</v>
      </c>
      <c r="W797">
        <v>0</v>
      </c>
      <c r="Y797">
        <v>0</v>
      </c>
      <c r="AA797">
        <v>0</v>
      </c>
    </row>
    <row r="798" spans="1:27" x14ac:dyDescent="0.3">
      <c r="A798" t="s">
        <v>839</v>
      </c>
      <c r="B798">
        <v>45723</v>
      </c>
      <c r="C798" t="s">
        <v>733</v>
      </c>
      <c r="D798" t="s">
        <v>33</v>
      </c>
      <c r="E798" t="s">
        <v>29</v>
      </c>
      <c r="F798" t="s">
        <v>51</v>
      </c>
      <c r="G798" t="s">
        <v>36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P798">
        <v>53.8</v>
      </c>
      <c r="S798">
        <v>0</v>
      </c>
      <c r="U798">
        <v>1</v>
      </c>
      <c r="W798">
        <v>0</v>
      </c>
      <c r="Y798">
        <v>0</v>
      </c>
      <c r="AA798">
        <v>0</v>
      </c>
    </row>
    <row r="799" spans="1:27" x14ac:dyDescent="0.3">
      <c r="A799" t="s">
        <v>840</v>
      </c>
      <c r="B799">
        <v>45710</v>
      </c>
      <c r="C799" t="s">
        <v>733</v>
      </c>
      <c r="D799" t="s">
        <v>33</v>
      </c>
      <c r="E799" t="s">
        <v>34</v>
      </c>
      <c r="F799" t="s">
        <v>39</v>
      </c>
      <c r="G799" t="s">
        <v>31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1</v>
      </c>
      <c r="N799">
        <v>0</v>
      </c>
      <c r="P799">
        <v>82.7</v>
      </c>
      <c r="S799">
        <v>0</v>
      </c>
      <c r="U799">
        <v>0</v>
      </c>
      <c r="W799">
        <v>0</v>
      </c>
      <c r="Y799">
        <v>0</v>
      </c>
      <c r="AA799">
        <v>1</v>
      </c>
    </row>
    <row r="800" spans="1:27" x14ac:dyDescent="0.3">
      <c r="A800" t="s">
        <v>841</v>
      </c>
      <c r="B800">
        <v>45662</v>
      </c>
      <c r="C800" t="s">
        <v>733</v>
      </c>
      <c r="D800" t="s">
        <v>33</v>
      </c>
      <c r="E800" t="s">
        <v>29</v>
      </c>
      <c r="F800" t="s">
        <v>39</v>
      </c>
      <c r="G800" t="s">
        <v>36</v>
      </c>
      <c r="H800">
        <v>1</v>
      </c>
      <c r="I800">
        <v>1</v>
      </c>
      <c r="J800">
        <v>1</v>
      </c>
      <c r="K800">
        <v>0</v>
      </c>
      <c r="L800">
        <v>0</v>
      </c>
      <c r="M800">
        <v>0</v>
      </c>
      <c r="N800">
        <v>0</v>
      </c>
      <c r="P800">
        <v>63.9</v>
      </c>
      <c r="S800">
        <v>0</v>
      </c>
      <c r="U800">
        <v>1</v>
      </c>
      <c r="W800">
        <v>1</v>
      </c>
      <c r="Y800">
        <v>1</v>
      </c>
      <c r="AA800">
        <v>0</v>
      </c>
    </row>
    <row r="801" spans="1:27" x14ac:dyDescent="0.3">
      <c r="A801" t="s">
        <v>842</v>
      </c>
      <c r="B801">
        <v>45678</v>
      </c>
      <c r="C801" t="s">
        <v>733</v>
      </c>
      <c r="D801" t="s">
        <v>33</v>
      </c>
      <c r="E801" t="s">
        <v>34</v>
      </c>
      <c r="F801" t="s">
        <v>49</v>
      </c>
      <c r="G801" t="s">
        <v>36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P801">
        <v>61.9</v>
      </c>
      <c r="S801">
        <v>0</v>
      </c>
      <c r="U801">
        <v>1</v>
      </c>
      <c r="W801">
        <v>0</v>
      </c>
      <c r="Y801">
        <v>0</v>
      </c>
      <c r="AA801">
        <v>0</v>
      </c>
    </row>
    <row r="802" spans="1:27" x14ac:dyDescent="0.3">
      <c r="A802" t="s">
        <v>843</v>
      </c>
      <c r="B802">
        <v>45682</v>
      </c>
      <c r="C802" t="s">
        <v>733</v>
      </c>
      <c r="D802" t="s">
        <v>28</v>
      </c>
      <c r="E802" t="s">
        <v>29</v>
      </c>
      <c r="F802" t="s">
        <v>51</v>
      </c>
      <c r="G802" t="s">
        <v>36</v>
      </c>
      <c r="H802">
        <v>1</v>
      </c>
      <c r="I802">
        <v>1</v>
      </c>
      <c r="J802">
        <v>1</v>
      </c>
      <c r="K802">
        <v>0</v>
      </c>
      <c r="L802">
        <v>0</v>
      </c>
      <c r="M802">
        <v>0</v>
      </c>
      <c r="N802">
        <v>0</v>
      </c>
      <c r="P802">
        <v>75</v>
      </c>
      <c r="S802">
        <v>0</v>
      </c>
      <c r="U802">
        <v>1</v>
      </c>
      <c r="W802">
        <v>1</v>
      </c>
      <c r="Y802">
        <v>1</v>
      </c>
      <c r="AA802">
        <v>0</v>
      </c>
    </row>
    <row r="803" spans="1:27" x14ac:dyDescent="0.3">
      <c r="A803" t="s">
        <v>844</v>
      </c>
      <c r="B803">
        <v>45751</v>
      </c>
      <c r="C803" t="s">
        <v>733</v>
      </c>
      <c r="D803" t="s">
        <v>33</v>
      </c>
      <c r="E803" t="s">
        <v>34</v>
      </c>
      <c r="F803" t="s">
        <v>39</v>
      </c>
      <c r="G803" t="s">
        <v>31</v>
      </c>
      <c r="H803">
        <v>1</v>
      </c>
      <c r="I803">
        <v>1</v>
      </c>
      <c r="J803">
        <v>1</v>
      </c>
      <c r="K803">
        <v>0</v>
      </c>
      <c r="L803">
        <v>0</v>
      </c>
      <c r="M803">
        <v>0</v>
      </c>
      <c r="N803">
        <v>0</v>
      </c>
      <c r="P803">
        <v>43</v>
      </c>
      <c r="S803">
        <v>0</v>
      </c>
      <c r="U803">
        <v>1</v>
      </c>
      <c r="W803">
        <v>1</v>
      </c>
      <c r="Y803">
        <v>1</v>
      </c>
      <c r="AA803">
        <v>0</v>
      </c>
    </row>
    <row r="804" spans="1:27" x14ac:dyDescent="0.3">
      <c r="A804" t="s">
        <v>845</v>
      </c>
      <c r="B804">
        <v>45741</v>
      </c>
      <c r="C804" t="s">
        <v>733</v>
      </c>
      <c r="D804" t="s">
        <v>28</v>
      </c>
      <c r="E804" t="s">
        <v>29</v>
      </c>
      <c r="F804" t="s">
        <v>51</v>
      </c>
      <c r="G804" t="s">
        <v>40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P804">
        <v>54.3</v>
      </c>
      <c r="S804">
        <v>0</v>
      </c>
      <c r="U804">
        <v>0</v>
      </c>
      <c r="W804">
        <v>0</v>
      </c>
      <c r="Y804">
        <v>0</v>
      </c>
      <c r="AA804">
        <v>0</v>
      </c>
    </row>
    <row r="805" spans="1:27" x14ac:dyDescent="0.3">
      <c r="A805" t="s">
        <v>846</v>
      </c>
      <c r="B805">
        <v>45735</v>
      </c>
      <c r="C805" t="s">
        <v>733</v>
      </c>
      <c r="D805" t="s">
        <v>33</v>
      </c>
      <c r="E805" t="s">
        <v>34</v>
      </c>
      <c r="F805" t="s">
        <v>51</v>
      </c>
      <c r="G805" t="s">
        <v>36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2</v>
      </c>
      <c r="N805">
        <v>0</v>
      </c>
      <c r="P805">
        <v>44.3</v>
      </c>
      <c r="S805">
        <v>0</v>
      </c>
      <c r="U805">
        <v>0</v>
      </c>
      <c r="W805">
        <v>0</v>
      </c>
      <c r="Y805">
        <v>0</v>
      </c>
      <c r="AA805">
        <v>2</v>
      </c>
    </row>
    <row r="806" spans="1:27" x14ac:dyDescent="0.3">
      <c r="A806" t="s">
        <v>847</v>
      </c>
      <c r="B806">
        <v>45771</v>
      </c>
      <c r="C806" t="s">
        <v>733</v>
      </c>
      <c r="D806" t="s">
        <v>33</v>
      </c>
      <c r="E806" t="s">
        <v>29</v>
      </c>
      <c r="F806" t="s">
        <v>35</v>
      </c>
      <c r="G806" t="s">
        <v>36</v>
      </c>
      <c r="H806">
        <v>1</v>
      </c>
      <c r="I806">
        <v>1</v>
      </c>
      <c r="J806">
        <v>1</v>
      </c>
      <c r="K806">
        <v>1</v>
      </c>
      <c r="L806">
        <v>402.88</v>
      </c>
      <c r="M806">
        <v>0</v>
      </c>
      <c r="N806">
        <v>0</v>
      </c>
      <c r="O806">
        <v>12</v>
      </c>
      <c r="P806">
        <v>76</v>
      </c>
      <c r="S806">
        <v>0</v>
      </c>
      <c r="U806">
        <v>1</v>
      </c>
      <c r="W806">
        <v>1</v>
      </c>
      <c r="Y806">
        <v>1</v>
      </c>
      <c r="AA806">
        <v>0</v>
      </c>
    </row>
    <row r="807" spans="1:27" x14ac:dyDescent="0.3">
      <c r="A807" t="s">
        <v>848</v>
      </c>
      <c r="B807">
        <v>45751</v>
      </c>
      <c r="C807" t="s">
        <v>733</v>
      </c>
      <c r="D807" t="s">
        <v>42</v>
      </c>
      <c r="E807" t="s">
        <v>44</v>
      </c>
      <c r="F807" t="s">
        <v>35</v>
      </c>
      <c r="G807" t="s">
        <v>36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2</v>
      </c>
      <c r="N807">
        <v>0</v>
      </c>
      <c r="P807">
        <v>65.3</v>
      </c>
      <c r="S807">
        <v>1</v>
      </c>
      <c r="U807">
        <v>1</v>
      </c>
      <c r="W807">
        <v>0</v>
      </c>
      <c r="Y807">
        <v>0</v>
      </c>
      <c r="AA807">
        <v>2</v>
      </c>
    </row>
    <row r="808" spans="1:27" x14ac:dyDescent="0.3">
      <c r="A808" t="s">
        <v>849</v>
      </c>
      <c r="B808">
        <v>45744</v>
      </c>
      <c r="C808" t="s">
        <v>733</v>
      </c>
      <c r="D808" t="s">
        <v>42</v>
      </c>
      <c r="E808" t="s">
        <v>29</v>
      </c>
      <c r="F808" t="s">
        <v>39</v>
      </c>
      <c r="G808" t="s">
        <v>40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P808">
        <v>71.2</v>
      </c>
      <c r="S808">
        <v>0</v>
      </c>
      <c r="U808">
        <v>1</v>
      </c>
      <c r="W808">
        <v>0</v>
      </c>
      <c r="Y808">
        <v>0</v>
      </c>
      <c r="AA808">
        <v>0</v>
      </c>
    </row>
    <row r="809" spans="1:27" x14ac:dyDescent="0.3">
      <c r="A809" t="s">
        <v>850</v>
      </c>
      <c r="B809">
        <v>45792</v>
      </c>
      <c r="C809" t="s">
        <v>733</v>
      </c>
      <c r="D809" t="s">
        <v>42</v>
      </c>
      <c r="E809" t="s">
        <v>44</v>
      </c>
      <c r="F809" t="s">
        <v>39</v>
      </c>
      <c r="G809" t="s">
        <v>36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P809">
        <v>77.900000000000006</v>
      </c>
      <c r="S809">
        <v>0</v>
      </c>
      <c r="U809">
        <v>1</v>
      </c>
      <c r="W809">
        <v>0</v>
      </c>
      <c r="Y809">
        <v>0</v>
      </c>
      <c r="AA809">
        <v>0</v>
      </c>
    </row>
    <row r="810" spans="1:27" x14ac:dyDescent="0.3">
      <c r="A810" t="s">
        <v>851</v>
      </c>
      <c r="B810">
        <v>45729</v>
      </c>
      <c r="C810" t="s">
        <v>733</v>
      </c>
      <c r="D810" t="s">
        <v>33</v>
      </c>
      <c r="E810" t="s">
        <v>34</v>
      </c>
      <c r="F810" t="s">
        <v>39</v>
      </c>
      <c r="G810" t="s">
        <v>36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P810">
        <v>48.6</v>
      </c>
      <c r="S810">
        <v>0</v>
      </c>
      <c r="U810">
        <v>0</v>
      </c>
      <c r="W810">
        <v>0</v>
      </c>
      <c r="Y810">
        <v>0</v>
      </c>
      <c r="AA810">
        <v>0</v>
      </c>
    </row>
    <row r="811" spans="1:27" x14ac:dyDescent="0.3">
      <c r="A811" t="s">
        <v>852</v>
      </c>
      <c r="B811">
        <v>45742</v>
      </c>
      <c r="C811" t="s">
        <v>733</v>
      </c>
      <c r="D811" t="s">
        <v>28</v>
      </c>
      <c r="E811" t="s">
        <v>34</v>
      </c>
      <c r="F811" t="s">
        <v>51</v>
      </c>
      <c r="G811" t="s">
        <v>40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P811">
        <v>61.9</v>
      </c>
      <c r="S811">
        <v>0</v>
      </c>
      <c r="U811">
        <v>1</v>
      </c>
      <c r="W811">
        <v>0</v>
      </c>
      <c r="Y811">
        <v>0</v>
      </c>
      <c r="AA811">
        <v>0</v>
      </c>
    </row>
    <row r="812" spans="1:27" x14ac:dyDescent="0.3">
      <c r="A812" t="s">
        <v>853</v>
      </c>
      <c r="B812">
        <v>45666</v>
      </c>
      <c r="C812" t="s">
        <v>733</v>
      </c>
      <c r="D812" t="s">
        <v>28</v>
      </c>
      <c r="E812" t="s">
        <v>34</v>
      </c>
      <c r="F812" t="s">
        <v>51</v>
      </c>
      <c r="G812" t="s">
        <v>31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1</v>
      </c>
      <c r="N812">
        <v>0</v>
      </c>
      <c r="P812">
        <v>58.7</v>
      </c>
      <c r="S812">
        <v>0</v>
      </c>
      <c r="U812">
        <v>0</v>
      </c>
      <c r="W812">
        <v>0</v>
      </c>
      <c r="Y812">
        <v>0</v>
      </c>
      <c r="AA812">
        <v>1</v>
      </c>
    </row>
    <row r="813" spans="1:27" x14ac:dyDescent="0.3">
      <c r="A813" t="s">
        <v>854</v>
      </c>
      <c r="B813">
        <v>45783</v>
      </c>
      <c r="C813" t="s">
        <v>733</v>
      </c>
      <c r="D813" t="s">
        <v>42</v>
      </c>
      <c r="E813" t="s">
        <v>29</v>
      </c>
      <c r="F813" t="s">
        <v>39</v>
      </c>
      <c r="G813" t="s">
        <v>36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P813">
        <v>69.599999999999994</v>
      </c>
      <c r="S813">
        <v>0</v>
      </c>
      <c r="U813">
        <v>1</v>
      </c>
      <c r="W813">
        <v>0</v>
      </c>
      <c r="Y813">
        <v>0</v>
      </c>
      <c r="AA813">
        <v>0</v>
      </c>
    </row>
    <row r="814" spans="1:27" x14ac:dyDescent="0.3">
      <c r="A814" t="s">
        <v>855</v>
      </c>
      <c r="B814">
        <v>45705</v>
      </c>
      <c r="C814" t="s">
        <v>733</v>
      </c>
      <c r="D814" t="s">
        <v>42</v>
      </c>
      <c r="E814" t="s">
        <v>34</v>
      </c>
      <c r="F814" t="s">
        <v>35</v>
      </c>
      <c r="G814" t="s">
        <v>36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P814">
        <v>51.5</v>
      </c>
      <c r="S814">
        <v>0</v>
      </c>
      <c r="U814">
        <v>1</v>
      </c>
      <c r="W814">
        <v>0</v>
      </c>
      <c r="Y814">
        <v>0</v>
      </c>
      <c r="AA814">
        <v>0</v>
      </c>
    </row>
    <row r="815" spans="1:27" x14ac:dyDescent="0.3">
      <c r="A815" t="s">
        <v>856</v>
      </c>
      <c r="B815">
        <v>45752</v>
      </c>
      <c r="C815" t="s">
        <v>733</v>
      </c>
      <c r="D815" t="s">
        <v>38</v>
      </c>
      <c r="E815" t="s">
        <v>34</v>
      </c>
      <c r="F815" t="s">
        <v>39</v>
      </c>
      <c r="G815" t="s">
        <v>36</v>
      </c>
      <c r="H815">
        <v>1</v>
      </c>
      <c r="I815">
        <v>1</v>
      </c>
      <c r="J815">
        <v>1</v>
      </c>
      <c r="K815">
        <v>1</v>
      </c>
      <c r="L815">
        <v>277.69</v>
      </c>
      <c r="M815">
        <v>3</v>
      </c>
      <c r="N815">
        <v>0</v>
      </c>
      <c r="O815">
        <v>8</v>
      </c>
      <c r="P815">
        <v>46</v>
      </c>
      <c r="S815">
        <v>0</v>
      </c>
      <c r="U815">
        <v>1</v>
      </c>
      <c r="W815">
        <v>1</v>
      </c>
      <c r="Y815">
        <v>1</v>
      </c>
      <c r="AA815">
        <v>3</v>
      </c>
    </row>
    <row r="816" spans="1:27" x14ac:dyDescent="0.3">
      <c r="A816" t="s">
        <v>857</v>
      </c>
      <c r="B816">
        <v>45760</v>
      </c>
      <c r="C816" t="s">
        <v>733</v>
      </c>
      <c r="D816" t="s">
        <v>33</v>
      </c>
      <c r="E816" t="s">
        <v>44</v>
      </c>
      <c r="F816" t="s">
        <v>35</v>
      </c>
      <c r="G816" t="s">
        <v>36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P816">
        <v>81.7</v>
      </c>
      <c r="S816">
        <v>1</v>
      </c>
      <c r="U816">
        <v>1</v>
      </c>
      <c r="W816">
        <v>0</v>
      </c>
      <c r="Y816">
        <v>0</v>
      </c>
      <c r="AA816">
        <v>0</v>
      </c>
    </row>
    <row r="817" spans="1:27" x14ac:dyDescent="0.3">
      <c r="A817" t="s">
        <v>858</v>
      </c>
      <c r="B817">
        <v>45797</v>
      </c>
      <c r="C817" t="s">
        <v>733</v>
      </c>
      <c r="D817" t="s">
        <v>38</v>
      </c>
      <c r="E817" t="s">
        <v>29</v>
      </c>
      <c r="F817" t="s">
        <v>49</v>
      </c>
      <c r="G817" t="s">
        <v>36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P817">
        <v>48.3</v>
      </c>
      <c r="S817">
        <v>0</v>
      </c>
      <c r="U817">
        <v>1</v>
      </c>
      <c r="W817">
        <v>0</v>
      </c>
      <c r="Y817">
        <v>0</v>
      </c>
      <c r="AA817">
        <v>0</v>
      </c>
    </row>
    <row r="818" spans="1:27" x14ac:dyDescent="0.3">
      <c r="A818" t="s">
        <v>859</v>
      </c>
      <c r="B818">
        <v>45747</v>
      </c>
      <c r="C818" t="s">
        <v>733</v>
      </c>
      <c r="D818" t="s">
        <v>38</v>
      </c>
      <c r="E818" t="s">
        <v>34</v>
      </c>
      <c r="F818" t="s">
        <v>30</v>
      </c>
      <c r="G818" t="s">
        <v>36</v>
      </c>
      <c r="H818">
        <v>1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P818">
        <v>85.6</v>
      </c>
      <c r="S818">
        <v>0</v>
      </c>
      <c r="U818">
        <v>1</v>
      </c>
      <c r="W818">
        <v>1</v>
      </c>
      <c r="Y818">
        <v>0</v>
      </c>
      <c r="AA818">
        <v>0</v>
      </c>
    </row>
    <row r="819" spans="1:27" x14ac:dyDescent="0.3">
      <c r="A819" t="s">
        <v>860</v>
      </c>
      <c r="B819">
        <v>45750</v>
      </c>
      <c r="C819" t="s">
        <v>733</v>
      </c>
      <c r="D819" t="s">
        <v>33</v>
      </c>
      <c r="E819" t="s">
        <v>44</v>
      </c>
      <c r="F819" t="s">
        <v>39</v>
      </c>
      <c r="G819" t="s">
        <v>31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P819">
        <v>53.8</v>
      </c>
      <c r="S819">
        <v>0</v>
      </c>
      <c r="U819">
        <v>1</v>
      </c>
      <c r="W819">
        <v>0</v>
      </c>
      <c r="Y819">
        <v>0</v>
      </c>
      <c r="AA819">
        <v>0</v>
      </c>
    </row>
    <row r="820" spans="1:27" x14ac:dyDescent="0.3">
      <c r="A820" t="s">
        <v>861</v>
      </c>
      <c r="B820">
        <v>45692</v>
      </c>
      <c r="C820" t="s">
        <v>733</v>
      </c>
      <c r="D820" t="s">
        <v>42</v>
      </c>
      <c r="E820" t="s">
        <v>34</v>
      </c>
      <c r="F820" t="s">
        <v>35</v>
      </c>
      <c r="G820" t="s">
        <v>36</v>
      </c>
      <c r="H820">
        <v>1</v>
      </c>
      <c r="I820">
        <v>1</v>
      </c>
      <c r="J820">
        <v>1</v>
      </c>
      <c r="K820">
        <v>1</v>
      </c>
      <c r="L820">
        <v>460.83</v>
      </c>
      <c r="M820">
        <v>2</v>
      </c>
      <c r="N820">
        <v>0</v>
      </c>
      <c r="O820">
        <v>0</v>
      </c>
      <c r="P820">
        <v>69.7</v>
      </c>
      <c r="S820">
        <v>0</v>
      </c>
      <c r="U820">
        <v>1</v>
      </c>
      <c r="W820">
        <v>1</v>
      </c>
      <c r="Y820">
        <v>1</v>
      </c>
      <c r="AA820">
        <v>2</v>
      </c>
    </row>
    <row r="821" spans="1:27" x14ac:dyDescent="0.3">
      <c r="A821" t="s">
        <v>862</v>
      </c>
      <c r="B821">
        <v>45796</v>
      </c>
      <c r="C821" t="s">
        <v>733</v>
      </c>
      <c r="D821" t="s">
        <v>38</v>
      </c>
      <c r="E821" t="s">
        <v>34</v>
      </c>
      <c r="F821" t="s">
        <v>35</v>
      </c>
      <c r="G821" t="s">
        <v>36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P821">
        <v>74.8</v>
      </c>
      <c r="S821">
        <v>1</v>
      </c>
      <c r="U821">
        <v>1</v>
      </c>
      <c r="W821">
        <v>0</v>
      </c>
      <c r="Y821">
        <v>0</v>
      </c>
      <c r="AA821">
        <v>0</v>
      </c>
    </row>
    <row r="822" spans="1:27" x14ac:dyDescent="0.3">
      <c r="A822" t="s">
        <v>863</v>
      </c>
      <c r="B822">
        <v>45724</v>
      </c>
      <c r="C822" t="s">
        <v>733</v>
      </c>
      <c r="D822" t="s">
        <v>38</v>
      </c>
      <c r="E822" t="s">
        <v>29</v>
      </c>
      <c r="F822" t="s">
        <v>39</v>
      </c>
      <c r="G822" t="s">
        <v>31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P822">
        <v>87.9</v>
      </c>
      <c r="S822">
        <v>0</v>
      </c>
      <c r="U822">
        <v>0</v>
      </c>
      <c r="W822">
        <v>0</v>
      </c>
      <c r="Y822">
        <v>0</v>
      </c>
      <c r="AA822">
        <v>0</v>
      </c>
    </row>
    <row r="823" spans="1:27" x14ac:dyDescent="0.3">
      <c r="A823" t="s">
        <v>864</v>
      </c>
      <c r="B823">
        <v>45787</v>
      </c>
      <c r="C823" t="s">
        <v>733</v>
      </c>
      <c r="D823" t="s">
        <v>28</v>
      </c>
      <c r="E823" t="s">
        <v>34</v>
      </c>
      <c r="F823" t="s">
        <v>51</v>
      </c>
      <c r="G823" t="s">
        <v>31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1</v>
      </c>
      <c r="N823">
        <v>0</v>
      </c>
      <c r="P823">
        <v>49.1</v>
      </c>
      <c r="S823">
        <v>0</v>
      </c>
      <c r="U823">
        <v>1</v>
      </c>
      <c r="W823">
        <v>0</v>
      </c>
      <c r="Y823">
        <v>0</v>
      </c>
      <c r="AA823">
        <v>1</v>
      </c>
    </row>
    <row r="824" spans="1:27" x14ac:dyDescent="0.3">
      <c r="A824" t="s">
        <v>865</v>
      </c>
      <c r="B824">
        <v>45659</v>
      </c>
      <c r="C824" t="s">
        <v>733</v>
      </c>
      <c r="D824" t="s">
        <v>38</v>
      </c>
      <c r="E824" t="s">
        <v>29</v>
      </c>
      <c r="F824" t="s">
        <v>51</v>
      </c>
      <c r="G824" t="s">
        <v>31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2</v>
      </c>
      <c r="N824">
        <v>0</v>
      </c>
      <c r="P824">
        <v>73</v>
      </c>
      <c r="S824">
        <v>0</v>
      </c>
      <c r="U824">
        <v>1</v>
      </c>
      <c r="W824">
        <v>0</v>
      </c>
      <c r="Y824">
        <v>0</v>
      </c>
      <c r="AA824">
        <v>2</v>
      </c>
    </row>
    <row r="825" spans="1:27" x14ac:dyDescent="0.3">
      <c r="A825" t="s">
        <v>866</v>
      </c>
      <c r="B825">
        <v>45674</v>
      </c>
      <c r="C825" t="s">
        <v>733</v>
      </c>
      <c r="D825" t="s">
        <v>33</v>
      </c>
      <c r="E825" t="s">
        <v>34</v>
      </c>
      <c r="F825" t="s">
        <v>35</v>
      </c>
      <c r="G825" t="s">
        <v>31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P825">
        <v>79.5</v>
      </c>
      <c r="S825">
        <v>0</v>
      </c>
      <c r="U825">
        <v>0</v>
      </c>
      <c r="W825">
        <v>0</v>
      </c>
      <c r="Y825">
        <v>0</v>
      </c>
      <c r="AA825">
        <v>0</v>
      </c>
    </row>
    <row r="826" spans="1:27" x14ac:dyDescent="0.3">
      <c r="A826" t="s">
        <v>867</v>
      </c>
      <c r="B826">
        <v>45798</v>
      </c>
      <c r="C826" t="s">
        <v>733</v>
      </c>
      <c r="D826" t="s">
        <v>33</v>
      </c>
      <c r="E826" t="s">
        <v>34</v>
      </c>
      <c r="F826" t="s">
        <v>49</v>
      </c>
      <c r="G826" t="s">
        <v>31</v>
      </c>
      <c r="H826">
        <v>1</v>
      </c>
      <c r="I826">
        <v>1</v>
      </c>
      <c r="J826">
        <v>1</v>
      </c>
      <c r="K826">
        <v>1</v>
      </c>
      <c r="L826">
        <v>782.23</v>
      </c>
      <c r="M826">
        <v>1</v>
      </c>
      <c r="N826">
        <v>0</v>
      </c>
      <c r="O826">
        <v>6</v>
      </c>
      <c r="P826">
        <v>93.2</v>
      </c>
      <c r="S826">
        <v>0</v>
      </c>
      <c r="U826">
        <v>1</v>
      </c>
      <c r="W826">
        <v>1</v>
      </c>
      <c r="Y826">
        <v>1</v>
      </c>
      <c r="AA826">
        <v>1</v>
      </c>
    </row>
    <row r="827" spans="1:27" x14ac:dyDescent="0.3">
      <c r="A827" t="s">
        <v>868</v>
      </c>
      <c r="B827">
        <v>45802</v>
      </c>
      <c r="C827" t="s">
        <v>733</v>
      </c>
      <c r="D827" t="s">
        <v>38</v>
      </c>
      <c r="E827" t="s">
        <v>29</v>
      </c>
      <c r="F827" t="s">
        <v>49</v>
      </c>
      <c r="G827" t="s">
        <v>36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3</v>
      </c>
      <c r="N827">
        <v>0</v>
      </c>
      <c r="P827">
        <v>77.5</v>
      </c>
      <c r="S827">
        <v>1</v>
      </c>
      <c r="U827">
        <v>1</v>
      </c>
      <c r="W827">
        <v>0</v>
      </c>
      <c r="Y827">
        <v>0</v>
      </c>
      <c r="AA827">
        <v>3</v>
      </c>
    </row>
    <row r="828" spans="1:27" x14ac:dyDescent="0.3">
      <c r="A828" t="s">
        <v>869</v>
      </c>
      <c r="B828">
        <v>45662</v>
      </c>
      <c r="C828" t="s">
        <v>733</v>
      </c>
      <c r="D828" t="s">
        <v>33</v>
      </c>
      <c r="E828" t="s">
        <v>34</v>
      </c>
      <c r="F828" t="s">
        <v>30</v>
      </c>
      <c r="G828" t="s">
        <v>31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P828">
        <v>61</v>
      </c>
      <c r="S828">
        <v>0</v>
      </c>
      <c r="U828">
        <v>1</v>
      </c>
      <c r="W828">
        <v>0</v>
      </c>
      <c r="Y828">
        <v>0</v>
      </c>
      <c r="AA828">
        <v>0</v>
      </c>
    </row>
    <row r="829" spans="1:27" x14ac:dyDescent="0.3">
      <c r="A829" t="s">
        <v>870</v>
      </c>
      <c r="B829">
        <v>45712</v>
      </c>
      <c r="C829" t="s">
        <v>733</v>
      </c>
      <c r="D829" t="s">
        <v>42</v>
      </c>
      <c r="E829" t="s">
        <v>29</v>
      </c>
      <c r="F829" t="s">
        <v>35</v>
      </c>
      <c r="G829" t="s">
        <v>36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P829">
        <v>64.900000000000006</v>
      </c>
      <c r="S829">
        <v>0</v>
      </c>
      <c r="U829">
        <v>1</v>
      </c>
      <c r="W829">
        <v>1</v>
      </c>
      <c r="Y829">
        <v>0</v>
      </c>
      <c r="AA829">
        <v>0</v>
      </c>
    </row>
    <row r="830" spans="1:27" x14ac:dyDescent="0.3">
      <c r="A830" t="s">
        <v>871</v>
      </c>
      <c r="B830">
        <v>45678</v>
      </c>
      <c r="C830" t="s">
        <v>733</v>
      </c>
      <c r="D830" t="s">
        <v>38</v>
      </c>
      <c r="E830" t="s">
        <v>34</v>
      </c>
      <c r="F830" t="s">
        <v>39</v>
      </c>
      <c r="G830" t="s">
        <v>31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P830">
        <v>87.5</v>
      </c>
      <c r="S830">
        <v>0</v>
      </c>
      <c r="U830">
        <v>1</v>
      </c>
      <c r="W830">
        <v>0</v>
      </c>
      <c r="Y830">
        <v>0</v>
      </c>
      <c r="AA830">
        <v>0</v>
      </c>
    </row>
    <row r="831" spans="1:27" x14ac:dyDescent="0.3">
      <c r="A831" t="s">
        <v>872</v>
      </c>
      <c r="B831">
        <v>45771</v>
      </c>
      <c r="C831" t="s">
        <v>733</v>
      </c>
      <c r="D831" t="s">
        <v>28</v>
      </c>
      <c r="E831" t="s">
        <v>34</v>
      </c>
      <c r="F831" t="s">
        <v>35</v>
      </c>
      <c r="G831" t="s">
        <v>31</v>
      </c>
      <c r="H831">
        <v>1</v>
      </c>
      <c r="I831">
        <v>1</v>
      </c>
      <c r="J831">
        <v>1</v>
      </c>
      <c r="K831">
        <v>1</v>
      </c>
      <c r="L831">
        <v>1171.99</v>
      </c>
      <c r="M831">
        <v>0</v>
      </c>
      <c r="N831">
        <v>0</v>
      </c>
      <c r="O831">
        <v>5</v>
      </c>
      <c r="P831">
        <v>80.599999999999994</v>
      </c>
      <c r="S831">
        <v>0</v>
      </c>
      <c r="U831">
        <v>1</v>
      </c>
      <c r="W831">
        <v>1</v>
      </c>
      <c r="Y831">
        <v>1</v>
      </c>
      <c r="AA831">
        <v>0</v>
      </c>
    </row>
    <row r="832" spans="1:27" x14ac:dyDescent="0.3">
      <c r="A832" t="s">
        <v>873</v>
      </c>
      <c r="B832">
        <v>45664</v>
      </c>
      <c r="C832" t="s">
        <v>733</v>
      </c>
      <c r="D832" t="s">
        <v>33</v>
      </c>
      <c r="E832" t="s">
        <v>29</v>
      </c>
      <c r="F832" t="s">
        <v>35</v>
      </c>
      <c r="G832" t="s">
        <v>36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P832">
        <v>66.900000000000006</v>
      </c>
      <c r="S832">
        <v>1</v>
      </c>
      <c r="U832">
        <v>1</v>
      </c>
      <c r="W832">
        <v>0</v>
      </c>
      <c r="Y832">
        <v>0</v>
      </c>
      <c r="AA832">
        <v>0</v>
      </c>
    </row>
    <row r="833" spans="1:27" x14ac:dyDescent="0.3">
      <c r="A833" t="s">
        <v>874</v>
      </c>
      <c r="B833">
        <v>45808</v>
      </c>
      <c r="C833" t="s">
        <v>733</v>
      </c>
      <c r="D833" t="s">
        <v>42</v>
      </c>
      <c r="E833" t="s">
        <v>44</v>
      </c>
      <c r="F833" t="s">
        <v>35</v>
      </c>
      <c r="G833" t="s">
        <v>31</v>
      </c>
      <c r="H833">
        <v>1</v>
      </c>
      <c r="I833">
        <v>1</v>
      </c>
      <c r="J833">
        <v>1</v>
      </c>
      <c r="K833">
        <v>0</v>
      </c>
      <c r="L833">
        <v>0</v>
      </c>
      <c r="M833">
        <v>0</v>
      </c>
      <c r="N833">
        <v>0</v>
      </c>
      <c r="P833">
        <v>58.8</v>
      </c>
      <c r="S833">
        <v>0</v>
      </c>
      <c r="U833">
        <v>1</v>
      </c>
      <c r="W833">
        <v>1</v>
      </c>
      <c r="Y833">
        <v>1</v>
      </c>
      <c r="AA833">
        <v>0</v>
      </c>
    </row>
    <row r="834" spans="1:27" x14ac:dyDescent="0.3">
      <c r="A834" t="s">
        <v>875</v>
      </c>
      <c r="B834">
        <v>45749</v>
      </c>
      <c r="C834" t="s">
        <v>733</v>
      </c>
      <c r="D834" t="s">
        <v>28</v>
      </c>
      <c r="E834" t="s">
        <v>29</v>
      </c>
      <c r="F834" t="s">
        <v>35</v>
      </c>
      <c r="G834" t="s">
        <v>31</v>
      </c>
      <c r="H834">
        <v>1</v>
      </c>
      <c r="I834">
        <v>1</v>
      </c>
      <c r="J834">
        <v>1</v>
      </c>
      <c r="K834">
        <v>1</v>
      </c>
      <c r="L834">
        <v>1010.4</v>
      </c>
      <c r="M834">
        <v>0</v>
      </c>
      <c r="N834">
        <v>0</v>
      </c>
      <c r="O834">
        <v>4</v>
      </c>
      <c r="P834">
        <v>42.9</v>
      </c>
      <c r="S834">
        <v>0</v>
      </c>
      <c r="U834">
        <v>1</v>
      </c>
      <c r="W834">
        <v>1</v>
      </c>
      <c r="Y834">
        <v>1</v>
      </c>
      <c r="AA834">
        <v>0</v>
      </c>
    </row>
    <row r="835" spans="1:27" x14ac:dyDescent="0.3">
      <c r="A835" t="s">
        <v>876</v>
      </c>
      <c r="B835">
        <v>45768</v>
      </c>
      <c r="C835" t="s">
        <v>733</v>
      </c>
      <c r="D835" t="s">
        <v>38</v>
      </c>
      <c r="E835" t="s">
        <v>34</v>
      </c>
      <c r="F835" t="s">
        <v>35</v>
      </c>
      <c r="G835" t="s">
        <v>36</v>
      </c>
      <c r="H835">
        <v>1</v>
      </c>
      <c r="I835">
        <v>1</v>
      </c>
      <c r="J835">
        <v>1</v>
      </c>
      <c r="K835">
        <v>0</v>
      </c>
      <c r="L835">
        <v>0</v>
      </c>
      <c r="M835">
        <v>1</v>
      </c>
      <c r="N835">
        <v>0</v>
      </c>
      <c r="P835">
        <v>60.2</v>
      </c>
      <c r="S835">
        <v>1</v>
      </c>
      <c r="U835">
        <v>1</v>
      </c>
      <c r="W835">
        <v>1</v>
      </c>
      <c r="Y835">
        <v>1</v>
      </c>
      <c r="AA835">
        <v>1</v>
      </c>
    </row>
    <row r="836" spans="1:27" x14ac:dyDescent="0.3">
      <c r="A836" t="s">
        <v>877</v>
      </c>
      <c r="B836">
        <v>45782</v>
      </c>
      <c r="C836" t="s">
        <v>733</v>
      </c>
      <c r="D836" t="s">
        <v>38</v>
      </c>
      <c r="E836" t="s">
        <v>34</v>
      </c>
      <c r="F836" t="s">
        <v>39</v>
      </c>
      <c r="G836" t="s">
        <v>31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P836">
        <v>42.7</v>
      </c>
      <c r="S836">
        <v>0</v>
      </c>
      <c r="U836">
        <v>1</v>
      </c>
      <c r="W836">
        <v>0</v>
      </c>
      <c r="Y836">
        <v>0</v>
      </c>
      <c r="AA836">
        <v>0</v>
      </c>
    </row>
    <row r="837" spans="1:27" x14ac:dyDescent="0.3">
      <c r="A837" t="s">
        <v>878</v>
      </c>
      <c r="B837">
        <v>45663</v>
      </c>
      <c r="C837" t="s">
        <v>733</v>
      </c>
      <c r="D837" t="s">
        <v>28</v>
      </c>
      <c r="E837" t="s">
        <v>29</v>
      </c>
      <c r="F837" t="s">
        <v>51</v>
      </c>
      <c r="G837" t="s">
        <v>36</v>
      </c>
      <c r="H837">
        <v>1</v>
      </c>
      <c r="I837">
        <v>1</v>
      </c>
      <c r="J837">
        <v>1</v>
      </c>
      <c r="K837">
        <v>1</v>
      </c>
      <c r="L837">
        <v>431.27</v>
      </c>
      <c r="M837">
        <v>0</v>
      </c>
      <c r="N837">
        <v>0</v>
      </c>
      <c r="O837">
        <v>7</v>
      </c>
      <c r="P837">
        <v>60.8</v>
      </c>
      <c r="S837">
        <v>0</v>
      </c>
      <c r="U837">
        <v>1</v>
      </c>
      <c r="W837">
        <v>1</v>
      </c>
      <c r="Y837">
        <v>1</v>
      </c>
      <c r="AA837">
        <v>0</v>
      </c>
    </row>
    <row r="838" spans="1:27" x14ac:dyDescent="0.3">
      <c r="A838" t="s">
        <v>879</v>
      </c>
      <c r="B838">
        <v>45771</v>
      </c>
      <c r="C838" t="s">
        <v>733</v>
      </c>
      <c r="D838" t="s">
        <v>42</v>
      </c>
      <c r="E838" t="s">
        <v>34</v>
      </c>
      <c r="F838" t="s">
        <v>49</v>
      </c>
      <c r="G838" t="s">
        <v>36</v>
      </c>
      <c r="H838">
        <v>1</v>
      </c>
      <c r="I838">
        <v>1</v>
      </c>
      <c r="J838">
        <v>1</v>
      </c>
      <c r="K838">
        <v>1</v>
      </c>
      <c r="L838">
        <v>428.8</v>
      </c>
      <c r="M838">
        <v>0</v>
      </c>
      <c r="N838">
        <v>0</v>
      </c>
      <c r="O838">
        <v>9</v>
      </c>
      <c r="P838">
        <v>79.3</v>
      </c>
      <c r="S838">
        <v>1</v>
      </c>
      <c r="U838">
        <v>1</v>
      </c>
      <c r="W838">
        <v>1</v>
      </c>
      <c r="Y838">
        <v>1</v>
      </c>
      <c r="AA838">
        <v>0</v>
      </c>
    </row>
    <row r="839" spans="1:27" x14ac:dyDescent="0.3">
      <c r="A839" t="s">
        <v>880</v>
      </c>
      <c r="B839">
        <v>45768</v>
      </c>
      <c r="C839" t="s">
        <v>733</v>
      </c>
      <c r="D839" t="s">
        <v>42</v>
      </c>
      <c r="E839" t="s">
        <v>34</v>
      </c>
      <c r="F839" t="s">
        <v>35</v>
      </c>
      <c r="G839" t="s">
        <v>31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1</v>
      </c>
      <c r="N839">
        <v>0</v>
      </c>
      <c r="P839">
        <v>88.6</v>
      </c>
      <c r="S839">
        <v>1</v>
      </c>
      <c r="U839">
        <v>1</v>
      </c>
      <c r="W839">
        <v>0</v>
      </c>
      <c r="Y839">
        <v>0</v>
      </c>
      <c r="AA839">
        <v>1</v>
      </c>
    </row>
    <row r="840" spans="1:27" x14ac:dyDescent="0.3">
      <c r="A840" t="s">
        <v>881</v>
      </c>
      <c r="B840">
        <v>45697</v>
      </c>
      <c r="C840" t="s">
        <v>733</v>
      </c>
      <c r="D840" t="s">
        <v>33</v>
      </c>
      <c r="E840" t="s">
        <v>34</v>
      </c>
      <c r="F840" t="s">
        <v>35</v>
      </c>
      <c r="G840" t="s">
        <v>31</v>
      </c>
      <c r="H840">
        <v>1</v>
      </c>
      <c r="I840">
        <v>1</v>
      </c>
      <c r="J840">
        <v>1</v>
      </c>
      <c r="K840">
        <v>0</v>
      </c>
      <c r="L840">
        <v>0</v>
      </c>
      <c r="M840">
        <v>0</v>
      </c>
      <c r="N840">
        <v>0</v>
      </c>
      <c r="P840">
        <v>63.1</v>
      </c>
      <c r="S840">
        <v>0</v>
      </c>
      <c r="U840">
        <v>1</v>
      </c>
      <c r="W840">
        <v>1</v>
      </c>
      <c r="Y840">
        <v>1</v>
      </c>
      <c r="AA840">
        <v>0</v>
      </c>
    </row>
    <row r="841" spans="1:27" x14ac:dyDescent="0.3">
      <c r="A841" t="s">
        <v>882</v>
      </c>
      <c r="B841">
        <v>45666</v>
      </c>
      <c r="C841" t="s">
        <v>733</v>
      </c>
      <c r="D841" t="s">
        <v>38</v>
      </c>
      <c r="E841" t="s">
        <v>34</v>
      </c>
      <c r="F841" t="s">
        <v>35</v>
      </c>
      <c r="G841" t="s">
        <v>40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P841">
        <v>39.700000000000003</v>
      </c>
      <c r="S841">
        <v>0</v>
      </c>
      <c r="U841">
        <v>1</v>
      </c>
      <c r="W841">
        <v>0</v>
      </c>
      <c r="Y841">
        <v>0</v>
      </c>
      <c r="AA841">
        <v>0</v>
      </c>
    </row>
    <row r="842" spans="1:27" x14ac:dyDescent="0.3">
      <c r="A842" t="s">
        <v>883</v>
      </c>
      <c r="B842">
        <v>45704</v>
      </c>
      <c r="C842" t="s">
        <v>733</v>
      </c>
      <c r="D842" t="s">
        <v>28</v>
      </c>
      <c r="E842" t="s">
        <v>34</v>
      </c>
      <c r="F842" t="s">
        <v>39</v>
      </c>
      <c r="G842" t="s">
        <v>31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P842">
        <v>67.2</v>
      </c>
      <c r="S842">
        <v>0</v>
      </c>
      <c r="U842">
        <v>0</v>
      </c>
      <c r="W842">
        <v>0</v>
      </c>
      <c r="Y842">
        <v>0</v>
      </c>
      <c r="AA842">
        <v>0</v>
      </c>
    </row>
    <row r="843" spans="1:27" x14ac:dyDescent="0.3">
      <c r="A843" t="s">
        <v>884</v>
      </c>
      <c r="B843">
        <v>45709</v>
      </c>
      <c r="C843" t="s">
        <v>733</v>
      </c>
      <c r="D843" t="s">
        <v>42</v>
      </c>
      <c r="E843" t="s">
        <v>34</v>
      </c>
      <c r="F843" t="s">
        <v>35</v>
      </c>
      <c r="G843" t="s">
        <v>36</v>
      </c>
      <c r="H843">
        <v>1</v>
      </c>
      <c r="I843">
        <v>1</v>
      </c>
      <c r="J843">
        <v>1</v>
      </c>
      <c r="K843">
        <v>0</v>
      </c>
      <c r="L843">
        <v>0</v>
      </c>
      <c r="M843">
        <v>0</v>
      </c>
      <c r="N843">
        <v>0</v>
      </c>
      <c r="P843">
        <v>62.3</v>
      </c>
      <c r="S843">
        <v>0</v>
      </c>
      <c r="U843">
        <v>1</v>
      </c>
      <c r="W843">
        <v>1</v>
      </c>
      <c r="Y843">
        <v>1</v>
      </c>
      <c r="AA843">
        <v>0</v>
      </c>
    </row>
    <row r="844" spans="1:27" x14ac:dyDescent="0.3">
      <c r="A844" t="s">
        <v>885</v>
      </c>
      <c r="B844">
        <v>45696</v>
      </c>
      <c r="C844" t="s">
        <v>733</v>
      </c>
      <c r="D844" t="s">
        <v>42</v>
      </c>
      <c r="E844" t="s">
        <v>34</v>
      </c>
      <c r="F844" t="s">
        <v>35</v>
      </c>
      <c r="G844" t="s">
        <v>40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S844">
        <v>0</v>
      </c>
      <c r="U844">
        <v>1</v>
      </c>
      <c r="W844">
        <v>0</v>
      </c>
      <c r="Y844">
        <v>0</v>
      </c>
      <c r="AA844">
        <v>0</v>
      </c>
    </row>
    <row r="845" spans="1:27" x14ac:dyDescent="0.3">
      <c r="A845" t="s">
        <v>886</v>
      </c>
      <c r="B845">
        <v>45679</v>
      </c>
      <c r="C845" t="s">
        <v>733</v>
      </c>
      <c r="D845" t="s">
        <v>42</v>
      </c>
      <c r="E845" t="s">
        <v>34</v>
      </c>
      <c r="F845" t="s">
        <v>39</v>
      </c>
      <c r="G845" t="s">
        <v>40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P845">
        <v>60.7</v>
      </c>
      <c r="S845">
        <v>0</v>
      </c>
      <c r="U845">
        <v>0</v>
      </c>
      <c r="W845">
        <v>0</v>
      </c>
      <c r="Y845">
        <v>0</v>
      </c>
      <c r="AA845">
        <v>0</v>
      </c>
    </row>
    <row r="846" spans="1:27" x14ac:dyDescent="0.3">
      <c r="A846" t="s">
        <v>887</v>
      </c>
      <c r="B846">
        <v>45748</v>
      </c>
      <c r="C846" t="s">
        <v>733</v>
      </c>
      <c r="D846" t="s">
        <v>33</v>
      </c>
      <c r="E846" t="s">
        <v>34</v>
      </c>
      <c r="F846" t="s">
        <v>35</v>
      </c>
      <c r="G846" t="s">
        <v>31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P846">
        <v>61.5</v>
      </c>
      <c r="S846">
        <v>0</v>
      </c>
      <c r="U846">
        <v>1</v>
      </c>
      <c r="W846">
        <v>0</v>
      </c>
      <c r="Y846">
        <v>0</v>
      </c>
      <c r="AA846">
        <v>0</v>
      </c>
    </row>
    <row r="847" spans="1:27" x14ac:dyDescent="0.3">
      <c r="A847" t="s">
        <v>888</v>
      </c>
      <c r="B847">
        <v>45678</v>
      </c>
      <c r="C847" t="s">
        <v>733</v>
      </c>
      <c r="D847" t="s">
        <v>28</v>
      </c>
      <c r="E847" t="s">
        <v>34</v>
      </c>
      <c r="F847" t="s">
        <v>39</v>
      </c>
      <c r="G847" t="s">
        <v>31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P847">
        <v>75</v>
      </c>
      <c r="S847">
        <v>0</v>
      </c>
      <c r="U847">
        <v>1</v>
      </c>
      <c r="W847">
        <v>0</v>
      </c>
      <c r="Y847">
        <v>0</v>
      </c>
      <c r="AA847">
        <v>0</v>
      </c>
    </row>
    <row r="848" spans="1:27" x14ac:dyDescent="0.3">
      <c r="A848" t="s">
        <v>889</v>
      </c>
      <c r="B848">
        <v>45659</v>
      </c>
      <c r="C848" t="s">
        <v>733</v>
      </c>
      <c r="D848" t="s">
        <v>38</v>
      </c>
      <c r="E848" t="s">
        <v>29</v>
      </c>
      <c r="F848" t="s">
        <v>35</v>
      </c>
      <c r="G848" t="s">
        <v>36</v>
      </c>
      <c r="H848">
        <v>1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P848">
        <v>51.9</v>
      </c>
      <c r="S848">
        <v>0</v>
      </c>
      <c r="U848">
        <v>1</v>
      </c>
      <c r="W848">
        <v>1</v>
      </c>
      <c r="Y848">
        <v>0</v>
      </c>
      <c r="AA848">
        <v>0</v>
      </c>
    </row>
    <row r="849" spans="1:27" x14ac:dyDescent="0.3">
      <c r="A849" t="s">
        <v>890</v>
      </c>
      <c r="B849">
        <v>45789</v>
      </c>
      <c r="C849" t="s">
        <v>733</v>
      </c>
      <c r="D849" t="s">
        <v>42</v>
      </c>
      <c r="E849" t="s">
        <v>29</v>
      </c>
      <c r="F849" t="s">
        <v>39</v>
      </c>
      <c r="G849" t="s">
        <v>36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P849">
        <v>34.5</v>
      </c>
      <c r="S849">
        <v>0</v>
      </c>
      <c r="U849">
        <v>0</v>
      </c>
      <c r="W849">
        <v>0</v>
      </c>
      <c r="Y849">
        <v>0</v>
      </c>
      <c r="AA849">
        <v>0</v>
      </c>
    </row>
    <row r="850" spans="1:27" x14ac:dyDescent="0.3">
      <c r="A850" t="s">
        <v>891</v>
      </c>
      <c r="B850">
        <v>45721</v>
      </c>
      <c r="C850" t="s">
        <v>733</v>
      </c>
      <c r="D850" t="s">
        <v>42</v>
      </c>
      <c r="E850" t="s">
        <v>34</v>
      </c>
      <c r="F850" t="s">
        <v>51</v>
      </c>
      <c r="G850" t="s">
        <v>31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P850">
        <v>54.5</v>
      </c>
      <c r="S850">
        <v>0</v>
      </c>
      <c r="U850">
        <v>0</v>
      </c>
      <c r="W850">
        <v>0</v>
      </c>
      <c r="Y850">
        <v>0</v>
      </c>
      <c r="AA850">
        <v>0</v>
      </c>
    </row>
    <row r="851" spans="1:27" x14ac:dyDescent="0.3">
      <c r="A851" t="s">
        <v>892</v>
      </c>
      <c r="B851">
        <v>45681</v>
      </c>
      <c r="C851" t="s">
        <v>733</v>
      </c>
      <c r="D851" t="s">
        <v>38</v>
      </c>
      <c r="E851" t="s">
        <v>34</v>
      </c>
      <c r="F851" t="s">
        <v>35</v>
      </c>
      <c r="G851" t="s">
        <v>36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P851">
        <v>46</v>
      </c>
      <c r="S851">
        <v>0</v>
      </c>
      <c r="U851">
        <v>0</v>
      </c>
      <c r="W851">
        <v>0</v>
      </c>
      <c r="Y851">
        <v>0</v>
      </c>
      <c r="AA851">
        <v>0</v>
      </c>
    </row>
    <row r="852" spans="1:27" x14ac:dyDescent="0.3">
      <c r="A852" t="s">
        <v>893</v>
      </c>
      <c r="B852">
        <v>45688</v>
      </c>
      <c r="C852" t="s">
        <v>733</v>
      </c>
      <c r="D852" t="s">
        <v>38</v>
      </c>
      <c r="E852" t="s">
        <v>29</v>
      </c>
      <c r="F852" t="s">
        <v>30</v>
      </c>
      <c r="G852" t="s">
        <v>36</v>
      </c>
      <c r="H852">
        <v>1</v>
      </c>
      <c r="I852">
        <v>1</v>
      </c>
      <c r="J852">
        <v>1</v>
      </c>
      <c r="K852">
        <v>0</v>
      </c>
      <c r="L852">
        <v>0</v>
      </c>
      <c r="M852">
        <v>0</v>
      </c>
      <c r="N852">
        <v>0</v>
      </c>
      <c r="P852">
        <v>88.4</v>
      </c>
      <c r="S852">
        <v>0</v>
      </c>
      <c r="U852">
        <v>1</v>
      </c>
      <c r="W852">
        <v>1</v>
      </c>
      <c r="Y852">
        <v>1</v>
      </c>
      <c r="AA852">
        <v>0</v>
      </c>
    </row>
    <row r="853" spans="1:27" x14ac:dyDescent="0.3">
      <c r="A853" t="s">
        <v>894</v>
      </c>
      <c r="B853">
        <v>45681</v>
      </c>
      <c r="C853" t="s">
        <v>733</v>
      </c>
      <c r="D853" t="s">
        <v>28</v>
      </c>
      <c r="E853" t="s">
        <v>44</v>
      </c>
      <c r="F853" t="s">
        <v>35</v>
      </c>
      <c r="G853" t="s">
        <v>31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P853">
        <v>69.5</v>
      </c>
      <c r="S853">
        <v>0</v>
      </c>
      <c r="U853">
        <v>1</v>
      </c>
      <c r="W853">
        <v>0</v>
      </c>
      <c r="Y853">
        <v>0</v>
      </c>
      <c r="AA853">
        <v>0</v>
      </c>
    </row>
    <row r="854" spans="1:27" x14ac:dyDescent="0.3">
      <c r="A854" t="s">
        <v>895</v>
      </c>
      <c r="B854">
        <v>45702</v>
      </c>
      <c r="C854" t="s">
        <v>733</v>
      </c>
      <c r="D854" t="s">
        <v>28</v>
      </c>
      <c r="E854" t="s">
        <v>29</v>
      </c>
      <c r="F854" t="s">
        <v>49</v>
      </c>
      <c r="G854" t="s">
        <v>31</v>
      </c>
      <c r="H854">
        <v>1</v>
      </c>
      <c r="I854">
        <v>1</v>
      </c>
      <c r="J854">
        <v>1</v>
      </c>
      <c r="K854">
        <v>0</v>
      </c>
      <c r="L854">
        <v>0</v>
      </c>
      <c r="M854">
        <v>0</v>
      </c>
      <c r="N854">
        <v>0</v>
      </c>
      <c r="P854">
        <v>74.2</v>
      </c>
      <c r="S854">
        <v>0</v>
      </c>
      <c r="U854">
        <v>1</v>
      </c>
      <c r="W854">
        <v>1</v>
      </c>
      <c r="Y854">
        <v>1</v>
      </c>
      <c r="AA854">
        <v>0</v>
      </c>
    </row>
    <row r="855" spans="1:27" x14ac:dyDescent="0.3">
      <c r="A855" t="s">
        <v>896</v>
      </c>
      <c r="B855">
        <v>45804</v>
      </c>
      <c r="C855" t="s">
        <v>733</v>
      </c>
      <c r="D855" t="s">
        <v>28</v>
      </c>
      <c r="E855" t="s">
        <v>34</v>
      </c>
      <c r="F855" t="s">
        <v>35</v>
      </c>
      <c r="G855" t="s">
        <v>36</v>
      </c>
      <c r="H855">
        <v>1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P855">
        <v>72.099999999999994</v>
      </c>
      <c r="S855">
        <v>0</v>
      </c>
      <c r="U855">
        <v>1</v>
      </c>
      <c r="W855">
        <v>1</v>
      </c>
      <c r="Y855">
        <v>1</v>
      </c>
      <c r="AA855">
        <v>0</v>
      </c>
    </row>
    <row r="856" spans="1:27" x14ac:dyDescent="0.3">
      <c r="A856" t="s">
        <v>897</v>
      </c>
      <c r="B856">
        <v>45716</v>
      </c>
      <c r="C856" t="s">
        <v>733</v>
      </c>
      <c r="D856" t="s">
        <v>28</v>
      </c>
      <c r="E856" t="s">
        <v>34</v>
      </c>
      <c r="F856" t="s">
        <v>39</v>
      </c>
      <c r="G856" t="s">
        <v>36</v>
      </c>
      <c r="H856">
        <v>1</v>
      </c>
      <c r="I856">
        <v>1</v>
      </c>
      <c r="J856">
        <v>1</v>
      </c>
      <c r="K856">
        <v>1</v>
      </c>
      <c r="L856">
        <v>398.33</v>
      </c>
      <c r="M856">
        <v>0</v>
      </c>
      <c r="N856">
        <v>0</v>
      </c>
      <c r="O856">
        <v>5</v>
      </c>
      <c r="P856">
        <v>85.1</v>
      </c>
      <c r="S856">
        <v>0</v>
      </c>
      <c r="U856">
        <v>1</v>
      </c>
      <c r="W856">
        <v>1</v>
      </c>
      <c r="Y856">
        <v>1</v>
      </c>
      <c r="AA856">
        <v>0</v>
      </c>
    </row>
    <row r="857" spans="1:27" x14ac:dyDescent="0.3">
      <c r="A857" t="s">
        <v>898</v>
      </c>
      <c r="B857">
        <v>45804</v>
      </c>
      <c r="C857" t="s">
        <v>733</v>
      </c>
      <c r="D857" t="s">
        <v>28</v>
      </c>
      <c r="E857" t="s">
        <v>34</v>
      </c>
      <c r="F857" t="s">
        <v>35</v>
      </c>
      <c r="G857" t="s">
        <v>31</v>
      </c>
      <c r="H857">
        <v>1</v>
      </c>
      <c r="I857">
        <v>1</v>
      </c>
      <c r="J857">
        <v>1</v>
      </c>
      <c r="K857">
        <v>0</v>
      </c>
      <c r="L857">
        <v>0</v>
      </c>
      <c r="M857">
        <v>0</v>
      </c>
      <c r="N857">
        <v>0</v>
      </c>
      <c r="P857">
        <v>49.5</v>
      </c>
      <c r="S857">
        <v>1</v>
      </c>
      <c r="U857">
        <v>1</v>
      </c>
      <c r="W857">
        <v>1</v>
      </c>
      <c r="Y857">
        <v>1</v>
      </c>
      <c r="AA857">
        <v>0</v>
      </c>
    </row>
    <row r="858" spans="1:27" x14ac:dyDescent="0.3">
      <c r="A858" t="s">
        <v>899</v>
      </c>
      <c r="B858">
        <v>45794</v>
      </c>
      <c r="C858" t="s">
        <v>733</v>
      </c>
      <c r="D858" t="s">
        <v>42</v>
      </c>
      <c r="E858" t="s">
        <v>34</v>
      </c>
      <c r="F858" t="s">
        <v>39</v>
      </c>
      <c r="G858" t="s">
        <v>40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1</v>
      </c>
      <c r="N858">
        <v>0</v>
      </c>
      <c r="P858">
        <v>79</v>
      </c>
      <c r="S858">
        <v>0</v>
      </c>
      <c r="U858">
        <v>0</v>
      </c>
      <c r="W858">
        <v>0</v>
      </c>
      <c r="Y858">
        <v>0</v>
      </c>
      <c r="AA858">
        <v>1</v>
      </c>
    </row>
    <row r="859" spans="1:27" x14ac:dyDescent="0.3">
      <c r="A859" t="s">
        <v>900</v>
      </c>
      <c r="B859">
        <v>45667</v>
      </c>
      <c r="C859" t="s">
        <v>733</v>
      </c>
      <c r="D859" t="s">
        <v>33</v>
      </c>
      <c r="E859" t="s">
        <v>29</v>
      </c>
      <c r="F859" t="s">
        <v>51</v>
      </c>
      <c r="G859" t="s">
        <v>36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P859">
        <v>71.8</v>
      </c>
      <c r="S859">
        <v>0</v>
      </c>
      <c r="U859">
        <v>0</v>
      </c>
      <c r="W859">
        <v>0</v>
      </c>
      <c r="Y859">
        <v>0</v>
      </c>
      <c r="AA859">
        <v>0</v>
      </c>
    </row>
    <row r="860" spans="1:27" x14ac:dyDescent="0.3">
      <c r="A860" t="s">
        <v>901</v>
      </c>
      <c r="B860">
        <v>45769</v>
      </c>
      <c r="C860" t="s">
        <v>733</v>
      </c>
      <c r="D860" t="s">
        <v>28</v>
      </c>
      <c r="E860" t="s">
        <v>34</v>
      </c>
      <c r="F860" t="s">
        <v>30</v>
      </c>
      <c r="G860" t="s">
        <v>31</v>
      </c>
      <c r="H860">
        <v>1</v>
      </c>
      <c r="I860">
        <v>1</v>
      </c>
      <c r="J860">
        <v>1</v>
      </c>
      <c r="K860">
        <v>1</v>
      </c>
      <c r="L860">
        <v>1117.54</v>
      </c>
      <c r="M860">
        <v>0</v>
      </c>
      <c r="N860">
        <v>0</v>
      </c>
      <c r="O860">
        <v>6</v>
      </c>
      <c r="P860">
        <v>60.4</v>
      </c>
      <c r="S860">
        <v>0</v>
      </c>
      <c r="U860">
        <v>1</v>
      </c>
      <c r="W860">
        <v>1</v>
      </c>
      <c r="Y860">
        <v>1</v>
      </c>
      <c r="AA860">
        <v>0</v>
      </c>
    </row>
    <row r="861" spans="1:27" x14ac:dyDescent="0.3">
      <c r="A861" t="s">
        <v>902</v>
      </c>
      <c r="B861">
        <v>45718</v>
      </c>
      <c r="C861" t="s">
        <v>733</v>
      </c>
      <c r="D861" t="s">
        <v>42</v>
      </c>
      <c r="E861" t="s">
        <v>29</v>
      </c>
      <c r="F861" t="s">
        <v>35</v>
      </c>
      <c r="G861" t="s">
        <v>31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2</v>
      </c>
      <c r="N861">
        <v>0</v>
      </c>
      <c r="P861">
        <v>38.299999999999997</v>
      </c>
      <c r="S861">
        <v>1</v>
      </c>
      <c r="U861">
        <v>1</v>
      </c>
      <c r="W861">
        <v>0</v>
      </c>
      <c r="Y861">
        <v>0</v>
      </c>
      <c r="AA861">
        <v>2</v>
      </c>
    </row>
    <row r="862" spans="1:27" x14ac:dyDescent="0.3">
      <c r="A862" t="s">
        <v>903</v>
      </c>
      <c r="B862">
        <v>45739</v>
      </c>
      <c r="C862" t="s">
        <v>733</v>
      </c>
      <c r="D862" t="s">
        <v>38</v>
      </c>
      <c r="E862" t="s">
        <v>34</v>
      </c>
      <c r="F862" t="s">
        <v>39</v>
      </c>
      <c r="G862" t="s">
        <v>36</v>
      </c>
      <c r="H862">
        <v>1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P862">
        <v>79.599999999999994</v>
      </c>
      <c r="S862">
        <v>0</v>
      </c>
      <c r="U862">
        <v>1</v>
      </c>
      <c r="W862">
        <v>1</v>
      </c>
      <c r="Y862">
        <v>1</v>
      </c>
      <c r="AA862">
        <v>0</v>
      </c>
    </row>
    <row r="863" spans="1:27" x14ac:dyDescent="0.3">
      <c r="A863" t="s">
        <v>904</v>
      </c>
      <c r="B863">
        <v>45700</v>
      </c>
      <c r="C863" t="s">
        <v>733</v>
      </c>
      <c r="D863" t="s">
        <v>38</v>
      </c>
      <c r="E863" t="s">
        <v>34</v>
      </c>
      <c r="F863" t="s">
        <v>30</v>
      </c>
      <c r="G863" t="s">
        <v>36</v>
      </c>
      <c r="H863">
        <v>1</v>
      </c>
      <c r="I863">
        <v>1</v>
      </c>
      <c r="J863">
        <v>1</v>
      </c>
      <c r="K863">
        <v>0</v>
      </c>
      <c r="L863">
        <v>0</v>
      </c>
      <c r="M863">
        <v>0</v>
      </c>
      <c r="N863">
        <v>0</v>
      </c>
      <c r="P863">
        <v>71.900000000000006</v>
      </c>
      <c r="S863">
        <v>0</v>
      </c>
      <c r="U863">
        <v>1</v>
      </c>
      <c r="W863">
        <v>1</v>
      </c>
      <c r="Y863">
        <v>1</v>
      </c>
      <c r="AA863">
        <v>0</v>
      </c>
    </row>
    <row r="864" spans="1:27" x14ac:dyDescent="0.3">
      <c r="A864" t="s">
        <v>905</v>
      </c>
      <c r="B864">
        <v>45780</v>
      </c>
      <c r="C864" t="s">
        <v>733</v>
      </c>
      <c r="D864" t="s">
        <v>42</v>
      </c>
      <c r="E864" t="s">
        <v>34</v>
      </c>
      <c r="F864" t="s">
        <v>49</v>
      </c>
      <c r="G864" t="s">
        <v>31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P864">
        <v>54.6</v>
      </c>
      <c r="S864">
        <v>0</v>
      </c>
      <c r="U864">
        <v>1</v>
      </c>
      <c r="W864">
        <v>0</v>
      </c>
      <c r="Y864">
        <v>0</v>
      </c>
      <c r="AA864">
        <v>0</v>
      </c>
    </row>
    <row r="865" spans="1:27" x14ac:dyDescent="0.3">
      <c r="A865" t="s">
        <v>906</v>
      </c>
      <c r="B865">
        <v>45744</v>
      </c>
      <c r="C865" t="s">
        <v>733</v>
      </c>
      <c r="D865" t="s">
        <v>28</v>
      </c>
      <c r="E865" t="s">
        <v>29</v>
      </c>
      <c r="F865" t="s">
        <v>51</v>
      </c>
      <c r="G865" t="s">
        <v>36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3</v>
      </c>
      <c r="N865">
        <v>0</v>
      </c>
      <c r="P865">
        <v>49.3</v>
      </c>
      <c r="S865">
        <v>0</v>
      </c>
      <c r="U865">
        <v>1</v>
      </c>
      <c r="W865">
        <v>0</v>
      </c>
      <c r="Y865">
        <v>0</v>
      </c>
      <c r="AA865">
        <v>3</v>
      </c>
    </row>
    <row r="866" spans="1:27" x14ac:dyDescent="0.3">
      <c r="A866" t="s">
        <v>907</v>
      </c>
      <c r="B866">
        <v>45728</v>
      </c>
      <c r="C866" t="s">
        <v>733</v>
      </c>
      <c r="D866" t="s">
        <v>28</v>
      </c>
      <c r="E866" t="s">
        <v>34</v>
      </c>
      <c r="F866" t="s">
        <v>51</v>
      </c>
      <c r="G866" t="s">
        <v>31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1</v>
      </c>
      <c r="N866">
        <v>0</v>
      </c>
      <c r="P866">
        <v>66.900000000000006</v>
      </c>
      <c r="S866">
        <v>0</v>
      </c>
      <c r="U866">
        <v>0</v>
      </c>
      <c r="W866">
        <v>0</v>
      </c>
      <c r="Y866">
        <v>0</v>
      </c>
      <c r="AA866">
        <v>1</v>
      </c>
    </row>
    <row r="867" spans="1:27" x14ac:dyDescent="0.3">
      <c r="A867" t="s">
        <v>908</v>
      </c>
      <c r="B867">
        <v>45774</v>
      </c>
      <c r="C867" t="s">
        <v>733</v>
      </c>
      <c r="D867" t="s">
        <v>38</v>
      </c>
      <c r="E867" t="s">
        <v>34</v>
      </c>
      <c r="F867" t="s">
        <v>39</v>
      </c>
      <c r="G867" t="s">
        <v>36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1</v>
      </c>
      <c r="N867">
        <v>0</v>
      </c>
      <c r="P867">
        <v>77.8</v>
      </c>
      <c r="S867">
        <v>0</v>
      </c>
      <c r="U867">
        <v>1</v>
      </c>
      <c r="W867">
        <v>0</v>
      </c>
      <c r="Y867">
        <v>0</v>
      </c>
      <c r="AA867">
        <v>1</v>
      </c>
    </row>
    <row r="868" spans="1:27" x14ac:dyDescent="0.3">
      <c r="A868" t="s">
        <v>909</v>
      </c>
      <c r="B868">
        <v>45749</v>
      </c>
      <c r="C868" t="s">
        <v>733</v>
      </c>
      <c r="D868" t="s">
        <v>42</v>
      </c>
      <c r="E868" t="s">
        <v>34</v>
      </c>
      <c r="F868" t="s">
        <v>49</v>
      </c>
      <c r="G868" t="s">
        <v>31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P868">
        <v>63</v>
      </c>
      <c r="S868">
        <v>0</v>
      </c>
      <c r="U868">
        <v>1</v>
      </c>
      <c r="W868">
        <v>0</v>
      </c>
      <c r="Y868">
        <v>0</v>
      </c>
      <c r="AA868">
        <v>0</v>
      </c>
    </row>
    <row r="869" spans="1:27" x14ac:dyDescent="0.3">
      <c r="A869" t="s">
        <v>910</v>
      </c>
      <c r="B869">
        <v>45768</v>
      </c>
      <c r="C869" t="s">
        <v>733</v>
      </c>
      <c r="D869" t="s">
        <v>28</v>
      </c>
      <c r="E869" t="s">
        <v>34</v>
      </c>
      <c r="F869" t="s">
        <v>51</v>
      </c>
      <c r="G869" t="s">
        <v>36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P869">
        <v>79.8</v>
      </c>
      <c r="S869">
        <v>0</v>
      </c>
      <c r="U869">
        <v>0</v>
      </c>
      <c r="W869">
        <v>0</v>
      </c>
      <c r="Y869">
        <v>0</v>
      </c>
      <c r="AA869">
        <v>0</v>
      </c>
    </row>
    <row r="870" spans="1:27" x14ac:dyDescent="0.3">
      <c r="A870" t="s">
        <v>911</v>
      </c>
      <c r="B870">
        <v>45683</v>
      </c>
      <c r="C870" t="s">
        <v>733</v>
      </c>
      <c r="D870" t="s">
        <v>33</v>
      </c>
      <c r="E870" t="s">
        <v>29</v>
      </c>
      <c r="F870" t="s">
        <v>35</v>
      </c>
      <c r="G870" t="s">
        <v>31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P870">
        <v>69.900000000000006</v>
      </c>
      <c r="S870">
        <v>0</v>
      </c>
      <c r="U870">
        <v>0</v>
      </c>
      <c r="W870">
        <v>0</v>
      </c>
      <c r="Y870">
        <v>0</v>
      </c>
      <c r="AA870">
        <v>0</v>
      </c>
    </row>
    <row r="871" spans="1:27" x14ac:dyDescent="0.3">
      <c r="A871" t="s">
        <v>912</v>
      </c>
      <c r="B871">
        <v>45663</v>
      </c>
      <c r="C871" t="s">
        <v>733</v>
      </c>
      <c r="D871" t="s">
        <v>33</v>
      </c>
      <c r="E871" t="s">
        <v>34</v>
      </c>
      <c r="F871" t="s">
        <v>35</v>
      </c>
      <c r="G871" t="s">
        <v>36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1</v>
      </c>
      <c r="N871">
        <v>0</v>
      </c>
      <c r="P871">
        <v>66.400000000000006</v>
      </c>
      <c r="S871">
        <v>0</v>
      </c>
      <c r="U871">
        <v>0</v>
      </c>
      <c r="W871">
        <v>0</v>
      </c>
      <c r="Y871">
        <v>0</v>
      </c>
      <c r="AA871">
        <v>1</v>
      </c>
    </row>
    <row r="872" spans="1:27" x14ac:dyDescent="0.3">
      <c r="A872" t="s">
        <v>913</v>
      </c>
      <c r="B872">
        <v>45695</v>
      </c>
      <c r="C872" t="s">
        <v>733</v>
      </c>
      <c r="D872" t="s">
        <v>38</v>
      </c>
      <c r="E872" t="s">
        <v>34</v>
      </c>
      <c r="F872" t="s">
        <v>35</v>
      </c>
      <c r="G872" t="s">
        <v>36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P872">
        <v>27.6</v>
      </c>
      <c r="S872">
        <v>0</v>
      </c>
      <c r="U872">
        <v>1</v>
      </c>
      <c r="W872">
        <v>0</v>
      </c>
      <c r="Y872">
        <v>0</v>
      </c>
      <c r="AA872">
        <v>0</v>
      </c>
    </row>
    <row r="873" spans="1:27" x14ac:dyDescent="0.3">
      <c r="A873" t="s">
        <v>914</v>
      </c>
      <c r="B873">
        <v>45784</v>
      </c>
      <c r="C873" t="s">
        <v>733</v>
      </c>
      <c r="D873" t="s">
        <v>33</v>
      </c>
      <c r="E873" t="s">
        <v>34</v>
      </c>
      <c r="F873" t="s">
        <v>35</v>
      </c>
      <c r="G873" t="s">
        <v>40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1</v>
      </c>
      <c r="N873">
        <v>0</v>
      </c>
      <c r="P873">
        <v>56.5</v>
      </c>
      <c r="S873">
        <v>0</v>
      </c>
      <c r="U873">
        <v>1</v>
      </c>
      <c r="W873">
        <v>0</v>
      </c>
      <c r="Y873">
        <v>0</v>
      </c>
      <c r="AA873">
        <v>1</v>
      </c>
    </row>
    <row r="874" spans="1:27" x14ac:dyDescent="0.3">
      <c r="A874" t="s">
        <v>915</v>
      </c>
      <c r="B874">
        <v>45769</v>
      </c>
      <c r="C874" t="s">
        <v>733</v>
      </c>
      <c r="D874" t="s">
        <v>33</v>
      </c>
      <c r="F874" t="s">
        <v>51</v>
      </c>
      <c r="G874" t="s">
        <v>36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P874">
        <v>67.8</v>
      </c>
      <c r="S874">
        <v>0</v>
      </c>
      <c r="U874">
        <v>1</v>
      </c>
      <c r="W874">
        <v>0</v>
      </c>
      <c r="Y874">
        <v>0</v>
      </c>
      <c r="AA874">
        <v>0</v>
      </c>
    </row>
    <row r="875" spans="1:27" x14ac:dyDescent="0.3">
      <c r="A875" t="s">
        <v>916</v>
      </c>
      <c r="B875">
        <v>45781</v>
      </c>
      <c r="C875" t="s">
        <v>733</v>
      </c>
      <c r="D875" t="s">
        <v>33</v>
      </c>
      <c r="E875" t="s">
        <v>29</v>
      </c>
      <c r="F875" t="s">
        <v>51</v>
      </c>
      <c r="G875" t="s">
        <v>36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P875">
        <v>80</v>
      </c>
      <c r="S875">
        <v>0</v>
      </c>
      <c r="U875">
        <v>1</v>
      </c>
      <c r="W875">
        <v>0</v>
      </c>
      <c r="Y875">
        <v>0</v>
      </c>
      <c r="AA875">
        <v>0</v>
      </c>
    </row>
    <row r="876" spans="1:27" x14ac:dyDescent="0.3">
      <c r="A876" t="s">
        <v>917</v>
      </c>
      <c r="B876">
        <v>45793</v>
      </c>
      <c r="C876" t="s">
        <v>733</v>
      </c>
      <c r="D876" t="s">
        <v>42</v>
      </c>
      <c r="E876" t="s">
        <v>34</v>
      </c>
      <c r="F876" t="s">
        <v>51</v>
      </c>
      <c r="G876" t="s">
        <v>31</v>
      </c>
      <c r="H876">
        <v>1</v>
      </c>
      <c r="I876">
        <v>1</v>
      </c>
      <c r="J876">
        <v>1</v>
      </c>
      <c r="K876">
        <v>0</v>
      </c>
      <c r="L876">
        <v>0</v>
      </c>
      <c r="M876">
        <v>1</v>
      </c>
      <c r="N876">
        <v>0</v>
      </c>
      <c r="P876">
        <v>80.900000000000006</v>
      </c>
      <c r="S876">
        <v>0</v>
      </c>
      <c r="U876">
        <v>1</v>
      </c>
      <c r="W876">
        <v>1</v>
      </c>
      <c r="Y876">
        <v>1</v>
      </c>
      <c r="AA876">
        <v>1</v>
      </c>
    </row>
    <row r="877" spans="1:27" x14ac:dyDescent="0.3">
      <c r="A877" t="s">
        <v>918</v>
      </c>
      <c r="B877">
        <v>45699</v>
      </c>
      <c r="C877" t="s">
        <v>733</v>
      </c>
      <c r="D877" t="s">
        <v>33</v>
      </c>
      <c r="E877" t="s">
        <v>34</v>
      </c>
      <c r="F877" t="s">
        <v>39</v>
      </c>
      <c r="G877" t="s">
        <v>36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P877">
        <v>34.5</v>
      </c>
      <c r="S877">
        <v>0</v>
      </c>
      <c r="U877">
        <v>0</v>
      </c>
      <c r="W877">
        <v>0</v>
      </c>
      <c r="Y877">
        <v>0</v>
      </c>
      <c r="AA877">
        <v>0</v>
      </c>
    </row>
    <row r="878" spans="1:27" x14ac:dyDescent="0.3">
      <c r="A878" t="s">
        <v>919</v>
      </c>
      <c r="B878">
        <v>45786</v>
      </c>
      <c r="C878" t="s">
        <v>733</v>
      </c>
      <c r="D878" t="s">
        <v>38</v>
      </c>
      <c r="E878" t="s">
        <v>29</v>
      </c>
      <c r="F878" t="s">
        <v>35</v>
      </c>
      <c r="G878" t="s">
        <v>40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P878">
        <v>73.5</v>
      </c>
      <c r="S878">
        <v>0</v>
      </c>
      <c r="U878">
        <v>1</v>
      </c>
      <c r="W878">
        <v>0</v>
      </c>
      <c r="Y878">
        <v>0</v>
      </c>
      <c r="AA878">
        <v>0</v>
      </c>
    </row>
    <row r="879" spans="1:27" x14ac:dyDescent="0.3">
      <c r="A879" t="s">
        <v>920</v>
      </c>
      <c r="B879">
        <v>45697</v>
      </c>
      <c r="C879" t="s">
        <v>733</v>
      </c>
      <c r="D879" t="s">
        <v>42</v>
      </c>
      <c r="E879" t="s">
        <v>29</v>
      </c>
      <c r="F879" t="s">
        <v>39</v>
      </c>
      <c r="G879" t="s">
        <v>36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P879">
        <v>70</v>
      </c>
      <c r="S879">
        <v>0</v>
      </c>
      <c r="U879">
        <v>1</v>
      </c>
      <c r="W879">
        <v>1</v>
      </c>
      <c r="Y879">
        <v>0</v>
      </c>
      <c r="AA879">
        <v>0</v>
      </c>
    </row>
    <row r="880" spans="1:27" x14ac:dyDescent="0.3">
      <c r="A880" t="s">
        <v>921</v>
      </c>
      <c r="B880">
        <v>45799</v>
      </c>
      <c r="C880" t="s">
        <v>733</v>
      </c>
      <c r="D880" t="s">
        <v>33</v>
      </c>
      <c r="E880" t="s">
        <v>34</v>
      </c>
      <c r="F880" t="s">
        <v>51</v>
      </c>
      <c r="G880" t="s">
        <v>31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P880">
        <v>86.9</v>
      </c>
      <c r="S880">
        <v>0</v>
      </c>
      <c r="U880">
        <v>0</v>
      </c>
      <c r="W880">
        <v>0</v>
      </c>
      <c r="Y880">
        <v>0</v>
      </c>
      <c r="AA880">
        <v>0</v>
      </c>
    </row>
    <row r="881" spans="1:27" x14ac:dyDescent="0.3">
      <c r="A881" t="s">
        <v>922</v>
      </c>
      <c r="B881">
        <v>45801</v>
      </c>
      <c r="C881" t="s">
        <v>733</v>
      </c>
      <c r="D881" t="s">
        <v>38</v>
      </c>
      <c r="E881" t="s">
        <v>34</v>
      </c>
      <c r="F881" t="s">
        <v>51</v>
      </c>
      <c r="G881" t="s">
        <v>31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P881">
        <v>66.900000000000006</v>
      </c>
      <c r="S881">
        <v>0</v>
      </c>
      <c r="U881">
        <v>0</v>
      </c>
      <c r="W881">
        <v>0</v>
      </c>
      <c r="Y881">
        <v>0</v>
      </c>
      <c r="AA881">
        <v>0</v>
      </c>
    </row>
    <row r="882" spans="1:27" x14ac:dyDescent="0.3">
      <c r="A882" t="s">
        <v>923</v>
      </c>
      <c r="B882">
        <v>45774</v>
      </c>
      <c r="C882" t="s">
        <v>733</v>
      </c>
      <c r="D882" t="s">
        <v>42</v>
      </c>
      <c r="E882" t="s">
        <v>29</v>
      </c>
      <c r="F882" t="s">
        <v>51</v>
      </c>
      <c r="G882" t="s">
        <v>31</v>
      </c>
      <c r="H882">
        <v>1</v>
      </c>
      <c r="I882">
        <v>1</v>
      </c>
      <c r="J882">
        <v>1</v>
      </c>
      <c r="K882">
        <v>0</v>
      </c>
      <c r="L882">
        <v>0</v>
      </c>
      <c r="M882">
        <v>0</v>
      </c>
      <c r="N882">
        <v>0</v>
      </c>
      <c r="P882">
        <v>58.3</v>
      </c>
      <c r="S882">
        <v>0</v>
      </c>
      <c r="U882">
        <v>1</v>
      </c>
      <c r="W882">
        <v>1</v>
      </c>
      <c r="Y882">
        <v>1</v>
      </c>
      <c r="AA882">
        <v>0</v>
      </c>
    </row>
    <row r="883" spans="1:27" x14ac:dyDescent="0.3">
      <c r="A883" t="s">
        <v>924</v>
      </c>
      <c r="B883">
        <v>45735</v>
      </c>
      <c r="C883" t="s">
        <v>733</v>
      </c>
      <c r="D883" t="s">
        <v>38</v>
      </c>
      <c r="E883" t="s">
        <v>34</v>
      </c>
      <c r="F883" t="s">
        <v>39</v>
      </c>
      <c r="G883" t="s">
        <v>36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P883">
        <v>45</v>
      </c>
      <c r="S883">
        <v>0</v>
      </c>
      <c r="U883">
        <v>1</v>
      </c>
      <c r="W883">
        <v>0</v>
      </c>
      <c r="Y883">
        <v>0</v>
      </c>
      <c r="AA883">
        <v>0</v>
      </c>
    </row>
    <row r="884" spans="1:27" x14ac:dyDescent="0.3">
      <c r="A884" t="s">
        <v>925</v>
      </c>
      <c r="B884">
        <v>45797</v>
      </c>
      <c r="C884" t="s">
        <v>733</v>
      </c>
      <c r="D884" t="s">
        <v>42</v>
      </c>
      <c r="E884" t="s">
        <v>34</v>
      </c>
      <c r="F884" t="s">
        <v>35</v>
      </c>
      <c r="G884" t="s">
        <v>40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P884">
        <v>60.8</v>
      </c>
      <c r="S884">
        <v>0</v>
      </c>
      <c r="U884">
        <v>0</v>
      </c>
      <c r="W884">
        <v>0</v>
      </c>
      <c r="Y884">
        <v>0</v>
      </c>
      <c r="AA884">
        <v>0</v>
      </c>
    </row>
    <row r="885" spans="1:27" x14ac:dyDescent="0.3">
      <c r="A885" t="s">
        <v>926</v>
      </c>
      <c r="B885">
        <v>45787</v>
      </c>
      <c r="C885" t="s">
        <v>733</v>
      </c>
      <c r="D885" t="s">
        <v>28</v>
      </c>
      <c r="E885" t="s">
        <v>34</v>
      </c>
      <c r="F885" t="s">
        <v>30</v>
      </c>
      <c r="G885" t="s">
        <v>40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4</v>
      </c>
      <c r="N885">
        <v>0</v>
      </c>
      <c r="P885">
        <v>53.7</v>
      </c>
      <c r="S885">
        <v>0</v>
      </c>
      <c r="U885">
        <v>1</v>
      </c>
      <c r="W885">
        <v>0</v>
      </c>
      <c r="Y885">
        <v>0</v>
      </c>
      <c r="AA885">
        <v>4</v>
      </c>
    </row>
    <row r="886" spans="1:27" x14ac:dyDescent="0.3">
      <c r="A886" t="s">
        <v>927</v>
      </c>
      <c r="B886">
        <v>45745</v>
      </c>
      <c r="C886" t="s">
        <v>733</v>
      </c>
      <c r="D886" t="s">
        <v>38</v>
      </c>
      <c r="E886" t="s">
        <v>34</v>
      </c>
      <c r="F886" t="s">
        <v>51</v>
      </c>
      <c r="G886" t="s">
        <v>36</v>
      </c>
      <c r="H886">
        <v>1</v>
      </c>
      <c r="I886">
        <v>1</v>
      </c>
      <c r="J886">
        <v>1</v>
      </c>
      <c r="K886">
        <v>0</v>
      </c>
      <c r="L886">
        <v>0</v>
      </c>
      <c r="M886">
        <v>0</v>
      </c>
      <c r="N886">
        <v>0</v>
      </c>
      <c r="P886">
        <v>48.8</v>
      </c>
      <c r="S886">
        <v>0</v>
      </c>
      <c r="U886">
        <v>1</v>
      </c>
      <c r="W886">
        <v>1</v>
      </c>
      <c r="Y886">
        <v>1</v>
      </c>
      <c r="AA886">
        <v>0</v>
      </c>
    </row>
    <row r="887" spans="1:27" x14ac:dyDescent="0.3">
      <c r="A887" t="s">
        <v>928</v>
      </c>
      <c r="B887">
        <v>45750</v>
      </c>
      <c r="C887" t="s">
        <v>733</v>
      </c>
      <c r="D887" t="s">
        <v>33</v>
      </c>
      <c r="E887" t="s">
        <v>29</v>
      </c>
      <c r="F887" t="s">
        <v>49</v>
      </c>
      <c r="G887" t="s">
        <v>31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P887">
        <v>52.9</v>
      </c>
      <c r="S887">
        <v>0</v>
      </c>
      <c r="U887">
        <v>0</v>
      </c>
      <c r="W887">
        <v>0</v>
      </c>
      <c r="Y887">
        <v>0</v>
      </c>
      <c r="AA887">
        <v>0</v>
      </c>
    </row>
    <row r="888" spans="1:27" x14ac:dyDescent="0.3">
      <c r="A888" t="s">
        <v>929</v>
      </c>
      <c r="B888">
        <v>45807</v>
      </c>
      <c r="C888" t="s">
        <v>733</v>
      </c>
      <c r="D888" t="s">
        <v>42</v>
      </c>
      <c r="E888" t="s">
        <v>34</v>
      </c>
      <c r="F888" t="s">
        <v>30</v>
      </c>
      <c r="G888" t="s">
        <v>36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P888">
        <v>42.4</v>
      </c>
      <c r="S888">
        <v>0</v>
      </c>
      <c r="U888">
        <v>1</v>
      </c>
      <c r="W888">
        <v>0</v>
      </c>
      <c r="Y888">
        <v>0</v>
      </c>
      <c r="AA888">
        <v>0</v>
      </c>
    </row>
    <row r="889" spans="1:27" x14ac:dyDescent="0.3">
      <c r="A889" t="s">
        <v>930</v>
      </c>
      <c r="B889">
        <v>45753</v>
      </c>
      <c r="C889" t="s">
        <v>733</v>
      </c>
      <c r="D889" t="s">
        <v>38</v>
      </c>
      <c r="E889" t="s">
        <v>29</v>
      </c>
      <c r="F889" t="s">
        <v>30</v>
      </c>
      <c r="G889" t="s">
        <v>36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P889">
        <v>58.7</v>
      </c>
      <c r="S889">
        <v>0</v>
      </c>
      <c r="U889">
        <v>1</v>
      </c>
      <c r="W889">
        <v>0</v>
      </c>
      <c r="Y889">
        <v>0</v>
      </c>
      <c r="AA889">
        <v>0</v>
      </c>
    </row>
    <row r="890" spans="1:27" x14ac:dyDescent="0.3">
      <c r="A890" t="s">
        <v>931</v>
      </c>
      <c r="B890">
        <v>45730</v>
      </c>
      <c r="C890" t="s">
        <v>733</v>
      </c>
      <c r="D890" t="s">
        <v>28</v>
      </c>
      <c r="E890" t="s">
        <v>34</v>
      </c>
      <c r="F890" t="s">
        <v>49</v>
      </c>
      <c r="G890" t="s">
        <v>36</v>
      </c>
      <c r="H890">
        <v>1</v>
      </c>
      <c r="I890">
        <v>1</v>
      </c>
      <c r="J890">
        <v>1</v>
      </c>
      <c r="K890">
        <v>1</v>
      </c>
      <c r="L890">
        <v>2064.5500000000002</v>
      </c>
      <c r="M890">
        <v>0</v>
      </c>
      <c r="N890">
        <v>0</v>
      </c>
      <c r="O890">
        <v>1</v>
      </c>
      <c r="P890">
        <v>67.8</v>
      </c>
      <c r="S890">
        <v>0</v>
      </c>
      <c r="U890">
        <v>1</v>
      </c>
      <c r="W890">
        <v>1</v>
      </c>
      <c r="Y890">
        <v>1</v>
      </c>
      <c r="AA890">
        <v>0</v>
      </c>
    </row>
    <row r="891" spans="1:27" x14ac:dyDescent="0.3">
      <c r="A891" t="s">
        <v>932</v>
      </c>
      <c r="B891">
        <v>45712</v>
      </c>
      <c r="C891" t="s">
        <v>733</v>
      </c>
      <c r="D891" t="s">
        <v>42</v>
      </c>
      <c r="E891" t="s">
        <v>29</v>
      </c>
      <c r="F891" t="s">
        <v>39</v>
      </c>
      <c r="G891" t="s">
        <v>31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P891">
        <v>62.6</v>
      </c>
      <c r="S891">
        <v>1</v>
      </c>
      <c r="U891">
        <v>1</v>
      </c>
      <c r="W891">
        <v>0</v>
      </c>
      <c r="Y891">
        <v>0</v>
      </c>
      <c r="AA891">
        <v>0</v>
      </c>
    </row>
    <row r="892" spans="1:27" x14ac:dyDescent="0.3">
      <c r="A892" t="s">
        <v>933</v>
      </c>
      <c r="B892">
        <v>45720</v>
      </c>
      <c r="C892" t="s">
        <v>733</v>
      </c>
      <c r="D892" t="s">
        <v>33</v>
      </c>
      <c r="E892" t="s">
        <v>34</v>
      </c>
      <c r="F892" t="s">
        <v>30</v>
      </c>
      <c r="G892" t="s">
        <v>31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P892">
        <v>82.4</v>
      </c>
      <c r="S892">
        <v>0</v>
      </c>
      <c r="U892">
        <v>1</v>
      </c>
      <c r="W892">
        <v>0</v>
      </c>
      <c r="Y892">
        <v>0</v>
      </c>
      <c r="AA892">
        <v>0</v>
      </c>
    </row>
    <row r="893" spans="1:27" x14ac:dyDescent="0.3">
      <c r="A893" t="s">
        <v>934</v>
      </c>
      <c r="B893">
        <v>45749</v>
      </c>
      <c r="C893" t="s">
        <v>733</v>
      </c>
      <c r="D893" t="s">
        <v>28</v>
      </c>
      <c r="E893" t="s">
        <v>34</v>
      </c>
      <c r="F893" t="s">
        <v>35</v>
      </c>
      <c r="G893" t="s">
        <v>36</v>
      </c>
      <c r="H893">
        <v>1</v>
      </c>
      <c r="I893">
        <v>1</v>
      </c>
      <c r="J893">
        <v>1</v>
      </c>
      <c r="K893">
        <v>0</v>
      </c>
      <c r="L893">
        <v>0</v>
      </c>
      <c r="M893">
        <v>0</v>
      </c>
      <c r="N893">
        <v>0</v>
      </c>
      <c r="P893">
        <v>50.4</v>
      </c>
      <c r="S893">
        <v>0</v>
      </c>
      <c r="U893">
        <v>1</v>
      </c>
      <c r="W893">
        <v>1</v>
      </c>
      <c r="Y893">
        <v>1</v>
      </c>
      <c r="AA893">
        <v>0</v>
      </c>
    </row>
    <row r="894" spans="1:27" x14ac:dyDescent="0.3">
      <c r="A894" t="s">
        <v>935</v>
      </c>
      <c r="B894">
        <v>45788</v>
      </c>
      <c r="C894" t="s">
        <v>733</v>
      </c>
      <c r="D894" t="s">
        <v>28</v>
      </c>
      <c r="E894" t="s">
        <v>34</v>
      </c>
      <c r="F894" t="s">
        <v>30</v>
      </c>
      <c r="G894" t="s">
        <v>40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P894">
        <v>68.400000000000006</v>
      </c>
      <c r="S894">
        <v>0</v>
      </c>
      <c r="U894">
        <v>0</v>
      </c>
      <c r="W894">
        <v>0</v>
      </c>
      <c r="Y894">
        <v>0</v>
      </c>
      <c r="AA894">
        <v>0</v>
      </c>
    </row>
    <row r="895" spans="1:27" x14ac:dyDescent="0.3">
      <c r="A895" t="s">
        <v>936</v>
      </c>
      <c r="B895">
        <v>45787</v>
      </c>
      <c r="C895" t="s">
        <v>733</v>
      </c>
      <c r="D895" t="s">
        <v>33</v>
      </c>
      <c r="E895" t="s">
        <v>44</v>
      </c>
      <c r="F895" t="s">
        <v>39</v>
      </c>
      <c r="G895" t="s">
        <v>31</v>
      </c>
      <c r="H895">
        <v>1</v>
      </c>
      <c r="I895">
        <v>1</v>
      </c>
      <c r="J895">
        <v>1</v>
      </c>
      <c r="K895">
        <v>0</v>
      </c>
      <c r="L895">
        <v>0</v>
      </c>
      <c r="M895">
        <v>0</v>
      </c>
      <c r="N895">
        <v>0</v>
      </c>
      <c r="P895">
        <v>58.8</v>
      </c>
      <c r="S895">
        <v>0</v>
      </c>
      <c r="U895">
        <v>1</v>
      </c>
      <c r="W895">
        <v>1</v>
      </c>
      <c r="Y895">
        <v>1</v>
      </c>
      <c r="AA895">
        <v>0</v>
      </c>
    </row>
    <row r="896" spans="1:27" x14ac:dyDescent="0.3">
      <c r="A896" t="s">
        <v>937</v>
      </c>
      <c r="B896">
        <v>45783</v>
      </c>
      <c r="C896" t="s">
        <v>733</v>
      </c>
      <c r="D896" t="s">
        <v>33</v>
      </c>
      <c r="E896" t="s">
        <v>34</v>
      </c>
      <c r="F896" t="s">
        <v>49</v>
      </c>
      <c r="G896" t="s">
        <v>36</v>
      </c>
      <c r="H896">
        <v>1</v>
      </c>
      <c r="I896">
        <v>1</v>
      </c>
      <c r="J896">
        <v>0</v>
      </c>
      <c r="K896">
        <v>0</v>
      </c>
      <c r="L896">
        <v>0</v>
      </c>
      <c r="M896">
        <v>2</v>
      </c>
      <c r="N896">
        <v>0</v>
      </c>
      <c r="P896">
        <v>28.3</v>
      </c>
      <c r="S896">
        <v>0</v>
      </c>
      <c r="U896">
        <v>1</v>
      </c>
      <c r="W896">
        <v>1</v>
      </c>
      <c r="Y896">
        <v>0</v>
      </c>
      <c r="AA896">
        <v>2</v>
      </c>
    </row>
    <row r="897" spans="1:27" x14ac:dyDescent="0.3">
      <c r="A897" t="s">
        <v>938</v>
      </c>
      <c r="B897">
        <v>45699</v>
      </c>
      <c r="C897" t="s">
        <v>733</v>
      </c>
      <c r="D897" t="s">
        <v>33</v>
      </c>
      <c r="E897" t="s">
        <v>29</v>
      </c>
      <c r="F897" t="s">
        <v>39</v>
      </c>
      <c r="G897" t="s">
        <v>36</v>
      </c>
      <c r="H897">
        <v>1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P897">
        <v>44.1</v>
      </c>
      <c r="S897">
        <v>0</v>
      </c>
      <c r="U897">
        <v>1</v>
      </c>
      <c r="W897">
        <v>1</v>
      </c>
      <c r="Y897">
        <v>0</v>
      </c>
      <c r="AA897">
        <v>0</v>
      </c>
    </row>
    <row r="898" spans="1:27" x14ac:dyDescent="0.3">
      <c r="A898" t="s">
        <v>939</v>
      </c>
      <c r="B898">
        <v>45786</v>
      </c>
      <c r="C898" t="s">
        <v>733</v>
      </c>
      <c r="D898" t="s">
        <v>42</v>
      </c>
      <c r="E898" t="s">
        <v>34</v>
      </c>
      <c r="F898" t="s">
        <v>39</v>
      </c>
      <c r="G898" t="s">
        <v>40</v>
      </c>
      <c r="H898">
        <v>1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P898">
        <v>66.7</v>
      </c>
      <c r="S898">
        <v>0</v>
      </c>
      <c r="U898">
        <v>1</v>
      </c>
      <c r="W898">
        <v>1</v>
      </c>
      <c r="Y898">
        <v>0</v>
      </c>
      <c r="AA898">
        <v>0</v>
      </c>
    </row>
    <row r="899" spans="1:27" x14ac:dyDescent="0.3">
      <c r="A899" t="s">
        <v>940</v>
      </c>
      <c r="B899">
        <v>45690</v>
      </c>
      <c r="C899" t="s">
        <v>733</v>
      </c>
      <c r="D899" t="s">
        <v>42</v>
      </c>
      <c r="E899" t="s">
        <v>34</v>
      </c>
      <c r="G899" t="s">
        <v>36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P899">
        <v>100</v>
      </c>
      <c r="S899">
        <v>0</v>
      </c>
      <c r="U899">
        <v>1</v>
      </c>
      <c r="W899">
        <v>0</v>
      </c>
      <c r="Y899">
        <v>0</v>
      </c>
      <c r="AA899">
        <v>0</v>
      </c>
    </row>
    <row r="900" spans="1:27" x14ac:dyDescent="0.3">
      <c r="A900" t="s">
        <v>941</v>
      </c>
      <c r="B900">
        <v>45750</v>
      </c>
      <c r="C900" t="s">
        <v>733</v>
      </c>
      <c r="D900" t="s">
        <v>42</v>
      </c>
      <c r="E900" t="s">
        <v>34</v>
      </c>
      <c r="F900" t="s">
        <v>51</v>
      </c>
      <c r="G900" t="s">
        <v>36</v>
      </c>
      <c r="H900">
        <v>1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P900">
        <v>87.5</v>
      </c>
      <c r="S900">
        <v>0</v>
      </c>
      <c r="U900">
        <v>1</v>
      </c>
      <c r="W900">
        <v>1</v>
      </c>
      <c r="Y900">
        <v>0</v>
      </c>
      <c r="AA900">
        <v>0</v>
      </c>
    </row>
    <row r="901" spans="1:27" x14ac:dyDescent="0.3">
      <c r="A901" t="s">
        <v>942</v>
      </c>
      <c r="B901">
        <v>45703</v>
      </c>
      <c r="C901" t="s">
        <v>733</v>
      </c>
      <c r="D901" t="s">
        <v>28</v>
      </c>
      <c r="E901" t="s">
        <v>29</v>
      </c>
      <c r="F901" t="s">
        <v>35</v>
      </c>
      <c r="G901" t="s">
        <v>31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2</v>
      </c>
      <c r="N901">
        <v>0</v>
      </c>
      <c r="P901">
        <v>65.400000000000006</v>
      </c>
      <c r="S901">
        <v>0</v>
      </c>
      <c r="U901">
        <v>1</v>
      </c>
      <c r="W901">
        <v>0</v>
      </c>
      <c r="Y901">
        <v>0</v>
      </c>
      <c r="AA901">
        <v>2</v>
      </c>
    </row>
    <row r="902" spans="1:27" x14ac:dyDescent="0.3">
      <c r="A902" t="s">
        <v>943</v>
      </c>
      <c r="B902">
        <v>45765</v>
      </c>
      <c r="C902" t="s">
        <v>733</v>
      </c>
      <c r="D902" t="s">
        <v>42</v>
      </c>
      <c r="E902" t="s">
        <v>29</v>
      </c>
      <c r="F902" t="s">
        <v>35</v>
      </c>
      <c r="G902" t="s">
        <v>36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P902">
        <v>22.9</v>
      </c>
      <c r="S902">
        <v>0</v>
      </c>
      <c r="U902">
        <v>1</v>
      </c>
      <c r="W902">
        <v>0</v>
      </c>
      <c r="Y902">
        <v>0</v>
      </c>
      <c r="AA902">
        <v>0</v>
      </c>
    </row>
    <row r="903" spans="1:27" x14ac:dyDescent="0.3">
      <c r="A903" t="s">
        <v>944</v>
      </c>
      <c r="B903">
        <v>45730</v>
      </c>
      <c r="C903" t="s">
        <v>733</v>
      </c>
      <c r="D903" t="s">
        <v>33</v>
      </c>
      <c r="E903" t="s">
        <v>29</v>
      </c>
      <c r="F903" t="s">
        <v>35</v>
      </c>
      <c r="G903" t="s">
        <v>40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P903">
        <v>64.599999999999994</v>
      </c>
      <c r="S903">
        <v>0</v>
      </c>
      <c r="U903">
        <v>0</v>
      </c>
      <c r="W903">
        <v>0</v>
      </c>
      <c r="Y903">
        <v>0</v>
      </c>
      <c r="AA903">
        <v>0</v>
      </c>
    </row>
    <row r="904" spans="1:27" x14ac:dyDescent="0.3">
      <c r="A904" t="s">
        <v>945</v>
      </c>
      <c r="B904">
        <v>45745</v>
      </c>
      <c r="C904" t="s">
        <v>733</v>
      </c>
      <c r="D904" t="s">
        <v>42</v>
      </c>
      <c r="E904" t="s">
        <v>34</v>
      </c>
      <c r="F904" t="s">
        <v>49</v>
      </c>
      <c r="G904" t="s">
        <v>36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2</v>
      </c>
      <c r="N904">
        <v>0</v>
      </c>
      <c r="P904">
        <v>54.4</v>
      </c>
      <c r="S904">
        <v>0</v>
      </c>
      <c r="U904">
        <v>1</v>
      </c>
      <c r="W904">
        <v>0</v>
      </c>
      <c r="Y904">
        <v>0</v>
      </c>
      <c r="AA904">
        <v>2</v>
      </c>
    </row>
    <row r="905" spans="1:27" x14ac:dyDescent="0.3">
      <c r="A905" t="s">
        <v>946</v>
      </c>
      <c r="B905">
        <v>45701</v>
      </c>
      <c r="C905" t="s">
        <v>733</v>
      </c>
      <c r="D905" t="s">
        <v>28</v>
      </c>
      <c r="E905" t="s">
        <v>29</v>
      </c>
      <c r="F905" t="s">
        <v>35</v>
      </c>
      <c r="G905" t="s">
        <v>36</v>
      </c>
      <c r="H905">
        <v>1</v>
      </c>
      <c r="I905">
        <v>1</v>
      </c>
      <c r="J905">
        <v>1</v>
      </c>
      <c r="K905">
        <v>0</v>
      </c>
      <c r="L905">
        <v>0</v>
      </c>
      <c r="M905">
        <v>0</v>
      </c>
      <c r="N905">
        <v>0</v>
      </c>
      <c r="P905">
        <v>56.8</v>
      </c>
      <c r="S905">
        <v>0</v>
      </c>
      <c r="U905">
        <v>1</v>
      </c>
      <c r="W905">
        <v>1</v>
      </c>
      <c r="Y905">
        <v>1</v>
      </c>
      <c r="AA905">
        <v>0</v>
      </c>
    </row>
    <row r="906" spans="1:27" x14ac:dyDescent="0.3">
      <c r="A906" t="s">
        <v>947</v>
      </c>
      <c r="B906">
        <v>45680</v>
      </c>
      <c r="C906" t="s">
        <v>733</v>
      </c>
      <c r="D906" t="s">
        <v>42</v>
      </c>
      <c r="E906" t="s">
        <v>34</v>
      </c>
      <c r="F906" t="s">
        <v>39</v>
      </c>
      <c r="G906" t="s">
        <v>36</v>
      </c>
      <c r="H906">
        <v>1</v>
      </c>
      <c r="I906">
        <v>1</v>
      </c>
      <c r="J906">
        <v>1</v>
      </c>
      <c r="K906">
        <v>1</v>
      </c>
      <c r="L906">
        <v>341.38</v>
      </c>
      <c r="M906">
        <v>0</v>
      </c>
      <c r="N906">
        <v>0</v>
      </c>
      <c r="O906">
        <v>2</v>
      </c>
      <c r="P906">
        <v>63.6</v>
      </c>
      <c r="S906">
        <v>0</v>
      </c>
      <c r="U906">
        <v>1</v>
      </c>
      <c r="W906">
        <v>1</v>
      </c>
      <c r="Y906">
        <v>1</v>
      </c>
      <c r="AA906">
        <v>0</v>
      </c>
    </row>
    <row r="907" spans="1:27" x14ac:dyDescent="0.3">
      <c r="A907" t="s">
        <v>948</v>
      </c>
      <c r="B907">
        <v>45712</v>
      </c>
      <c r="C907" t="s">
        <v>733</v>
      </c>
      <c r="D907" t="s">
        <v>38</v>
      </c>
      <c r="E907" t="s">
        <v>34</v>
      </c>
      <c r="F907" t="s">
        <v>51</v>
      </c>
      <c r="G907" t="s">
        <v>36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P907">
        <v>58.2</v>
      </c>
      <c r="S907">
        <v>1</v>
      </c>
      <c r="U907">
        <v>1</v>
      </c>
      <c r="W907">
        <v>0</v>
      </c>
      <c r="Y907">
        <v>0</v>
      </c>
      <c r="AA907">
        <v>0</v>
      </c>
    </row>
    <row r="908" spans="1:27" x14ac:dyDescent="0.3">
      <c r="A908" t="s">
        <v>949</v>
      </c>
      <c r="B908">
        <v>45716</v>
      </c>
      <c r="C908" t="s">
        <v>733</v>
      </c>
      <c r="D908" t="s">
        <v>33</v>
      </c>
      <c r="E908" t="s">
        <v>34</v>
      </c>
      <c r="F908" t="s">
        <v>39</v>
      </c>
      <c r="G908" t="s">
        <v>36</v>
      </c>
      <c r="H908">
        <v>1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P908">
        <v>54.6</v>
      </c>
      <c r="S908">
        <v>0</v>
      </c>
      <c r="U908">
        <v>1</v>
      </c>
      <c r="W908">
        <v>1</v>
      </c>
      <c r="Y908">
        <v>0</v>
      </c>
      <c r="AA908">
        <v>0</v>
      </c>
    </row>
    <row r="909" spans="1:27" x14ac:dyDescent="0.3">
      <c r="A909" t="s">
        <v>950</v>
      </c>
      <c r="B909">
        <v>45664</v>
      </c>
      <c r="C909" t="s">
        <v>733</v>
      </c>
      <c r="D909" t="s">
        <v>33</v>
      </c>
      <c r="E909" t="s">
        <v>44</v>
      </c>
      <c r="F909" t="s">
        <v>35</v>
      </c>
      <c r="G909" t="s">
        <v>31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P909">
        <v>81.900000000000006</v>
      </c>
      <c r="S909">
        <v>0</v>
      </c>
      <c r="U909">
        <v>1</v>
      </c>
      <c r="W909">
        <v>0</v>
      </c>
      <c r="Y909">
        <v>0</v>
      </c>
      <c r="AA909">
        <v>0</v>
      </c>
    </row>
    <row r="910" spans="1:27" x14ac:dyDescent="0.3">
      <c r="A910" t="s">
        <v>951</v>
      </c>
      <c r="B910">
        <v>45737</v>
      </c>
      <c r="C910" t="s">
        <v>733</v>
      </c>
      <c r="D910" t="s">
        <v>33</v>
      </c>
      <c r="E910" t="s">
        <v>29</v>
      </c>
      <c r="F910" t="s">
        <v>30</v>
      </c>
      <c r="G910" t="s">
        <v>36</v>
      </c>
      <c r="H910">
        <v>1</v>
      </c>
      <c r="I910">
        <v>0</v>
      </c>
      <c r="J910">
        <v>0</v>
      </c>
      <c r="K910">
        <v>0</v>
      </c>
      <c r="L910">
        <v>0</v>
      </c>
      <c r="M910">
        <v>3</v>
      </c>
      <c r="N910">
        <v>0</v>
      </c>
      <c r="P910">
        <v>53.3</v>
      </c>
      <c r="S910">
        <v>0</v>
      </c>
      <c r="U910">
        <v>1</v>
      </c>
      <c r="W910">
        <v>0</v>
      </c>
      <c r="Y910">
        <v>0</v>
      </c>
      <c r="AA910">
        <v>3</v>
      </c>
    </row>
    <row r="911" spans="1:27" x14ac:dyDescent="0.3">
      <c r="A911" t="s">
        <v>952</v>
      </c>
      <c r="B911">
        <v>45706</v>
      </c>
      <c r="C911" t="s">
        <v>733</v>
      </c>
      <c r="D911" t="s">
        <v>28</v>
      </c>
      <c r="E911" t="s">
        <v>29</v>
      </c>
      <c r="F911" t="s">
        <v>35</v>
      </c>
      <c r="G911" t="s">
        <v>31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P911">
        <v>54.2</v>
      </c>
      <c r="S911">
        <v>0</v>
      </c>
      <c r="U911">
        <v>0</v>
      </c>
      <c r="W911">
        <v>0</v>
      </c>
      <c r="Y911">
        <v>0</v>
      </c>
      <c r="AA911">
        <v>0</v>
      </c>
    </row>
    <row r="912" spans="1:27" x14ac:dyDescent="0.3">
      <c r="A912" t="s">
        <v>953</v>
      </c>
      <c r="B912">
        <v>45662</v>
      </c>
      <c r="C912" t="s">
        <v>733</v>
      </c>
      <c r="D912" t="s">
        <v>28</v>
      </c>
      <c r="E912" t="s">
        <v>34</v>
      </c>
      <c r="F912" t="s">
        <v>39</v>
      </c>
      <c r="G912" t="s">
        <v>36</v>
      </c>
      <c r="H912">
        <v>1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P912">
        <v>65.599999999999994</v>
      </c>
      <c r="S912">
        <v>0</v>
      </c>
      <c r="U912">
        <v>1</v>
      </c>
      <c r="W912">
        <v>1</v>
      </c>
      <c r="Y912">
        <v>0</v>
      </c>
      <c r="AA912">
        <v>0</v>
      </c>
    </row>
    <row r="913" spans="1:27" x14ac:dyDescent="0.3">
      <c r="A913" t="s">
        <v>954</v>
      </c>
      <c r="B913">
        <v>45727</v>
      </c>
      <c r="C913" t="s">
        <v>733</v>
      </c>
      <c r="D913" t="s">
        <v>38</v>
      </c>
      <c r="E913" t="s">
        <v>29</v>
      </c>
      <c r="F913" t="s">
        <v>35</v>
      </c>
      <c r="G913" t="s">
        <v>31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1</v>
      </c>
      <c r="N913">
        <v>0</v>
      </c>
      <c r="P913">
        <v>56.5</v>
      </c>
      <c r="S913">
        <v>0</v>
      </c>
      <c r="U913">
        <v>1</v>
      </c>
      <c r="W913">
        <v>0</v>
      </c>
      <c r="Y913">
        <v>0</v>
      </c>
      <c r="AA913">
        <v>1</v>
      </c>
    </row>
    <row r="914" spans="1:27" x14ac:dyDescent="0.3">
      <c r="A914" t="s">
        <v>955</v>
      </c>
      <c r="B914">
        <v>45666</v>
      </c>
      <c r="C914" t="s">
        <v>733</v>
      </c>
      <c r="D914" t="s">
        <v>28</v>
      </c>
      <c r="E914" t="s">
        <v>29</v>
      </c>
      <c r="F914" t="s">
        <v>35</v>
      </c>
      <c r="G914" t="s">
        <v>31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P914">
        <v>59.7</v>
      </c>
      <c r="S914">
        <v>0</v>
      </c>
      <c r="U914">
        <v>1</v>
      </c>
      <c r="W914">
        <v>0</v>
      </c>
      <c r="Y914">
        <v>0</v>
      </c>
      <c r="AA914">
        <v>0</v>
      </c>
    </row>
    <row r="915" spans="1:27" x14ac:dyDescent="0.3">
      <c r="A915" t="s">
        <v>956</v>
      </c>
      <c r="B915">
        <v>45665</v>
      </c>
      <c r="C915" t="s">
        <v>733</v>
      </c>
      <c r="D915" t="s">
        <v>42</v>
      </c>
      <c r="E915" t="s">
        <v>34</v>
      </c>
      <c r="F915" t="s">
        <v>35</v>
      </c>
      <c r="G915" t="s">
        <v>36</v>
      </c>
      <c r="H915">
        <v>1</v>
      </c>
      <c r="I915">
        <v>1</v>
      </c>
      <c r="J915">
        <v>1</v>
      </c>
      <c r="K915">
        <v>0</v>
      </c>
      <c r="L915">
        <v>0</v>
      </c>
      <c r="M915">
        <v>0</v>
      </c>
      <c r="N915">
        <v>0</v>
      </c>
      <c r="P915">
        <v>72.5</v>
      </c>
      <c r="S915">
        <v>0</v>
      </c>
      <c r="U915">
        <v>1</v>
      </c>
      <c r="W915">
        <v>1</v>
      </c>
      <c r="Y915">
        <v>1</v>
      </c>
      <c r="AA915">
        <v>0</v>
      </c>
    </row>
    <row r="916" spans="1:27" x14ac:dyDescent="0.3">
      <c r="A916" t="s">
        <v>957</v>
      </c>
      <c r="B916">
        <v>45778</v>
      </c>
      <c r="C916" t="s">
        <v>733</v>
      </c>
      <c r="D916" t="s">
        <v>38</v>
      </c>
      <c r="E916" t="s">
        <v>29</v>
      </c>
      <c r="F916" t="s">
        <v>39</v>
      </c>
      <c r="G916" t="s">
        <v>36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P916">
        <v>64.3</v>
      </c>
      <c r="S916">
        <v>0</v>
      </c>
      <c r="U916">
        <v>1</v>
      </c>
      <c r="W916">
        <v>0</v>
      </c>
      <c r="Y916">
        <v>0</v>
      </c>
      <c r="AA916">
        <v>0</v>
      </c>
    </row>
    <row r="917" spans="1:27" x14ac:dyDescent="0.3">
      <c r="A917" t="s">
        <v>958</v>
      </c>
      <c r="B917">
        <v>45719</v>
      </c>
      <c r="C917" t="s">
        <v>733</v>
      </c>
      <c r="D917" t="s">
        <v>42</v>
      </c>
      <c r="E917" t="s">
        <v>34</v>
      </c>
      <c r="F917" t="s">
        <v>51</v>
      </c>
      <c r="G917" t="s">
        <v>36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P917">
        <v>64.5</v>
      </c>
      <c r="S917">
        <v>0</v>
      </c>
      <c r="U917">
        <v>1</v>
      </c>
      <c r="W917">
        <v>0</v>
      </c>
      <c r="Y917">
        <v>0</v>
      </c>
      <c r="AA917">
        <v>0</v>
      </c>
    </row>
    <row r="918" spans="1:27" x14ac:dyDescent="0.3">
      <c r="A918" t="s">
        <v>959</v>
      </c>
      <c r="B918">
        <v>45711</v>
      </c>
      <c r="C918" t="s">
        <v>733</v>
      </c>
      <c r="D918" t="s">
        <v>33</v>
      </c>
      <c r="E918" t="s">
        <v>29</v>
      </c>
      <c r="F918" t="s">
        <v>51</v>
      </c>
      <c r="G918" t="s">
        <v>31</v>
      </c>
      <c r="H918">
        <v>1</v>
      </c>
      <c r="I918">
        <v>1</v>
      </c>
      <c r="J918">
        <v>1</v>
      </c>
      <c r="K918">
        <v>0</v>
      </c>
      <c r="L918">
        <v>0</v>
      </c>
      <c r="M918">
        <v>0</v>
      </c>
      <c r="N918">
        <v>0</v>
      </c>
      <c r="P918">
        <v>70.599999999999994</v>
      </c>
      <c r="S918">
        <v>0</v>
      </c>
      <c r="U918">
        <v>1</v>
      </c>
      <c r="W918">
        <v>1</v>
      </c>
      <c r="Y918">
        <v>1</v>
      </c>
      <c r="AA918">
        <v>0</v>
      </c>
    </row>
    <row r="919" spans="1:27" x14ac:dyDescent="0.3">
      <c r="A919" t="s">
        <v>960</v>
      </c>
      <c r="B919">
        <v>45705</v>
      </c>
      <c r="C919" t="s">
        <v>733</v>
      </c>
      <c r="D919" t="s">
        <v>42</v>
      </c>
      <c r="E919" t="s">
        <v>29</v>
      </c>
      <c r="F919" t="s">
        <v>35</v>
      </c>
      <c r="G919" t="s">
        <v>31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P919">
        <v>58.4</v>
      </c>
      <c r="S919">
        <v>0</v>
      </c>
      <c r="U919">
        <v>0</v>
      </c>
      <c r="W919">
        <v>0</v>
      </c>
      <c r="Y919">
        <v>0</v>
      </c>
      <c r="AA919">
        <v>0</v>
      </c>
    </row>
    <row r="920" spans="1:27" x14ac:dyDescent="0.3">
      <c r="A920" t="s">
        <v>961</v>
      </c>
      <c r="B920">
        <v>45798</v>
      </c>
      <c r="C920" t="s">
        <v>733</v>
      </c>
      <c r="D920" t="s">
        <v>38</v>
      </c>
      <c r="E920" t="s">
        <v>34</v>
      </c>
      <c r="F920" t="s">
        <v>35</v>
      </c>
      <c r="G920" t="s">
        <v>31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P920">
        <v>56.6</v>
      </c>
      <c r="S920">
        <v>0</v>
      </c>
      <c r="U920">
        <v>1</v>
      </c>
      <c r="W920">
        <v>0</v>
      </c>
      <c r="Y920">
        <v>0</v>
      </c>
      <c r="AA920">
        <v>0</v>
      </c>
    </row>
    <row r="921" spans="1:27" x14ac:dyDescent="0.3">
      <c r="A921" t="s">
        <v>962</v>
      </c>
      <c r="B921">
        <v>45687</v>
      </c>
      <c r="C921" t="s">
        <v>733</v>
      </c>
      <c r="D921" t="s">
        <v>42</v>
      </c>
      <c r="E921" t="s">
        <v>34</v>
      </c>
      <c r="F921" t="s">
        <v>35</v>
      </c>
      <c r="G921" t="s">
        <v>36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P921">
        <v>61.8</v>
      </c>
      <c r="S921">
        <v>0</v>
      </c>
      <c r="U921">
        <v>1</v>
      </c>
      <c r="W921">
        <v>0</v>
      </c>
      <c r="Y921">
        <v>0</v>
      </c>
      <c r="AA921">
        <v>0</v>
      </c>
    </row>
    <row r="922" spans="1:27" x14ac:dyDescent="0.3">
      <c r="A922" t="s">
        <v>963</v>
      </c>
      <c r="B922">
        <v>45736</v>
      </c>
      <c r="C922" t="s">
        <v>733</v>
      </c>
      <c r="D922" t="s">
        <v>33</v>
      </c>
      <c r="E922" t="s">
        <v>34</v>
      </c>
      <c r="F922" t="s">
        <v>30</v>
      </c>
      <c r="G922" t="s">
        <v>36</v>
      </c>
      <c r="H922">
        <v>1</v>
      </c>
      <c r="I922">
        <v>1</v>
      </c>
      <c r="J922">
        <v>1</v>
      </c>
      <c r="K922">
        <v>1</v>
      </c>
      <c r="L922">
        <v>513.52</v>
      </c>
      <c r="M922">
        <v>0</v>
      </c>
      <c r="N922">
        <v>0</v>
      </c>
      <c r="O922">
        <v>8</v>
      </c>
      <c r="P922">
        <v>43.4</v>
      </c>
      <c r="S922">
        <v>0</v>
      </c>
      <c r="U922">
        <v>1</v>
      </c>
      <c r="W922">
        <v>1</v>
      </c>
      <c r="Y922">
        <v>1</v>
      </c>
      <c r="AA922">
        <v>0</v>
      </c>
    </row>
    <row r="923" spans="1:27" x14ac:dyDescent="0.3">
      <c r="A923" t="s">
        <v>964</v>
      </c>
      <c r="B923">
        <v>45757</v>
      </c>
      <c r="C923" t="s">
        <v>733</v>
      </c>
      <c r="D923" t="s">
        <v>33</v>
      </c>
      <c r="E923" t="s">
        <v>44</v>
      </c>
      <c r="F923" t="s">
        <v>39</v>
      </c>
      <c r="G923" t="s">
        <v>36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P923">
        <v>43</v>
      </c>
      <c r="S923">
        <v>1</v>
      </c>
      <c r="U923">
        <v>0</v>
      </c>
      <c r="W923">
        <v>0</v>
      </c>
      <c r="Y923">
        <v>0</v>
      </c>
      <c r="AA923">
        <v>0</v>
      </c>
    </row>
    <row r="924" spans="1:27" x14ac:dyDescent="0.3">
      <c r="A924" t="s">
        <v>965</v>
      </c>
      <c r="B924">
        <v>45723</v>
      </c>
      <c r="C924" t="s">
        <v>733</v>
      </c>
      <c r="D924" t="s">
        <v>28</v>
      </c>
      <c r="E924" t="s">
        <v>29</v>
      </c>
      <c r="F924" t="s">
        <v>35</v>
      </c>
      <c r="G924" t="s">
        <v>36</v>
      </c>
      <c r="H924">
        <v>1</v>
      </c>
      <c r="I924">
        <v>1</v>
      </c>
      <c r="J924">
        <v>1</v>
      </c>
      <c r="K924">
        <v>0</v>
      </c>
      <c r="L924">
        <v>0</v>
      </c>
      <c r="M924">
        <v>0</v>
      </c>
      <c r="N924">
        <v>0</v>
      </c>
      <c r="P924">
        <v>51.1</v>
      </c>
      <c r="S924">
        <v>0</v>
      </c>
      <c r="U924">
        <v>1</v>
      </c>
      <c r="W924">
        <v>1</v>
      </c>
      <c r="Y924">
        <v>1</v>
      </c>
      <c r="AA924">
        <v>0</v>
      </c>
    </row>
    <row r="925" spans="1:27" x14ac:dyDescent="0.3">
      <c r="A925" t="s">
        <v>966</v>
      </c>
      <c r="B925">
        <v>45728</v>
      </c>
      <c r="C925" t="s">
        <v>733</v>
      </c>
      <c r="D925" t="s">
        <v>33</v>
      </c>
      <c r="E925" t="s">
        <v>34</v>
      </c>
      <c r="F925" t="s">
        <v>30</v>
      </c>
      <c r="G925" t="s">
        <v>31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P925">
        <v>48.8</v>
      </c>
      <c r="S925">
        <v>0</v>
      </c>
      <c r="U925">
        <v>1</v>
      </c>
      <c r="W925">
        <v>0</v>
      </c>
      <c r="Y925">
        <v>0</v>
      </c>
      <c r="AA925">
        <v>0</v>
      </c>
    </row>
    <row r="926" spans="1:27" x14ac:dyDescent="0.3">
      <c r="A926" t="s">
        <v>967</v>
      </c>
      <c r="B926">
        <v>45712</v>
      </c>
      <c r="C926" t="s">
        <v>733</v>
      </c>
      <c r="D926" t="s">
        <v>38</v>
      </c>
      <c r="E926" t="s">
        <v>34</v>
      </c>
      <c r="F926" t="s">
        <v>49</v>
      </c>
      <c r="G926" t="s">
        <v>36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P926">
        <v>73.2</v>
      </c>
      <c r="S926">
        <v>0</v>
      </c>
      <c r="U926">
        <v>0</v>
      </c>
      <c r="W926">
        <v>0</v>
      </c>
      <c r="Y926">
        <v>0</v>
      </c>
      <c r="AA926">
        <v>0</v>
      </c>
    </row>
    <row r="927" spans="1:27" x14ac:dyDescent="0.3">
      <c r="A927" t="s">
        <v>968</v>
      </c>
      <c r="B927">
        <v>45672</v>
      </c>
      <c r="C927" t="s">
        <v>733</v>
      </c>
      <c r="D927" t="s">
        <v>38</v>
      </c>
      <c r="E927" t="s">
        <v>34</v>
      </c>
      <c r="F927" t="s">
        <v>49</v>
      </c>
      <c r="G927" t="s">
        <v>36</v>
      </c>
      <c r="H927">
        <v>1</v>
      </c>
      <c r="I927">
        <v>1</v>
      </c>
      <c r="J927">
        <v>1</v>
      </c>
      <c r="K927">
        <v>0</v>
      </c>
      <c r="L927">
        <v>0</v>
      </c>
      <c r="M927">
        <v>0</v>
      </c>
      <c r="N927">
        <v>0</v>
      </c>
      <c r="P927">
        <v>80</v>
      </c>
      <c r="S927">
        <v>0</v>
      </c>
      <c r="U927">
        <v>1</v>
      </c>
      <c r="W927">
        <v>1</v>
      </c>
      <c r="Y927">
        <v>1</v>
      </c>
      <c r="AA927">
        <v>0</v>
      </c>
    </row>
    <row r="928" spans="1:27" x14ac:dyDescent="0.3">
      <c r="A928" t="s">
        <v>969</v>
      </c>
      <c r="B928">
        <v>45664</v>
      </c>
      <c r="C928" t="s">
        <v>733</v>
      </c>
      <c r="D928" t="s">
        <v>28</v>
      </c>
      <c r="E928" t="s">
        <v>29</v>
      </c>
      <c r="F928" t="s">
        <v>39</v>
      </c>
      <c r="G928" t="s">
        <v>36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P928">
        <v>52.3</v>
      </c>
      <c r="S928">
        <v>0</v>
      </c>
      <c r="U928">
        <v>1</v>
      </c>
      <c r="W928">
        <v>0</v>
      </c>
      <c r="Y928">
        <v>0</v>
      </c>
      <c r="AA928">
        <v>0</v>
      </c>
    </row>
    <row r="929" spans="1:27" x14ac:dyDescent="0.3">
      <c r="A929" t="s">
        <v>970</v>
      </c>
      <c r="B929">
        <v>45718</v>
      </c>
      <c r="C929" t="s">
        <v>733</v>
      </c>
      <c r="D929" t="s">
        <v>28</v>
      </c>
      <c r="E929" t="s">
        <v>29</v>
      </c>
      <c r="F929" t="s">
        <v>35</v>
      </c>
      <c r="G929" t="s">
        <v>36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P929">
        <v>49.1</v>
      </c>
      <c r="S929">
        <v>0</v>
      </c>
      <c r="U929">
        <v>0</v>
      </c>
      <c r="W929">
        <v>0</v>
      </c>
      <c r="Y929">
        <v>0</v>
      </c>
      <c r="AA929">
        <v>0</v>
      </c>
    </row>
    <row r="930" spans="1:27" x14ac:dyDescent="0.3">
      <c r="A930" t="s">
        <v>971</v>
      </c>
      <c r="B930">
        <v>45662</v>
      </c>
      <c r="C930" t="s">
        <v>733</v>
      </c>
      <c r="D930" t="s">
        <v>42</v>
      </c>
      <c r="E930" t="s">
        <v>29</v>
      </c>
      <c r="F930" t="s">
        <v>49</v>
      </c>
      <c r="G930" t="s">
        <v>31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P930">
        <v>45.3</v>
      </c>
      <c r="S930">
        <v>0</v>
      </c>
      <c r="U930">
        <v>0</v>
      </c>
      <c r="W930">
        <v>0</v>
      </c>
      <c r="Y930">
        <v>0</v>
      </c>
      <c r="AA930">
        <v>0</v>
      </c>
    </row>
    <row r="931" spans="1:27" x14ac:dyDescent="0.3">
      <c r="A931" t="s">
        <v>972</v>
      </c>
      <c r="B931">
        <v>45719</v>
      </c>
      <c r="C931" t="s">
        <v>733</v>
      </c>
      <c r="D931" t="s">
        <v>42</v>
      </c>
      <c r="E931" t="s">
        <v>34</v>
      </c>
      <c r="F931" t="s">
        <v>35</v>
      </c>
      <c r="G931" t="s">
        <v>36</v>
      </c>
      <c r="H931">
        <v>1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P931">
        <v>49.1</v>
      </c>
      <c r="S931">
        <v>0</v>
      </c>
      <c r="U931">
        <v>1</v>
      </c>
      <c r="W931">
        <v>1</v>
      </c>
      <c r="Y931">
        <v>0</v>
      </c>
      <c r="AA931">
        <v>0</v>
      </c>
    </row>
    <row r="932" spans="1:27" x14ac:dyDescent="0.3">
      <c r="A932" t="s">
        <v>973</v>
      </c>
      <c r="B932">
        <v>45747</v>
      </c>
      <c r="C932" t="s">
        <v>733</v>
      </c>
      <c r="D932" t="s">
        <v>38</v>
      </c>
      <c r="E932" t="s">
        <v>29</v>
      </c>
      <c r="F932" t="s">
        <v>49</v>
      </c>
      <c r="G932" t="s">
        <v>36</v>
      </c>
      <c r="H932">
        <v>1</v>
      </c>
      <c r="I932">
        <v>1</v>
      </c>
      <c r="J932">
        <v>1</v>
      </c>
      <c r="K932">
        <v>1</v>
      </c>
      <c r="L932">
        <v>476.44</v>
      </c>
      <c r="M932">
        <v>0</v>
      </c>
      <c r="N932">
        <v>0</v>
      </c>
      <c r="O932">
        <v>3</v>
      </c>
      <c r="P932">
        <v>88.6</v>
      </c>
      <c r="S932">
        <v>0</v>
      </c>
      <c r="U932">
        <v>1</v>
      </c>
      <c r="W932">
        <v>1</v>
      </c>
      <c r="Y932">
        <v>1</v>
      </c>
      <c r="AA932">
        <v>0</v>
      </c>
    </row>
    <row r="933" spans="1:27" x14ac:dyDescent="0.3">
      <c r="A933" t="s">
        <v>974</v>
      </c>
      <c r="B933">
        <v>45671</v>
      </c>
      <c r="C933" t="s">
        <v>733</v>
      </c>
      <c r="D933" t="s">
        <v>38</v>
      </c>
      <c r="E933" t="s">
        <v>29</v>
      </c>
      <c r="F933" t="s">
        <v>39</v>
      </c>
      <c r="G933" t="s">
        <v>40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1</v>
      </c>
      <c r="N933">
        <v>0</v>
      </c>
      <c r="P933">
        <v>54.4</v>
      </c>
      <c r="S933">
        <v>1</v>
      </c>
      <c r="U933">
        <v>0</v>
      </c>
      <c r="W933">
        <v>0</v>
      </c>
      <c r="Y933">
        <v>0</v>
      </c>
      <c r="AA933">
        <v>1</v>
      </c>
    </row>
    <row r="934" spans="1:27" x14ac:dyDescent="0.3">
      <c r="A934" t="s">
        <v>975</v>
      </c>
      <c r="B934">
        <v>45672</v>
      </c>
      <c r="C934" t="s">
        <v>733</v>
      </c>
      <c r="D934" t="s">
        <v>33</v>
      </c>
      <c r="E934" t="s">
        <v>29</v>
      </c>
      <c r="F934" t="s">
        <v>39</v>
      </c>
      <c r="G934" t="s">
        <v>40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P934">
        <v>72.900000000000006</v>
      </c>
      <c r="S934">
        <v>0</v>
      </c>
      <c r="U934">
        <v>1</v>
      </c>
      <c r="W934">
        <v>0</v>
      </c>
      <c r="Y934">
        <v>0</v>
      </c>
      <c r="AA934">
        <v>0</v>
      </c>
    </row>
    <row r="935" spans="1:27" x14ac:dyDescent="0.3">
      <c r="A935" t="s">
        <v>976</v>
      </c>
      <c r="B935">
        <v>45772</v>
      </c>
      <c r="C935" t="s">
        <v>733</v>
      </c>
      <c r="D935" t="s">
        <v>33</v>
      </c>
      <c r="E935" t="s">
        <v>29</v>
      </c>
      <c r="F935" t="s">
        <v>35</v>
      </c>
      <c r="G935" t="s">
        <v>36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P935">
        <v>53.2</v>
      </c>
      <c r="S935">
        <v>0</v>
      </c>
      <c r="U935">
        <v>1</v>
      </c>
      <c r="W935">
        <v>0</v>
      </c>
      <c r="Y935">
        <v>0</v>
      </c>
      <c r="AA935">
        <v>0</v>
      </c>
    </row>
    <row r="936" spans="1:27" x14ac:dyDescent="0.3">
      <c r="A936" t="s">
        <v>977</v>
      </c>
      <c r="B936">
        <v>45737</v>
      </c>
      <c r="C936" t="s">
        <v>733</v>
      </c>
      <c r="D936" t="s">
        <v>38</v>
      </c>
      <c r="E936" t="s">
        <v>34</v>
      </c>
      <c r="F936" t="s">
        <v>35</v>
      </c>
      <c r="G936" t="s">
        <v>31</v>
      </c>
      <c r="H936">
        <v>1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P936">
        <v>48.7</v>
      </c>
      <c r="S936">
        <v>0</v>
      </c>
      <c r="U936">
        <v>1</v>
      </c>
      <c r="W936">
        <v>1</v>
      </c>
      <c r="Y936">
        <v>0</v>
      </c>
      <c r="AA936">
        <v>0</v>
      </c>
    </row>
    <row r="937" spans="1:27" x14ac:dyDescent="0.3">
      <c r="A937" t="s">
        <v>978</v>
      </c>
      <c r="B937">
        <v>45773</v>
      </c>
      <c r="C937" t="s">
        <v>733</v>
      </c>
      <c r="D937" t="s">
        <v>42</v>
      </c>
      <c r="E937" t="s">
        <v>34</v>
      </c>
      <c r="F937" t="s">
        <v>39</v>
      </c>
      <c r="G937" t="s">
        <v>31</v>
      </c>
      <c r="H937">
        <v>1</v>
      </c>
      <c r="I937">
        <v>1</v>
      </c>
      <c r="J937">
        <v>1</v>
      </c>
      <c r="K937">
        <v>0</v>
      </c>
      <c r="L937">
        <v>0</v>
      </c>
      <c r="M937">
        <v>0</v>
      </c>
      <c r="N937">
        <v>0</v>
      </c>
      <c r="P937">
        <v>59.9</v>
      </c>
      <c r="S937">
        <v>0</v>
      </c>
      <c r="U937">
        <v>1</v>
      </c>
      <c r="W937">
        <v>1</v>
      </c>
      <c r="Y937">
        <v>1</v>
      </c>
      <c r="AA937">
        <v>0</v>
      </c>
    </row>
    <row r="938" spans="1:27" x14ac:dyDescent="0.3">
      <c r="A938" t="s">
        <v>979</v>
      </c>
      <c r="B938">
        <v>45798</v>
      </c>
      <c r="C938" t="s">
        <v>733</v>
      </c>
      <c r="D938" t="s">
        <v>42</v>
      </c>
      <c r="E938" t="s">
        <v>29</v>
      </c>
      <c r="G938" t="s">
        <v>31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P938">
        <v>82</v>
      </c>
      <c r="S938">
        <v>0</v>
      </c>
      <c r="U938">
        <v>0</v>
      </c>
      <c r="W938">
        <v>0</v>
      </c>
      <c r="Y938">
        <v>0</v>
      </c>
      <c r="AA938">
        <v>0</v>
      </c>
    </row>
    <row r="939" spans="1:27" x14ac:dyDescent="0.3">
      <c r="A939" t="s">
        <v>980</v>
      </c>
      <c r="B939">
        <v>45765</v>
      </c>
      <c r="C939" t="s">
        <v>733</v>
      </c>
      <c r="D939" t="s">
        <v>38</v>
      </c>
      <c r="E939" t="s">
        <v>34</v>
      </c>
      <c r="F939" t="s">
        <v>39</v>
      </c>
      <c r="G939" t="s">
        <v>36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P939">
        <v>72.099999999999994</v>
      </c>
      <c r="S939">
        <v>0</v>
      </c>
      <c r="U939">
        <v>0</v>
      </c>
      <c r="W939">
        <v>0</v>
      </c>
      <c r="Y939">
        <v>0</v>
      </c>
      <c r="AA939">
        <v>0</v>
      </c>
    </row>
    <row r="940" spans="1:27" x14ac:dyDescent="0.3">
      <c r="A940" t="s">
        <v>981</v>
      </c>
      <c r="B940">
        <v>45686</v>
      </c>
      <c r="C940" t="s">
        <v>733</v>
      </c>
      <c r="D940" t="s">
        <v>28</v>
      </c>
      <c r="E940" t="s">
        <v>29</v>
      </c>
      <c r="F940" t="s">
        <v>30</v>
      </c>
      <c r="G940" t="s">
        <v>40</v>
      </c>
      <c r="H940">
        <v>1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P940">
        <v>68.3</v>
      </c>
      <c r="S940">
        <v>0</v>
      </c>
      <c r="U940">
        <v>1</v>
      </c>
      <c r="W940">
        <v>1</v>
      </c>
      <c r="Y940">
        <v>0</v>
      </c>
      <c r="AA940">
        <v>0</v>
      </c>
    </row>
    <row r="941" spans="1:27" x14ac:dyDescent="0.3">
      <c r="A941" t="s">
        <v>982</v>
      </c>
      <c r="B941">
        <v>45805</v>
      </c>
      <c r="C941" t="s">
        <v>733</v>
      </c>
      <c r="D941" t="s">
        <v>33</v>
      </c>
      <c r="E941" t="s">
        <v>34</v>
      </c>
      <c r="F941" t="s">
        <v>35</v>
      </c>
      <c r="G941" t="s">
        <v>40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P941">
        <v>100</v>
      </c>
      <c r="S941">
        <v>0</v>
      </c>
      <c r="U941">
        <v>0</v>
      </c>
      <c r="W941">
        <v>0</v>
      </c>
      <c r="Y941">
        <v>0</v>
      </c>
      <c r="AA941">
        <v>0</v>
      </c>
    </row>
    <row r="942" spans="1:27" x14ac:dyDescent="0.3">
      <c r="A942" t="s">
        <v>983</v>
      </c>
      <c r="B942">
        <v>45672</v>
      </c>
      <c r="C942" t="s">
        <v>733</v>
      </c>
      <c r="D942" t="s">
        <v>38</v>
      </c>
      <c r="E942" t="s">
        <v>34</v>
      </c>
      <c r="F942" t="s">
        <v>30</v>
      </c>
      <c r="G942" t="s">
        <v>36</v>
      </c>
      <c r="H942">
        <v>1</v>
      </c>
      <c r="I942">
        <v>1</v>
      </c>
      <c r="J942">
        <v>1</v>
      </c>
      <c r="K942">
        <v>0</v>
      </c>
      <c r="L942">
        <v>0</v>
      </c>
      <c r="M942">
        <v>2</v>
      </c>
      <c r="N942">
        <v>0</v>
      </c>
      <c r="P942">
        <v>76.5</v>
      </c>
      <c r="S942">
        <v>0</v>
      </c>
      <c r="U942">
        <v>1</v>
      </c>
      <c r="W942">
        <v>1</v>
      </c>
      <c r="Y942">
        <v>1</v>
      </c>
      <c r="AA942">
        <v>2</v>
      </c>
    </row>
    <row r="943" spans="1:27" x14ac:dyDescent="0.3">
      <c r="A943" t="s">
        <v>984</v>
      </c>
      <c r="B943">
        <v>45660</v>
      </c>
      <c r="C943" t="s">
        <v>733</v>
      </c>
      <c r="D943" t="s">
        <v>42</v>
      </c>
      <c r="E943" t="s">
        <v>34</v>
      </c>
      <c r="F943" t="s">
        <v>35</v>
      </c>
      <c r="G943" t="s">
        <v>31</v>
      </c>
      <c r="H943">
        <v>1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P943">
        <v>62</v>
      </c>
      <c r="S943">
        <v>0</v>
      </c>
      <c r="U943">
        <v>1</v>
      </c>
      <c r="W943">
        <v>1</v>
      </c>
      <c r="Y943">
        <v>0</v>
      </c>
      <c r="AA943">
        <v>0</v>
      </c>
    </row>
    <row r="944" spans="1:27" x14ac:dyDescent="0.3">
      <c r="A944" t="s">
        <v>985</v>
      </c>
      <c r="B944">
        <v>45692</v>
      </c>
      <c r="C944" t="s">
        <v>733</v>
      </c>
      <c r="D944" t="s">
        <v>42</v>
      </c>
      <c r="E944" t="s">
        <v>34</v>
      </c>
      <c r="F944" t="s">
        <v>39</v>
      </c>
      <c r="G944" t="s">
        <v>36</v>
      </c>
      <c r="H944">
        <v>1</v>
      </c>
      <c r="I944">
        <v>1</v>
      </c>
      <c r="J944">
        <v>1</v>
      </c>
      <c r="K944">
        <v>1</v>
      </c>
      <c r="L944">
        <v>324.68</v>
      </c>
      <c r="M944">
        <v>1</v>
      </c>
      <c r="N944">
        <v>0</v>
      </c>
      <c r="O944">
        <v>7</v>
      </c>
      <c r="P944">
        <v>50.1</v>
      </c>
      <c r="S944">
        <v>0</v>
      </c>
      <c r="U944">
        <v>1</v>
      </c>
      <c r="W944">
        <v>1</v>
      </c>
      <c r="Y944">
        <v>1</v>
      </c>
      <c r="AA944">
        <v>1</v>
      </c>
    </row>
    <row r="945" spans="1:27" x14ac:dyDescent="0.3">
      <c r="A945" t="s">
        <v>986</v>
      </c>
      <c r="B945">
        <v>45710</v>
      </c>
      <c r="C945" t="s">
        <v>733</v>
      </c>
      <c r="D945" t="s">
        <v>42</v>
      </c>
      <c r="E945" t="s">
        <v>34</v>
      </c>
      <c r="F945" t="s">
        <v>49</v>
      </c>
      <c r="G945" t="s">
        <v>40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P945">
        <v>62.1</v>
      </c>
      <c r="S945">
        <v>1</v>
      </c>
      <c r="U945">
        <v>1</v>
      </c>
      <c r="W945">
        <v>0</v>
      </c>
      <c r="Y945">
        <v>0</v>
      </c>
      <c r="AA945">
        <v>0</v>
      </c>
    </row>
    <row r="946" spans="1:27" x14ac:dyDescent="0.3">
      <c r="A946" t="s">
        <v>987</v>
      </c>
      <c r="B946">
        <v>45783</v>
      </c>
      <c r="C946" t="s">
        <v>733</v>
      </c>
      <c r="D946" t="s">
        <v>33</v>
      </c>
      <c r="E946" t="s">
        <v>34</v>
      </c>
      <c r="F946" t="s">
        <v>35</v>
      </c>
      <c r="G946" t="s">
        <v>31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P946">
        <v>49.7</v>
      </c>
      <c r="S946">
        <v>0</v>
      </c>
      <c r="U946">
        <v>1</v>
      </c>
      <c r="W946">
        <v>0</v>
      </c>
      <c r="Y946">
        <v>0</v>
      </c>
      <c r="AA946">
        <v>0</v>
      </c>
    </row>
    <row r="947" spans="1:27" x14ac:dyDescent="0.3">
      <c r="A947" t="s">
        <v>988</v>
      </c>
      <c r="B947">
        <v>45688</v>
      </c>
      <c r="C947" t="s">
        <v>733</v>
      </c>
      <c r="D947" t="s">
        <v>42</v>
      </c>
      <c r="E947" t="s">
        <v>34</v>
      </c>
      <c r="F947" t="s">
        <v>35</v>
      </c>
      <c r="G947" t="s">
        <v>36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3</v>
      </c>
      <c r="N947">
        <v>0</v>
      </c>
      <c r="P947">
        <v>71.099999999999994</v>
      </c>
      <c r="S947">
        <v>0</v>
      </c>
      <c r="U947">
        <v>1</v>
      </c>
      <c r="W947">
        <v>0</v>
      </c>
      <c r="Y947">
        <v>0</v>
      </c>
      <c r="AA947">
        <v>3</v>
      </c>
    </row>
    <row r="948" spans="1:27" x14ac:dyDescent="0.3">
      <c r="A948" t="s">
        <v>989</v>
      </c>
      <c r="B948">
        <v>45706</v>
      </c>
      <c r="C948" t="s">
        <v>733</v>
      </c>
      <c r="D948" t="s">
        <v>28</v>
      </c>
      <c r="E948" t="s">
        <v>34</v>
      </c>
      <c r="F948" t="s">
        <v>51</v>
      </c>
      <c r="G948" t="s">
        <v>31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P948">
        <v>70.8</v>
      </c>
      <c r="S948">
        <v>0</v>
      </c>
      <c r="U948">
        <v>0</v>
      </c>
      <c r="W948">
        <v>0</v>
      </c>
      <c r="Y948">
        <v>0</v>
      </c>
      <c r="AA948">
        <v>0</v>
      </c>
    </row>
    <row r="949" spans="1:27" x14ac:dyDescent="0.3">
      <c r="A949" t="s">
        <v>990</v>
      </c>
      <c r="B949">
        <v>45770</v>
      </c>
      <c r="C949" t="s">
        <v>733</v>
      </c>
      <c r="D949" t="s">
        <v>38</v>
      </c>
      <c r="E949" t="s">
        <v>34</v>
      </c>
      <c r="F949" t="s">
        <v>39</v>
      </c>
      <c r="G949" t="s">
        <v>36</v>
      </c>
      <c r="H949">
        <v>1</v>
      </c>
      <c r="I949">
        <v>1</v>
      </c>
      <c r="J949">
        <v>1</v>
      </c>
      <c r="K949">
        <v>1</v>
      </c>
      <c r="L949">
        <v>301.98</v>
      </c>
      <c r="M949">
        <v>0</v>
      </c>
      <c r="N949">
        <v>0</v>
      </c>
      <c r="O949">
        <v>10</v>
      </c>
      <c r="P949">
        <v>52.2</v>
      </c>
      <c r="S949">
        <v>0</v>
      </c>
      <c r="U949">
        <v>1</v>
      </c>
      <c r="W949">
        <v>1</v>
      </c>
      <c r="Y949">
        <v>1</v>
      </c>
      <c r="AA949">
        <v>0</v>
      </c>
    </row>
    <row r="950" spans="1:27" x14ac:dyDescent="0.3">
      <c r="A950" t="s">
        <v>991</v>
      </c>
      <c r="B950">
        <v>45694</v>
      </c>
      <c r="C950" t="s">
        <v>733</v>
      </c>
      <c r="D950" t="s">
        <v>28</v>
      </c>
      <c r="E950" t="s">
        <v>34</v>
      </c>
      <c r="F950" t="s">
        <v>35</v>
      </c>
      <c r="G950" t="s">
        <v>36</v>
      </c>
      <c r="H950">
        <v>1</v>
      </c>
      <c r="I950">
        <v>1</v>
      </c>
      <c r="J950">
        <v>1</v>
      </c>
      <c r="K950">
        <v>0</v>
      </c>
      <c r="L950">
        <v>0</v>
      </c>
      <c r="M950">
        <v>0</v>
      </c>
      <c r="N950">
        <v>0</v>
      </c>
      <c r="P950">
        <v>73</v>
      </c>
      <c r="S950">
        <v>1</v>
      </c>
      <c r="U950">
        <v>1</v>
      </c>
      <c r="W950">
        <v>1</v>
      </c>
      <c r="Y950">
        <v>1</v>
      </c>
      <c r="AA950">
        <v>0</v>
      </c>
    </row>
    <row r="951" spans="1:27" x14ac:dyDescent="0.3">
      <c r="A951" t="s">
        <v>992</v>
      </c>
      <c r="B951">
        <v>45773</v>
      </c>
      <c r="C951" t="s">
        <v>733</v>
      </c>
      <c r="D951" t="s">
        <v>42</v>
      </c>
      <c r="E951" t="s">
        <v>29</v>
      </c>
      <c r="F951" t="s">
        <v>39</v>
      </c>
      <c r="G951" t="s">
        <v>36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P951">
        <v>78.2</v>
      </c>
      <c r="S951">
        <v>0</v>
      </c>
      <c r="U951">
        <v>0</v>
      </c>
      <c r="W951">
        <v>0</v>
      </c>
      <c r="Y951">
        <v>0</v>
      </c>
      <c r="AA951">
        <v>0</v>
      </c>
    </row>
    <row r="952" spans="1:27" x14ac:dyDescent="0.3">
      <c r="A952" t="s">
        <v>993</v>
      </c>
      <c r="B952">
        <v>45746</v>
      </c>
      <c r="C952" t="s">
        <v>733</v>
      </c>
      <c r="D952" t="s">
        <v>33</v>
      </c>
      <c r="E952" t="s">
        <v>29</v>
      </c>
      <c r="F952" t="s">
        <v>39</v>
      </c>
      <c r="G952" t="s">
        <v>31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P952">
        <v>68.8</v>
      </c>
      <c r="S952">
        <v>0</v>
      </c>
      <c r="U952">
        <v>1</v>
      </c>
      <c r="W952">
        <v>0</v>
      </c>
      <c r="Y952">
        <v>0</v>
      </c>
      <c r="AA952">
        <v>0</v>
      </c>
    </row>
    <row r="953" spans="1:27" x14ac:dyDescent="0.3">
      <c r="A953" t="s">
        <v>994</v>
      </c>
      <c r="B953">
        <v>45760</v>
      </c>
      <c r="C953" t="s">
        <v>733</v>
      </c>
      <c r="D953" t="s">
        <v>33</v>
      </c>
      <c r="E953" t="s">
        <v>34</v>
      </c>
      <c r="G953" t="s">
        <v>40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P953">
        <v>57.1</v>
      </c>
      <c r="S953">
        <v>0</v>
      </c>
      <c r="U953">
        <v>1</v>
      </c>
      <c r="W953">
        <v>0</v>
      </c>
      <c r="Y953">
        <v>0</v>
      </c>
      <c r="AA953">
        <v>0</v>
      </c>
    </row>
    <row r="954" spans="1:27" x14ac:dyDescent="0.3">
      <c r="A954" t="s">
        <v>995</v>
      </c>
      <c r="B954">
        <v>45751</v>
      </c>
      <c r="C954" t="s">
        <v>733</v>
      </c>
      <c r="D954" t="s">
        <v>38</v>
      </c>
      <c r="E954" t="s">
        <v>29</v>
      </c>
      <c r="F954" t="s">
        <v>35</v>
      </c>
      <c r="G954" t="s">
        <v>40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1</v>
      </c>
      <c r="N954">
        <v>0</v>
      </c>
      <c r="P954">
        <v>74.599999999999994</v>
      </c>
      <c r="S954">
        <v>0</v>
      </c>
      <c r="U954">
        <v>0</v>
      </c>
      <c r="W954">
        <v>0</v>
      </c>
      <c r="Y954">
        <v>0</v>
      </c>
      <c r="AA954">
        <v>1</v>
      </c>
    </row>
    <row r="955" spans="1:27" x14ac:dyDescent="0.3">
      <c r="A955" t="s">
        <v>996</v>
      </c>
      <c r="B955">
        <v>45750</v>
      </c>
      <c r="C955" t="s">
        <v>733</v>
      </c>
      <c r="D955" t="s">
        <v>28</v>
      </c>
      <c r="E955" t="s">
        <v>29</v>
      </c>
      <c r="F955" t="s">
        <v>49</v>
      </c>
      <c r="G955" t="s">
        <v>36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1</v>
      </c>
      <c r="N955">
        <v>0</v>
      </c>
      <c r="P955">
        <v>64.099999999999994</v>
      </c>
      <c r="S955">
        <v>0</v>
      </c>
      <c r="U955">
        <v>1</v>
      </c>
      <c r="W955">
        <v>0</v>
      </c>
      <c r="Y955">
        <v>0</v>
      </c>
      <c r="AA955">
        <v>1</v>
      </c>
    </row>
    <row r="956" spans="1:27" x14ac:dyDescent="0.3">
      <c r="A956" t="s">
        <v>997</v>
      </c>
      <c r="B956">
        <v>45730</v>
      </c>
      <c r="C956" t="s">
        <v>733</v>
      </c>
      <c r="D956" t="s">
        <v>33</v>
      </c>
      <c r="E956" t="s">
        <v>34</v>
      </c>
      <c r="F956" t="s">
        <v>39</v>
      </c>
      <c r="G956" t="s">
        <v>40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P956">
        <v>67.3</v>
      </c>
      <c r="S956">
        <v>0</v>
      </c>
      <c r="U956">
        <v>1</v>
      </c>
      <c r="W956">
        <v>0</v>
      </c>
      <c r="Y956">
        <v>0</v>
      </c>
      <c r="AA956">
        <v>0</v>
      </c>
    </row>
    <row r="957" spans="1:27" x14ac:dyDescent="0.3">
      <c r="A957" t="s">
        <v>998</v>
      </c>
      <c r="B957">
        <v>45671</v>
      </c>
      <c r="C957" t="s">
        <v>733</v>
      </c>
      <c r="D957" t="s">
        <v>33</v>
      </c>
      <c r="E957" t="s">
        <v>34</v>
      </c>
      <c r="F957" t="s">
        <v>49</v>
      </c>
      <c r="G957" t="s">
        <v>36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2</v>
      </c>
      <c r="N957">
        <v>0</v>
      </c>
      <c r="P957">
        <v>41</v>
      </c>
      <c r="S957">
        <v>0</v>
      </c>
      <c r="U957">
        <v>0</v>
      </c>
      <c r="W957">
        <v>0</v>
      </c>
      <c r="Y957">
        <v>0</v>
      </c>
      <c r="AA957">
        <v>2</v>
      </c>
    </row>
    <row r="958" spans="1:27" x14ac:dyDescent="0.3">
      <c r="A958" t="s">
        <v>999</v>
      </c>
      <c r="B958">
        <v>45782</v>
      </c>
      <c r="C958" t="s">
        <v>733</v>
      </c>
      <c r="D958" t="s">
        <v>33</v>
      </c>
      <c r="E958" t="s">
        <v>34</v>
      </c>
      <c r="F958" t="s">
        <v>39</v>
      </c>
      <c r="G958" t="s">
        <v>36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P958">
        <v>48.1</v>
      </c>
      <c r="S958">
        <v>0</v>
      </c>
      <c r="U958">
        <v>0</v>
      </c>
      <c r="W958">
        <v>0</v>
      </c>
      <c r="Y958">
        <v>0</v>
      </c>
      <c r="AA958">
        <v>0</v>
      </c>
    </row>
    <row r="959" spans="1:27" x14ac:dyDescent="0.3">
      <c r="A959" t="s">
        <v>1000</v>
      </c>
      <c r="B959">
        <v>45779</v>
      </c>
      <c r="C959" t="s">
        <v>733</v>
      </c>
      <c r="D959" t="s">
        <v>33</v>
      </c>
      <c r="E959" t="s">
        <v>29</v>
      </c>
      <c r="F959" t="s">
        <v>51</v>
      </c>
      <c r="G959" t="s">
        <v>36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1</v>
      </c>
      <c r="N959">
        <v>0</v>
      </c>
      <c r="P959">
        <v>60.8</v>
      </c>
      <c r="S959">
        <v>0</v>
      </c>
      <c r="U959">
        <v>0</v>
      </c>
      <c r="W959">
        <v>0</v>
      </c>
      <c r="Y959">
        <v>0</v>
      </c>
      <c r="AA959">
        <v>1</v>
      </c>
    </row>
    <row r="960" spans="1:27" x14ac:dyDescent="0.3">
      <c r="A960" t="s">
        <v>1001</v>
      </c>
      <c r="B960">
        <v>45798</v>
      </c>
      <c r="C960" t="s">
        <v>733</v>
      </c>
      <c r="D960" t="s">
        <v>38</v>
      </c>
      <c r="E960" t="s">
        <v>34</v>
      </c>
      <c r="F960" t="s">
        <v>35</v>
      </c>
      <c r="G960" t="s">
        <v>36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P960">
        <v>63.1</v>
      </c>
      <c r="S960">
        <v>0</v>
      </c>
      <c r="U960">
        <v>1</v>
      </c>
      <c r="W960">
        <v>0</v>
      </c>
      <c r="Y960">
        <v>0</v>
      </c>
      <c r="AA960">
        <v>0</v>
      </c>
    </row>
    <row r="961" spans="1:27" x14ac:dyDescent="0.3">
      <c r="A961" t="s">
        <v>1002</v>
      </c>
      <c r="B961">
        <v>45793</v>
      </c>
      <c r="C961" t="s">
        <v>733</v>
      </c>
      <c r="D961" t="s">
        <v>28</v>
      </c>
      <c r="E961" t="s">
        <v>34</v>
      </c>
      <c r="F961" t="s">
        <v>49</v>
      </c>
      <c r="G961" t="s">
        <v>40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2</v>
      </c>
      <c r="N961">
        <v>0</v>
      </c>
      <c r="P961">
        <v>49.7</v>
      </c>
      <c r="S961">
        <v>0</v>
      </c>
      <c r="U961">
        <v>1</v>
      </c>
      <c r="W961">
        <v>0</v>
      </c>
      <c r="Y961">
        <v>0</v>
      </c>
      <c r="AA961">
        <v>2</v>
      </c>
    </row>
    <row r="962" spans="1:27" x14ac:dyDescent="0.3">
      <c r="A962" t="s">
        <v>1003</v>
      </c>
      <c r="B962">
        <v>45801</v>
      </c>
      <c r="C962" t="s">
        <v>733</v>
      </c>
      <c r="D962" t="s">
        <v>38</v>
      </c>
      <c r="E962" t="s">
        <v>29</v>
      </c>
      <c r="F962" t="s">
        <v>35</v>
      </c>
      <c r="G962" t="s">
        <v>40</v>
      </c>
      <c r="H962">
        <v>1</v>
      </c>
      <c r="I962">
        <v>1</v>
      </c>
      <c r="J962">
        <v>1</v>
      </c>
      <c r="K962">
        <v>0</v>
      </c>
      <c r="L962">
        <v>0</v>
      </c>
      <c r="M962">
        <v>1</v>
      </c>
      <c r="N962">
        <v>0</v>
      </c>
      <c r="P962">
        <v>83.4</v>
      </c>
      <c r="S962">
        <v>0</v>
      </c>
      <c r="U962">
        <v>1</v>
      </c>
      <c r="W962">
        <v>1</v>
      </c>
      <c r="Y962">
        <v>1</v>
      </c>
      <c r="AA962">
        <v>1</v>
      </c>
    </row>
    <row r="963" spans="1:27" x14ac:dyDescent="0.3">
      <c r="A963" t="s">
        <v>1004</v>
      </c>
      <c r="B963">
        <v>45734</v>
      </c>
      <c r="C963" t="s">
        <v>733</v>
      </c>
      <c r="D963" t="s">
        <v>38</v>
      </c>
      <c r="E963" t="s">
        <v>34</v>
      </c>
      <c r="F963" t="s">
        <v>35</v>
      </c>
      <c r="G963" t="s">
        <v>31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P963">
        <v>75.900000000000006</v>
      </c>
      <c r="S963">
        <v>0</v>
      </c>
      <c r="U963">
        <v>1</v>
      </c>
      <c r="W963">
        <v>0</v>
      </c>
      <c r="Y963">
        <v>0</v>
      </c>
      <c r="AA963">
        <v>0</v>
      </c>
    </row>
    <row r="964" spans="1:27" x14ac:dyDescent="0.3">
      <c r="A964" t="s">
        <v>1005</v>
      </c>
      <c r="B964">
        <v>45668</v>
      </c>
      <c r="C964" t="s">
        <v>733</v>
      </c>
      <c r="D964" t="s">
        <v>38</v>
      </c>
      <c r="E964" t="s">
        <v>29</v>
      </c>
      <c r="F964" t="s">
        <v>39</v>
      </c>
      <c r="G964" t="s">
        <v>36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</v>
      </c>
      <c r="N964">
        <v>0</v>
      </c>
      <c r="P964">
        <v>71.8</v>
      </c>
      <c r="S964">
        <v>0</v>
      </c>
      <c r="U964">
        <v>0</v>
      </c>
      <c r="W964">
        <v>0</v>
      </c>
      <c r="Y964">
        <v>0</v>
      </c>
      <c r="AA964">
        <v>1</v>
      </c>
    </row>
    <row r="965" spans="1:27" x14ac:dyDescent="0.3">
      <c r="A965" t="s">
        <v>1006</v>
      </c>
      <c r="B965">
        <v>45697</v>
      </c>
      <c r="C965" t="s">
        <v>733</v>
      </c>
      <c r="D965" t="s">
        <v>42</v>
      </c>
      <c r="E965" t="s">
        <v>34</v>
      </c>
      <c r="F965" t="s">
        <v>35</v>
      </c>
      <c r="G965" t="s">
        <v>31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P965">
        <v>37.9</v>
      </c>
      <c r="S965">
        <v>0</v>
      </c>
      <c r="U965">
        <v>0</v>
      </c>
      <c r="W965">
        <v>0</v>
      </c>
      <c r="Y965">
        <v>0</v>
      </c>
      <c r="AA965">
        <v>0</v>
      </c>
    </row>
    <row r="966" spans="1:27" x14ac:dyDescent="0.3">
      <c r="A966" t="s">
        <v>1007</v>
      </c>
      <c r="B966">
        <v>45717</v>
      </c>
      <c r="C966" t="s">
        <v>733</v>
      </c>
      <c r="D966" t="s">
        <v>28</v>
      </c>
      <c r="E966" t="s">
        <v>29</v>
      </c>
      <c r="F966" t="s">
        <v>51</v>
      </c>
      <c r="G966" t="s">
        <v>36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P966">
        <v>59.8</v>
      </c>
      <c r="S966">
        <v>0</v>
      </c>
      <c r="U966">
        <v>1</v>
      </c>
      <c r="W966">
        <v>0</v>
      </c>
      <c r="Y966">
        <v>0</v>
      </c>
      <c r="AA966">
        <v>0</v>
      </c>
    </row>
    <row r="967" spans="1:27" x14ac:dyDescent="0.3">
      <c r="A967" t="s">
        <v>1008</v>
      </c>
      <c r="B967">
        <v>45784</v>
      </c>
      <c r="C967" t="s">
        <v>733</v>
      </c>
      <c r="D967" t="s">
        <v>28</v>
      </c>
      <c r="E967" t="s">
        <v>34</v>
      </c>
      <c r="F967" t="s">
        <v>35</v>
      </c>
      <c r="G967" t="s">
        <v>31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P967">
        <v>66.900000000000006</v>
      </c>
      <c r="S967">
        <v>0</v>
      </c>
      <c r="U967">
        <v>0</v>
      </c>
      <c r="W967">
        <v>0</v>
      </c>
      <c r="Y967">
        <v>0</v>
      </c>
      <c r="AA967">
        <v>0</v>
      </c>
    </row>
    <row r="968" spans="1:27" x14ac:dyDescent="0.3">
      <c r="A968" t="s">
        <v>1009</v>
      </c>
      <c r="B968">
        <v>45707</v>
      </c>
      <c r="C968" t="s">
        <v>733</v>
      </c>
      <c r="D968" t="s">
        <v>42</v>
      </c>
      <c r="E968" t="s">
        <v>29</v>
      </c>
      <c r="G968" t="s">
        <v>36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P968">
        <v>59</v>
      </c>
      <c r="S968">
        <v>0</v>
      </c>
      <c r="U968">
        <v>1</v>
      </c>
      <c r="W968">
        <v>0</v>
      </c>
      <c r="Y968">
        <v>0</v>
      </c>
      <c r="AA968">
        <v>0</v>
      </c>
    </row>
    <row r="969" spans="1:27" x14ac:dyDescent="0.3">
      <c r="A969" t="s">
        <v>1010</v>
      </c>
      <c r="B969">
        <v>45714</v>
      </c>
      <c r="C969" t="s">
        <v>733</v>
      </c>
      <c r="D969" t="s">
        <v>33</v>
      </c>
      <c r="E969" t="s">
        <v>34</v>
      </c>
      <c r="F969" t="s">
        <v>35</v>
      </c>
      <c r="G969" t="s">
        <v>40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P969">
        <v>80.099999999999994</v>
      </c>
      <c r="S969">
        <v>0</v>
      </c>
      <c r="U969">
        <v>1</v>
      </c>
      <c r="W969">
        <v>0</v>
      </c>
      <c r="Y969">
        <v>0</v>
      </c>
      <c r="AA969">
        <v>0</v>
      </c>
    </row>
    <row r="970" spans="1:27" x14ac:dyDescent="0.3">
      <c r="A970" t="s">
        <v>1011</v>
      </c>
      <c r="B970">
        <v>45739</v>
      </c>
      <c r="C970" t="s">
        <v>733</v>
      </c>
      <c r="D970" t="s">
        <v>42</v>
      </c>
      <c r="E970" t="s">
        <v>34</v>
      </c>
      <c r="F970" t="s">
        <v>51</v>
      </c>
      <c r="G970" t="s">
        <v>36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P970">
        <v>64.3</v>
      </c>
      <c r="S970">
        <v>0</v>
      </c>
      <c r="U970">
        <v>0</v>
      </c>
      <c r="W970">
        <v>0</v>
      </c>
      <c r="Y970">
        <v>0</v>
      </c>
      <c r="AA970">
        <v>0</v>
      </c>
    </row>
    <row r="971" spans="1:27" x14ac:dyDescent="0.3">
      <c r="A971" t="s">
        <v>1012</v>
      </c>
      <c r="B971">
        <v>45772</v>
      </c>
      <c r="C971" t="s">
        <v>733</v>
      </c>
      <c r="D971" t="s">
        <v>42</v>
      </c>
      <c r="E971" t="s">
        <v>29</v>
      </c>
      <c r="F971" t="s">
        <v>51</v>
      </c>
      <c r="G971" t="s">
        <v>36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1</v>
      </c>
      <c r="N971">
        <v>0</v>
      </c>
      <c r="P971">
        <v>57.4</v>
      </c>
      <c r="S971">
        <v>0</v>
      </c>
      <c r="U971">
        <v>0</v>
      </c>
      <c r="W971">
        <v>0</v>
      </c>
      <c r="Y971">
        <v>0</v>
      </c>
      <c r="AA971">
        <v>1</v>
      </c>
    </row>
    <row r="972" spans="1:27" x14ac:dyDescent="0.3">
      <c r="A972" t="s">
        <v>1013</v>
      </c>
      <c r="B972">
        <v>45787</v>
      </c>
      <c r="C972" t="s">
        <v>733</v>
      </c>
      <c r="D972" t="s">
        <v>28</v>
      </c>
      <c r="E972" t="s">
        <v>29</v>
      </c>
      <c r="F972" t="s">
        <v>51</v>
      </c>
      <c r="G972" t="s">
        <v>36</v>
      </c>
      <c r="H972">
        <v>1</v>
      </c>
      <c r="I972">
        <v>1</v>
      </c>
      <c r="J972">
        <v>1</v>
      </c>
      <c r="K972">
        <v>0</v>
      </c>
      <c r="L972">
        <v>0</v>
      </c>
      <c r="M972">
        <v>0</v>
      </c>
      <c r="N972">
        <v>0</v>
      </c>
      <c r="P972">
        <v>83.6</v>
      </c>
      <c r="S972">
        <v>0</v>
      </c>
      <c r="U972">
        <v>1</v>
      </c>
      <c r="W972">
        <v>1</v>
      </c>
      <c r="Y972">
        <v>1</v>
      </c>
      <c r="AA972">
        <v>0</v>
      </c>
    </row>
    <row r="973" spans="1:27" x14ac:dyDescent="0.3">
      <c r="A973" t="s">
        <v>1014</v>
      </c>
      <c r="B973">
        <v>45769</v>
      </c>
      <c r="C973" t="s">
        <v>733</v>
      </c>
      <c r="D973" t="s">
        <v>38</v>
      </c>
      <c r="E973" t="s">
        <v>34</v>
      </c>
      <c r="F973" t="s">
        <v>39</v>
      </c>
      <c r="G973" t="s">
        <v>40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P973">
        <v>45.8</v>
      </c>
      <c r="S973">
        <v>0</v>
      </c>
      <c r="U973">
        <v>0</v>
      </c>
      <c r="W973">
        <v>0</v>
      </c>
      <c r="Y973">
        <v>0</v>
      </c>
      <c r="AA973">
        <v>0</v>
      </c>
    </row>
    <row r="974" spans="1:27" x14ac:dyDescent="0.3">
      <c r="A974" t="s">
        <v>1015</v>
      </c>
      <c r="B974">
        <v>45706</v>
      </c>
      <c r="C974" t="s">
        <v>733</v>
      </c>
      <c r="D974" t="s">
        <v>33</v>
      </c>
      <c r="E974" t="s">
        <v>34</v>
      </c>
      <c r="F974" t="s">
        <v>49</v>
      </c>
      <c r="G974" t="s">
        <v>31</v>
      </c>
      <c r="H974">
        <v>1</v>
      </c>
      <c r="I974">
        <v>1</v>
      </c>
      <c r="J974">
        <v>1</v>
      </c>
      <c r="K974">
        <v>0</v>
      </c>
      <c r="L974">
        <v>0</v>
      </c>
      <c r="M974">
        <v>0</v>
      </c>
      <c r="N974">
        <v>0</v>
      </c>
      <c r="P974">
        <v>64.3</v>
      </c>
      <c r="S974">
        <v>0</v>
      </c>
      <c r="U974">
        <v>1</v>
      </c>
      <c r="W974">
        <v>1</v>
      </c>
      <c r="Y974">
        <v>1</v>
      </c>
      <c r="AA974">
        <v>0</v>
      </c>
    </row>
    <row r="975" spans="1:27" x14ac:dyDescent="0.3">
      <c r="A975" t="s">
        <v>1016</v>
      </c>
      <c r="B975">
        <v>45683</v>
      </c>
      <c r="C975" t="s">
        <v>733</v>
      </c>
      <c r="D975" t="s">
        <v>42</v>
      </c>
      <c r="E975" t="s">
        <v>34</v>
      </c>
      <c r="F975" t="s">
        <v>39</v>
      </c>
      <c r="G975" t="s">
        <v>40</v>
      </c>
      <c r="H975">
        <v>1</v>
      </c>
      <c r="I975">
        <v>1</v>
      </c>
      <c r="J975">
        <v>1</v>
      </c>
      <c r="K975">
        <v>0</v>
      </c>
      <c r="L975">
        <v>0</v>
      </c>
      <c r="M975">
        <v>0</v>
      </c>
      <c r="N975">
        <v>0</v>
      </c>
      <c r="P975">
        <v>80.5</v>
      </c>
      <c r="S975">
        <v>0</v>
      </c>
      <c r="U975">
        <v>1</v>
      </c>
      <c r="W975">
        <v>1</v>
      </c>
      <c r="Y975">
        <v>1</v>
      </c>
      <c r="AA975">
        <v>0</v>
      </c>
    </row>
    <row r="976" spans="1:27" x14ac:dyDescent="0.3">
      <c r="A976" t="s">
        <v>1017</v>
      </c>
      <c r="B976">
        <v>45775</v>
      </c>
      <c r="C976" t="s">
        <v>733</v>
      </c>
      <c r="D976" t="s">
        <v>28</v>
      </c>
      <c r="E976" t="s">
        <v>34</v>
      </c>
      <c r="F976" t="s">
        <v>35</v>
      </c>
      <c r="G976" t="s">
        <v>36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P976">
        <v>46.3</v>
      </c>
      <c r="S976">
        <v>0</v>
      </c>
      <c r="U976">
        <v>1</v>
      </c>
      <c r="W976">
        <v>0</v>
      </c>
      <c r="Y976">
        <v>0</v>
      </c>
      <c r="AA976">
        <v>0</v>
      </c>
    </row>
    <row r="977" spans="1:27" x14ac:dyDescent="0.3">
      <c r="A977" t="s">
        <v>1018</v>
      </c>
      <c r="B977">
        <v>45749</v>
      </c>
      <c r="C977" t="s">
        <v>733</v>
      </c>
      <c r="D977" t="s">
        <v>42</v>
      </c>
      <c r="E977" t="s">
        <v>29</v>
      </c>
      <c r="F977" t="s">
        <v>30</v>
      </c>
      <c r="G977" t="s">
        <v>31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P977">
        <v>71.599999999999994</v>
      </c>
      <c r="S977">
        <v>0</v>
      </c>
      <c r="U977">
        <v>1</v>
      </c>
      <c r="W977">
        <v>0</v>
      </c>
      <c r="Y977">
        <v>0</v>
      </c>
      <c r="AA977">
        <v>0</v>
      </c>
    </row>
    <row r="978" spans="1:27" x14ac:dyDescent="0.3">
      <c r="A978" t="s">
        <v>1019</v>
      </c>
      <c r="B978">
        <v>45759</v>
      </c>
      <c r="C978" t="s">
        <v>733</v>
      </c>
      <c r="D978" t="s">
        <v>42</v>
      </c>
      <c r="E978" t="s">
        <v>29</v>
      </c>
      <c r="F978" t="s">
        <v>30</v>
      </c>
      <c r="G978" t="s">
        <v>40</v>
      </c>
      <c r="H978">
        <v>1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P978">
        <v>57.8</v>
      </c>
      <c r="S978">
        <v>0</v>
      </c>
      <c r="U978">
        <v>1</v>
      </c>
      <c r="W978">
        <v>1</v>
      </c>
      <c r="Y978">
        <v>0</v>
      </c>
      <c r="AA978">
        <v>0</v>
      </c>
    </row>
    <row r="979" spans="1:27" x14ac:dyDescent="0.3">
      <c r="A979" t="s">
        <v>1020</v>
      </c>
      <c r="B979">
        <v>45660</v>
      </c>
      <c r="C979" t="s">
        <v>733</v>
      </c>
      <c r="D979" t="s">
        <v>33</v>
      </c>
      <c r="E979" t="s">
        <v>29</v>
      </c>
      <c r="F979" t="s">
        <v>30</v>
      </c>
      <c r="G979" t="s">
        <v>31</v>
      </c>
      <c r="H979">
        <v>1</v>
      </c>
      <c r="I979">
        <v>1</v>
      </c>
      <c r="J979">
        <v>1</v>
      </c>
      <c r="K979">
        <v>0</v>
      </c>
      <c r="L979">
        <v>0</v>
      </c>
      <c r="M979">
        <v>1</v>
      </c>
      <c r="N979">
        <v>0</v>
      </c>
      <c r="P979">
        <v>57.8</v>
      </c>
      <c r="S979">
        <v>0</v>
      </c>
      <c r="U979">
        <v>1</v>
      </c>
      <c r="W979">
        <v>1</v>
      </c>
      <c r="Y979">
        <v>1</v>
      </c>
      <c r="AA979">
        <v>1</v>
      </c>
    </row>
    <row r="980" spans="1:27" x14ac:dyDescent="0.3">
      <c r="A980" t="s">
        <v>1021</v>
      </c>
      <c r="B980">
        <v>45785</v>
      </c>
      <c r="C980" t="s">
        <v>733</v>
      </c>
      <c r="D980" t="s">
        <v>28</v>
      </c>
      <c r="E980" t="s">
        <v>34</v>
      </c>
      <c r="F980" t="s">
        <v>39</v>
      </c>
      <c r="G980" t="s">
        <v>36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P980">
        <v>38.299999999999997</v>
      </c>
      <c r="S980">
        <v>0</v>
      </c>
      <c r="U980">
        <v>1</v>
      </c>
      <c r="W980">
        <v>0</v>
      </c>
      <c r="Y980">
        <v>0</v>
      </c>
      <c r="AA980">
        <v>0</v>
      </c>
    </row>
    <row r="981" spans="1:27" x14ac:dyDescent="0.3">
      <c r="A981" t="s">
        <v>1022</v>
      </c>
      <c r="B981">
        <v>45708</v>
      </c>
      <c r="C981" t="s">
        <v>733</v>
      </c>
      <c r="D981" t="s">
        <v>28</v>
      </c>
      <c r="E981" t="s">
        <v>34</v>
      </c>
      <c r="F981" t="s">
        <v>49</v>
      </c>
      <c r="G981" t="s">
        <v>40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1</v>
      </c>
      <c r="N981">
        <v>0</v>
      </c>
      <c r="P981">
        <v>66.099999999999994</v>
      </c>
      <c r="S981">
        <v>0</v>
      </c>
      <c r="U981">
        <v>1</v>
      </c>
      <c r="W981">
        <v>0</v>
      </c>
      <c r="Y981">
        <v>0</v>
      </c>
      <c r="AA981">
        <v>1</v>
      </c>
    </row>
    <row r="982" spans="1:27" x14ac:dyDescent="0.3">
      <c r="A982" t="s">
        <v>1023</v>
      </c>
      <c r="B982">
        <v>45733</v>
      </c>
      <c r="C982" t="s">
        <v>733</v>
      </c>
      <c r="D982" t="s">
        <v>28</v>
      </c>
      <c r="E982" t="s">
        <v>29</v>
      </c>
      <c r="F982" t="s">
        <v>39</v>
      </c>
      <c r="G982" t="s">
        <v>40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P982">
        <v>66.5</v>
      </c>
      <c r="S982">
        <v>0</v>
      </c>
      <c r="U982">
        <v>1</v>
      </c>
      <c r="W982">
        <v>0</v>
      </c>
      <c r="Y982">
        <v>0</v>
      </c>
      <c r="AA982">
        <v>0</v>
      </c>
    </row>
    <row r="983" spans="1:27" x14ac:dyDescent="0.3">
      <c r="A983" t="s">
        <v>1024</v>
      </c>
      <c r="B983">
        <v>45757</v>
      </c>
      <c r="C983" t="s">
        <v>733</v>
      </c>
      <c r="D983" t="s">
        <v>42</v>
      </c>
      <c r="E983" t="s">
        <v>29</v>
      </c>
      <c r="F983" t="s">
        <v>30</v>
      </c>
      <c r="G983" t="s">
        <v>36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3</v>
      </c>
      <c r="N983">
        <v>0</v>
      </c>
      <c r="P983">
        <v>51.5</v>
      </c>
      <c r="S983">
        <v>0</v>
      </c>
      <c r="U983">
        <v>1</v>
      </c>
      <c r="W983">
        <v>0</v>
      </c>
      <c r="Y983">
        <v>0</v>
      </c>
      <c r="AA983">
        <v>3</v>
      </c>
    </row>
    <row r="984" spans="1:27" x14ac:dyDescent="0.3">
      <c r="A984" t="s">
        <v>1025</v>
      </c>
      <c r="B984">
        <v>45785</v>
      </c>
      <c r="C984" t="s">
        <v>733</v>
      </c>
      <c r="D984" t="s">
        <v>28</v>
      </c>
      <c r="E984" t="s">
        <v>29</v>
      </c>
      <c r="F984" t="s">
        <v>49</v>
      </c>
      <c r="G984" t="s">
        <v>36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P984">
        <v>59.9</v>
      </c>
      <c r="S984">
        <v>0</v>
      </c>
      <c r="U984">
        <v>1</v>
      </c>
      <c r="W984">
        <v>0</v>
      </c>
      <c r="Y984">
        <v>0</v>
      </c>
      <c r="AA984">
        <v>0</v>
      </c>
    </row>
    <row r="985" spans="1:27" x14ac:dyDescent="0.3">
      <c r="A985" t="s">
        <v>1026</v>
      </c>
      <c r="B985">
        <v>45766</v>
      </c>
      <c r="C985" t="s">
        <v>733</v>
      </c>
      <c r="D985" t="s">
        <v>33</v>
      </c>
      <c r="E985" t="s">
        <v>34</v>
      </c>
      <c r="F985" t="s">
        <v>39</v>
      </c>
      <c r="G985" t="s">
        <v>31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P985">
        <v>58.8</v>
      </c>
      <c r="S985">
        <v>0</v>
      </c>
      <c r="U985">
        <v>1</v>
      </c>
      <c r="W985">
        <v>0</v>
      </c>
      <c r="Y985">
        <v>0</v>
      </c>
      <c r="AA985">
        <v>0</v>
      </c>
    </row>
    <row r="986" spans="1:27" x14ac:dyDescent="0.3">
      <c r="A986" t="s">
        <v>1027</v>
      </c>
      <c r="B986">
        <v>45658</v>
      </c>
      <c r="C986" t="s">
        <v>733</v>
      </c>
      <c r="D986" t="s">
        <v>42</v>
      </c>
      <c r="E986" t="s">
        <v>44</v>
      </c>
      <c r="F986" t="s">
        <v>39</v>
      </c>
      <c r="G986" t="s">
        <v>31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P986">
        <v>69.599999999999994</v>
      </c>
      <c r="S986">
        <v>0</v>
      </c>
      <c r="U986">
        <v>1</v>
      </c>
      <c r="W986">
        <v>0</v>
      </c>
      <c r="Y986">
        <v>0</v>
      </c>
      <c r="AA986">
        <v>0</v>
      </c>
    </row>
    <row r="987" spans="1:27" x14ac:dyDescent="0.3">
      <c r="A987" t="s">
        <v>1028</v>
      </c>
      <c r="B987">
        <v>45726</v>
      </c>
      <c r="C987" t="s">
        <v>733</v>
      </c>
      <c r="D987" t="s">
        <v>38</v>
      </c>
      <c r="E987" t="s">
        <v>34</v>
      </c>
      <c r="F987" t="s">
        <v>39</v>
      </c>
      <c r="G987" t="s">
        <v>36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P987">
        <v>77.5</v>
      </c>
      <c r="S987">
        <v>0</v>
      </c>
      <c r="U987">
        <v>1</v>
      </c>
      <c r="W987">
        <v>0</v>
      </c>
      <c r="Y987">
        <v>0</v>
      </c>
      <c r="AA987">
        <v>0</v>
      </c>
    </row>
    <row r="988" spans="1:27" x14ac:dyDescent="0.3">
      <c r="A988" t="s">
        <v>1029</v>
      </c>
      <c r="B988">
        <v>45726</v>
      </c>
      <c r="C988" t="s">
        <v>733</v>
      </c>
      <c r="D988" t="s">
        <v>38</v>
      </c>
      <c r="E988" t="s">
        <v>44</v>
      </c>
      <c r="F988" t="s">
        <v>51</v>
      </c>
      <c r="G988" t="s">
        <v>40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2</v>
      </c>
      <c r="N988">
        <v>0</v>
      </c>
      <c r="P988">
        <v>57.5</v>
      </c>
      <c r="S988">
        <v>0</v>
      </c>
      <c r="U988">
        <v>0</v>
      </c>
      <c r="W988">
        <v>0</v>
      </c>
      <c r="Y988">
        <v>0</v>
      </c>
      <c r="AA988">
        <v>2</v>
      </c>
    </row>
    <row r="989" spans="1:27" x14ac:dyDescent="0.3">
      <c r="A989" t="s">
        <v>1030</v>
      </c>
      <c r="B989">
        <v>45766</v>
      </c>
      <c r="C989" t="s">
        <v>733</v>
      </c>
      <c r="D989" t="s">
        <v>33</v>
      </c>
      <c r="E989" t="s">
        <v>44</v>
      </c>
      <c r="F989" t="s">
        <v>30</v>
      </c>
      <c r="G989" t="s">
        <v>31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P989">
        <v>64.2</v>
      </c>
      <c r="S989">
        <v>0</v>
      </c>
      <c r="U989">
        <v>1</v>
      </c>
      <c r="W989">
        <v>0</v>
      </c>
      <c r="Y989">
        <v>0</v>
      </c>
      <c r="AA989">
        <v>0</v>
      </c>
    </row>
    <row r="990" spans="1:27" x14ac:dyDescent="0.3">
      <c r="A990" t="s">
        <v>1031</v>
      </c>
      <c r="B990">
        <v>45758</v>
      </c>
      <c r="C990" t="s">
        <v>733</v>
      </c>
      <c r="D990" t="s">
        <v>33</v>
      </c>
      <c r="E990" t="s">
        <v>29</v>
      </c>
      <c r="F990" t="s">
        <v>35</v>
      </c>
      <c r="G990" t="s">
        <v>36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P990">
        <v>60</v>
      </c>
      <c r="S990">
        <v>0</v>
      </c>
      <c r="U990">
        <v>0</v>
      </c>
      <c r="W990">
        <v>0</v>
      </c>
      <c r="Y990">
        <v>0</v>
      </c>
      <c r="AA990">
        <v>0</v>
      </c>
    </row>
    <row r="991" spans="1:27" x14ac:dyDescent="0.3">
      <c r="A991" t="s">
        <v>1032</v>
      </c>
      <c r="B991">
        <v>45757</v>
      </c>
      <c r="C991" t="s">
        <v>733</v>
      </c>
      <c r="D991" t="s">
        <v>38</v>
      </c>
      <c r="E991" t="s">
        <v>34</v>
      </c>
      <c r="F991" t="s">
        <v>35</v>
      </c>
      <c r="G991" t="s">
        <v>31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1</v>
      </c>
      <c r="N991">
        <v>0</v>
      </c>
      <c r="P991">
        <v>43.7</v>
      </c>
      <c r="S991">
        <v>0</v>
      </c>
      <c r="U991">
        <v>1</v>
      </c>
      <c r="W991">
        <v>0</v>
      </c>
      <c r="Y991">
        <v>0</v>
      </c>
      <c r="AA991">
        <v>1</v>
      </c>
    </row>
    <row r="992" spans="1:27" x14ac:dyDescent="0.3">
      <c r="A992" t="s">
        <v>1033</v>
      </c>
      <c r="B992">
        <v>45670</v>
      </c>
      <c r="C992" t="s">
        <v>733</v>
      </c>
      <c r="D992" t="s">
        <v>33</v>
      </c>
      <c r="E992" t="s">
        <v>29</v>
      </c>
      <c r="F992" t="s">
        <v>51</v>
      </c>
      <c r="G992" t="s">
        <v>36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P992">
        <v>64.900000000000006</v>
      </c>
      <c r="S992">
        <v>0</v>
      </c>
      <c r="U992">
        <v>1</v>
      </c>
      <c r="W992">
        <v>0</v>
      </c>
      <c r="Y992">
        <v>0</v>
      </c>
      <c r="AA992">
        <v>0</v>
      </c>
    </row>
    <row r="993" spans="1:27" x14ac:dyDescent="0.3">
      <c r="A993" t="s">
        <v>1034</v>
      </c>
      <c r="B993">
        <v>45744</v>
      </c>
      <c r="C993" t="s">
        <v>733</v>
      </c>
      <c r="D993" t="s">
        <v>42</v>
      </c>
      <c r="E993" t="s">
        <v>29</v>
      </c>
      <c r="F993" t="s">
        <v>35</v>
      </c>
      <c r="G993" t="s">
        <v>36</v>
      </c>
      <c r="H993">
        <v>1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P993">
        <v>45.5</v>
      </c>
      <c r="S993">
        <v>0</v>
      </c>
      <c r="U993">
        <v>1</v>
      </c>
      <c r="W993">
        <v>1</v>
      </c>
      <c r="Y993">
        <v>0</v>
      </c>
      <c r="AA993">
        <v>0</v>
      </c>
    </row>
    <row r="994" spans="1:27" x14ac:dyDescent="0.3">
      <c r="A994" t="s">
        <v>1035</v>
      </c>
      <c r="B994">
        <v>45686</v>
      </c>
      <c r="C994" t="s">
        <v>733</v>
      </c>
      <c r="D994" t="s">
        <v>38</v>
      </c>
      <c r="E994" t="s">
        <v>34</v>
      </c>
      <c r="F994" t="s">
        <v>39</v>
      </c>
      <c r="G994" t="s">
        <v>36</v>
      </c>
      <c r="H994">
        <v>1</v>
      </c>
      <c r="I994">
        <v>1</v>
      </c>
      <c r="J994">
        <v>1</v>
      </c>
      <c r="K994">
        <v>1</v>
      </c>
      <c r="L994">
        <v>1772.97</v>
      </c>
      <c r="M994">
        <v>0</v>
      </c>
      <c r="N994">
        <v>0</v>
      </c>
      <c r="O994">
        <v>8</v>
      </c>
      <c r="P994">
        <v>61.2</v>
      </c>
      <c r="S994">
        <v>0</v>
      </c>
      <c r="U994">
        <v>1</v>
      </c>
      <c r="W994">
        <v>1</v>
      </c>
      <c r="Y994">
        <v>1</v>
      </c>
      <c r="AA994">
        <v>0</v>
      </c>
    </row>
    <row r="995" spans="1:27" x14ac:dyDescent="0.3">
      <c r="A995" t="s">
        <v>1036</v>
      </c>
      <c r="B995">
        <v>45743</v>
      </c>
      <c r="C995" t="s">
        <v>733</v>
      </c>
      <c r="D995" t="s">
        <v>42</v>
      </c>
      <c r="E995" t="s">
        <v>34</v>
      </c>
      <c r="F995" t="s">
        <v>49</v>
      </c>
      <c r="G995" t="s">
        <v>36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P995">
        <v>87.8</v>
      </c>
      <c r="S995">
        <v>1</v>
      </c>
      <c r="U995">
        <v>0</v>
      </c>
      <c r="W995">
        <v>0</v>
      </c>
      <c r="Y995">
        <v>0</v>
      </c>
      <c r="AA995">
        <v>0</v>
      </c>
    </row>
    <row r="996" spans="1:27" x14ac:dyDescent="0.3">
      <c r="A996" t="s">
        <v>1037</v>
      </c>
      <c r="B996">
        <v>45736</v>
      </c>
      <c r="C996" t="s">
        <v>733</v>
      </c>
      <c r="D996" t="s">
        <v>38</v>
      </c>
      <c r="E996" t="s">
        <v>44</v>
      </c>
      <c r="F996" t="s">
        <v>51</v>
      </c>
      <c r="G996" t="s">
        <v>36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P996">
        <v>86.4</v>
      </c>
      <c r="S996">
        <v>0</v>
      </c>
      <c r="U996">
        <v>0</v>
      </c>
      <c r="W996">
        <v>0</v>
      </c>
      <c r="Y996">
        <v>0</v>
      </c>
      <c r="AA996">
        <v>0</v>
      </c>
    </row>
    <row r="997" spans="1:27" x14ac:dyDescent="0.3">
      <c r="A997" t="s">
        <v>1038</v>
      </c>
      <c r="B997">
        <v>45666</v>
      </c>
      <c r="C997" t="s">
        <v>733</v>
      </c>
      <c r="D997" t="s">
        <v>28</v>
      </c>
      <c r="E997" t="s">
        <v>34</v>
      </c>
      <c r="F997" t="s">
        <v>39</v>
      </c>
      <c r="G997" t="s">
        <v>31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1</v>
      </c>
      <c r="N997">
        <v>0</v>
      </c>
      <c r="P997">
        <v>71.400000000000006</v>
      </c>
      <c r="S997">
        <v>0</v>
      </c>
      <c r="U997">
        <v>0</v>
      </c>
      <c r="W997">
        <v>0</v>
      </c>
      <c r="Y997">
        <v>0</v>
      </c>
      <c r="AA997">
        <v>1</v>
      </c>
    </row>
    <row r="998" spans="1:27" x14ac:dyDescent="0.3">
      <c r="A998" t="s">
        <v>1039</v>
      </c>
      <c r="B998">
        <v>45772</v>
      </c>
      <c r="C998" t="s">
        <v>733</v>
      </c>
      <c r="D998" t="s">
        <v>33</v>
      </c>
      <c r="E998" t="s">
        <v>34</v>
      </c>
      <c r="F998" t="s">
        <v>51</v>
      </c>
      <c r="G998" t="s">
        <v>36</v>
      </c>
      <c r="H998">
        <v>1</v>
      </c>
      <c r="I998">
        <v>1</v>
      </c>
      <c r="J998">
        <v>1</v>
      </c>
      <c r="K998">
        <v>1</v>
      </c>
      <c r="L998">
        <v>218.66</v>
      </c>
      <c r="M998">
        <v>0</v>
      </c>
      <c r="N998">
        <v>1</v>
      </c>
      <c r="O998">
        <v>8</v>
      </c>
      <c r="P998">
        <v>72.2</v>
      </c>
      <c r="S998">
        <v>0</v>
      </c>
      <c r="U998">
        <v>1</v>
      </c>
      <c r="W998">
        <v>1</v>
      </c>
      <c r="Y998">
        <v>1</v>
      </c>
      <c r="AA998">
        <v>0</v>
      </c>
    </row>
    <row r="999" spans="1:27" x14ac:dyDescent="0.3">
      <c r="A999" t="s">
        <v>1040</v>
      </c>
      <c r="B999">
        <v>45758</v>
      </c>
      <c r="C999" t="s">
        <v>733</v>
      </c>
      <c r="D999" t="s">
        <v>42</v>
      </c>
      <c r="E999" t="s">
        <v>29</v>
      </c>
      <c r="F999" t="s">
        <v>51</v>
      </c>
      <c r="G999" t="s">
        <v>36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P999">
        <v>51.9</v>
      </c>
      <c r="S999">
        <v>1</v>
      </c>
      <c r="U999">
        <v>1</v>
      </c>
      <c r="W999">
        <v>0</v>
      </c>
      <c r="Y999">
        <v>0</v>
      </c>
      <c r="AA999">
        <v>0</v>
      </c>
    </row>
    <row r="1000" spans="1:27" x14ac:dyDescent="0.3">
      <c r="A1000" t="s">
        <v>1041</v>
      </c>
      <c r="B1000">
        <v>45693</v>
      </c>
      <c r="C1000" t="s">
        <v>733</v>
      </c>
      <c r="D1000" t="s">
        <v>38</v>
      </c>
      <c r="E1000" t="s">
        <v>34</v>
      </c>
      <c r="F1000" t="s">
        <v>51</v>
      </c>
      <c r="G1000" t="s">
        <v>31</v>
      </c>
      <c r="H1000">
        <v>1</v>
      </c>
      <c r="I1000">
        <v>1</v>
      </c>
      <c r="J1000">
        <v>1</v>
      </c>
      <c r="K1000">
        <v>0</v>
      </c>
      <c r="L1000">
        <v>0</v>
      </c>
      <c r="M1000">
        <v>0</v>
      </c>
      <c r="N1000">
        <v>0</v>
      </c>
      <c r="P1000">
        <v>70.3</v>
      </c>
      <c r="S1000">
        <v>0</v>
      </c>
      <c r="U1000">
        <v>1</v>
      </c>
      <c r="W1000">
        <v>1</v>
      </c>
      <c r="Y1000">
        <v>1</v>
      </c>
      <c r="AA1000">
        <v>0</v>
      </c>
    </row>
    <row r="1001" spans="1:27" x14ac:dyDescent="0.3">
      <c r="A1001" t="s">
        <v>1042</v>
      </c>
      <c r="B1001">
        <v>45744</v>
      </c>
      <c r="C1001" t="s">
        <v>733</v>
      </c>
      <c r="D1001" t="s">
        <v>42</v>
      </c>
      <c r="E1001" t="s">
        <v>34</v>
      </c>
      <c r="F1001" t="s">
        <v>51</v>
      </c>
      <c r="G1001" t="s">
        <v>40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1</v>
      </c>
      <c r="N1001">
        <v>0</v>
      </c>
      <c r="P1001">
        <v>49.2</v>
      </c>
      <c r="S1001">
        <v>0</v>
      </c>
      <c r="U1001">
        <v>1</v>
      </c>
      <c r="W1001">
        <v>0</v>
      </c>
      <c r="Y1001">
        <v>0</v>
      </c>
      <c r="AA1001">
        <v>1</v>
      </c>
    </row>
    <row r="1002" spans="1:27" x14ac:dyDescent="0.3">
      <c r="A1002" t="s">
        <v>1043</v>
      </c>
      <c r="B1002">
        <v>45791</v>
      </c>
      <c r="C1002" t="s">
        <v>733</v>
      </c>
      <c r="D1002" t="s">
        <v>42</v>
      </c>
      <c r="E1002" t="s">
        <v>34</v>
      </c>
      <c r="F1002" t="s">
        <v>49</v>
      </c>
      <c r="G1002" t="s">
        <v>36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P1002">
        <v>52.2</v>
      </c>
      <c r="S1002">
        <v>0</v>
      </c>
      <c r="U1002">
        <v>0</v>
      </c>
      <c r="W1002">
        <v>0</v>
      </c>
      <c r="Y1002">
        <v>0</v>
      </c>
      <c r="AA1002">
        <v>0</v>
      </c>
    </row>
    <row r="1003" spans="1:27" x14ac:dyDescent="0.3">
      <c r="A1003" t="s">
        <v>1044</v>
      </c>
      <c r="B1003">
        <v>45726</v>
      </c>
      <c r="C1003" t="s">
        <v>733</v>
      </c>
      <c r="D1003" t="s">
        <v>38</v>
      </c>
      <c r="E1003" t="s">
        <v>34</v>
      </c>
      <c r="F1003" t="s">
        <v>39</v>
      </c>
      <c r="G1003" t="s">
        <v>31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1</v>
      </c>
      <c r="N1003">
        <v>0</v>
      </c>
      <c r="P1003">
        <v>62.6</v>
      </c>
      <c r="S1003">
        <v>0</v>
      </c>
      <c r="U1003">
        <v>0</v>
      </c>
      <c r="W1003">
        <v>0</v>
      </c>
      <c r="Y1003">
        <v>0</v>
      </c>
      <c r="AA1003">
        <v>1</v>
      </c>
    </row>
    <row r="1004" spans="1:27" x14ac:dyDescent="0.3">
      <c r="A1004" t="s">
        <v>1045</v>
      </c>
      <c r="B1004">
        <v>45756</v>
      </c>
      <c r="C1004" t="s">
        <v>733</v>
      </c>
      <c r="D1004" t="s">
        <v>38</v>
      </c>
      <c r="E1004" t="s">
        <v>29</v>
      </c>
      <c r="F1004" t="s">
        <v>39</v>
      </c>
      <c r="G1004" t="s">
        <v>36</v>
      </c>
      <c r="H1004">
        <v>1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P1004">
        <v>100</v>
      </c>
      <c r="S1004">
        <v>0</v>
      </c>
      <c r="U1004">
        <v>1</v>
      </c>
      <c r="W1004">
        <v>1</v>
      </c>
      <c r="Y1004">
        <v>0</v>
      </c>
      <c r="AA1004">
        <v>0</v>
      </c>
    </row>
    <row r="1005" spans="1:27" x14ac:dyDescent="0.3">
      <c r="A1005" t="s">
        <v>1046</v>
      </c>
      <c r="B1005">
        <v>45701</v>
      </c>
      <c r="C1005" t="s">
        <v>733</v>
      </c>
      <c r="D1005" t="s">
        <v>28</v>
      </c>
      <c r="E1005" t="s">
        <v>34</v>
      </c>
      <c r="F1005" t="s">
        <v>49</v>
      </c>
      <c r="G1005" t="s">
        <v>31</v>
      </c>
      <c r="H1005">
        <v>1</v>
      </c>
      <c r="I1005">
        <v>1</v>
      </c>
      <c r="J1005">
        <v>1</v>
      </c>
      <c r="K1005">
        <v>0</v>
      </c>
      <c r="L1005">
        <v>0</v>
      </c>
      <c r="M1005">
        <v>2</v>
      </c>
      <c r="N1005">
        <v>0</v>
      </c>
      <c r="P1005">
        <v>45.9</v>
      </c>
      <c r="S1005">
        <v>0</v>
      </c>
      <c r="U1005">
        <v>1</v>
      </c>
      <c r="W1005">
        <v>1</v>
      </c>
      <c r="Y1005">
        <v>1</v>
      </c>
      <c r="AA1005">
        <v>2</v>
      </c>
    </row>
    <row r="1006" spans="1:27" x14ac:dyDescent="0.3">
      <c r="A1006" t="s">
        <v>1047</v>
      </c>
      <c r="B1006">
        <v>45780</v>
      </c>
      <c r="C1006" t="s">
        <v>733</v>
      </c>
      <c r="D1006" t="s">
        <v>38</v>
      </c>
      <c r="E1006" t="s">
        <v>34</v>
      </c>
      <c r="F1006" t="s">
        <v>30</v>
      </c>
      <c r="G1006" t="s">
        <v>36</v>
      </c>
      <c r="H1006">
        <v>1</v>
      </c>
      <c r="I1006">
        <v>1</v>
      </c>
      <c r="J1006">
        <v>1</v>
      </c>
      <c r="K1006">
        <v>0</v>
      </c>
      <c r="L1006">
        <v>0</v>
      </c>
      <c r="M1006">
        <v>0</v>
      </c>
      <c r="N1006">
        <v>0</v>
      </c>
      <c r="P1006">
        <v>80.7</v>
      </c>
      <c r="S1006">
        <v>0</v>
      </c>
      <c r="U1006">
        <v>1</v>
      </c>
      <c r="W1006">
        <v>1</v>
      </c>
      <c r="Y1006">
        <v>1</v>
      </c>
      <c r="AA1006">
        <v>0</v>
      </c>
    </row>
    <row r="1007" spans="1:27" x14ac:dyDescent="0.3">
      <c r="A1007" t="s">
        <v>1048</v>
      </c>
      <c r="B1007">
        <v>45763</v>
      </c>
      <c r="C1007" t="s">
        <v>733</v>
      </c>
      <c r="D1007" t="s">
        <v>42</v>
      </c>
      <c r="E1007" t="s">
        <v>29</v>
      </c>
      <c r="F1007" t="s">
        <v>49</v>
      </c>
      <c r="G1007" t="s">
        <v>40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P1007">
        <v>51.9</v>
      </c>
      <c r="S1007">
        <v>0</v>
      </c>
      <c r="U1007">
        <v>1</v>
      </c>
      <c r="W1007">
        <v>0</v>
      </c>
      <c r="Y1007">
        <v>0</v>
      </c>
      <c r="AA1007">
        <v>0</v>
      </c>
    </row>
    <row r="1008" spans="1:27" x14ac:dyDescent="0.3">
      <c r="A1008" t="s">
        <v>1049</v>
      </c>
      <c r="B1008">
        <v>45777</v>
      </c>
      <c r="C1008" t="s">
        <v>733</v>
      </c>
      <c r="D1008" t="s">
        <v>28</v>
      </c>
      <c r="E1008" t="s">
        <v>34</v>
      </c>
      <c r="F1008" t="s">
        <v>39</v>
      </c>
      <c r="G1008" t="s">
        <v>40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P1008">
        <v>68.900000000000006</v>
      </c>
      <c r="S1008">
        <v>0</v>
      </c>
      <c r="U1008">
        <v>1</v>
      </c>
      <c r="W1008">
        <v>0</v>
      </c>
      <c r="Y1008">
        <v>0</v>
      </c>
      <c r="AA1008">
        <v>0</v>
      </c>
    </row>
    <row r="1009" spans="1:27" x14ac:dyDescent="0.3">
      <c r="A1009" t="s">
        <v>1050</v>
      </c>
      <c r="B1009">
        <v>45706</v>
      </c>
      <c r="C1009" t="s">
        <v>733</v>
      </c>
      <c r="D1009" t="s">
        <v>33</v>
      </c>
      <c r="E1009" t="s">
        <v>29</v>
      </c>
      <c r="F1009" t="s">
        <v>35</v>
      </c>
      <c r="G1009" t="s">
        <v>36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P1009">
        <v>66</v>
      </c>
      <c r="S1009">
        <v>0</v>
      </c>
      <c r="U1009">
        <v>1</v>
      </c>
      <c r="W1009">
        <v>0</v>
      </c>
      <c r="Y1009">
        <v>0</v>
      </c>
      <c r="AA1009">
        <v>0</v>
      </c>
    </row>
    <row r="1010" spans="1:27" x14ac:dyDescent="0.3">
      <c r="A1010" t="s">
        <v>1051</v>
      </c>
      <c r="B1010">
        <v>45799</v>
      </c>
      <c r="C1010" t="s">
        <v>733</v>
      </c>
      <c r="D1010" t="s">
        <v>33</v>
      </c>
      <c r="E1010" t="s">
        <v>29</v>
      </c>
      <c r="F1010" t="s">
        <v>49</v>
      </c>
      <c r="G1010" t="s">
        <v>31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P1010">
        <v>63.1</v>
      </c>
      <c r="S1010">
        <v>0</v>
      </c>
      <c r="U1010">
        <v>0</v>
      </c>
      <c r="W1010">
        <v>0</v>
      </c>
      <c r="Y1010">
        <v>0</v>
      </c>
      <c r="AA1010">
        <v>0</v>
      </c>
    </row>
    <row r="1011" spans="1:27" x14ac:dyDescent="0.3">
      <c r="A1011" t="s">
        <v>1052</v>
      </c>
      <c r="B1011">
        <v>45798</v>
      </c>
      <c r="C1011" t="s">
        <v>733</v>
      </c>
      <c r="D1011" t="s">
        <v>42</v>
      </c>
      <c r="E1011" t="s">
        <v>29</v>
      </c>
      <c r="F1011" t="s">
        <v>35</v>
      </c>
      <c r="G1011" t="s">
        <v>36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P1011">
        <v>56</v>
      </c>
      <c r="S1011">
        <v>0</v>
      </c>
      <c r="U1011">
        <v>0</v>
      </c>
      <c r="W1011">
        <v>0</v>
      </c>
      <c r="Y1011">
        <v>0</v>
      </c>
      <c r="AA1011">
        <v>0</v>
      </c>
    </row>
    <row r="1012" spans="1:27" x14ac:dyDescent="0.3">
      <c r="A1012" t="s">
        <v>1053</v>
      </c>
      <c r="B1012">
        <v>45757</v>
      </c>
      <c r="C1012" t="s">
        <v>733</v>
      </c>
      <c r="D1012" t="s">
        <v>38</v>
      </c>
      <c r="E1012" t="s">
        <v>29</v>
      </c>
      <c r="F1012" t="s">
        <v>35</v>
      </c>
      <c r="G1012" t="s">
        <v>36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1</v>
      </c>
      <c r="N1012">
        <v>0</v>
      </c>
      <c r="P1012">
        <v>65.7</v>
      </c>
      <c r="S1012">
        <v>0</v>
      </c>
      <c r="U1012">
        <v>1</v>
      </c>
      <c r="W1012">
        <v>0</v>
      </c>
      <c r="Y1012">
        <v>0</v>
      </c>
      <c r="AA1012">
        <v>1</v>
      </c>
    </row>
    <row r="1013" spans="1:27" x14ac:dyDescent="0.3">
      <c r="A1013" t="s">
        <v>1054</v>
      </c>
      <c r="B1013">
        <v>45664</v>
      </c>
      <c r="C1013" t="s">
        <v>733</v>
      </c>
      <c r="D1013" t="s">
        <v>28</v>
      </c>
      <c r="E1013" t="s">
        <v>29</v>
      </c>
      <c r="F1013" t="s">
        <v>35</v>
      </c>
      <c r="G1013" t="s">
        <v>40</v>
      </c>
      <c r="H1013">
        <v>1</v>
      </c>
      <c r="I1013">
        <v>1</v>
      </c>
      <c r="J1013">
        <v>1</v>
      </c>
      <c r="K1013">
        <v>1</v>
      </c>
      <c r="L1013">
        <v>1938.31</v>
      </c>
      <c r="M1013">
        <v>1</v>
      </c>
      <c r="N1013">
        <v>0</v>
      </c>
      <c r="O1013">
        <v>9</v>
      </c>
      <c r="P1013">
        <v>60.9</v>
      </c>
      <c r="S1013">
        <v>0</v>
      </c>
      <c r="U1013">
        <v>1</v>
      </c>
      <c r="W1013">
        <v>1</v>
      </c>
      <c r="Y1013">
        <v>1</v>
      </c>
      <c r="AA1013">
        <v>1</v>
      </c>
    </row>
    <row r="1014" spans="1:27" x14ac:dyDescent="0.3">
      <c r="A1014" t="s">
        <v>1055</v>
      </c>
      <c r="B1014">
        <v>45691</v>
      </c>
      <c r="C1014" t="s">
        <v>733</v>
      </c>
      <c r="D1014" t="s">
        <v>42</v>
      </c>
      <c r="E1014" t="s">
        <v>29</v>
      </c>
      <c r="F1014" t="s">
        <v>51</v>
      </c>
      <c r="G1014" t="s">
        <v>36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P1014">
        <v>45.5</v>
      </c>
      <c r="S1014">
        <v>1</v>
      </c>
      <c r="U1014">
        <v>0</v>
      </c>
      <c r="W1014">
        <v>0</v>
      </c>
      <c r="Y1014">
        <v>0</v>
      </c>
      <c r="AA1014">
        <v>0</v>
      </c>
    </row>
    <row r="1015" spans="1:27" x14ac:dyDescent="0.3">
      <c r="A1015" t="s">
        <v>1056</v>
      </c>
      <c r="B1015">
        <v>45795</v>
      </c>
      <c r="C1015" t="s">
        <v>733</v>
      </c>
      <c r="D1015" t="s">
        <v>28</v>
      </c>
      <c r="E1015" t="s">
        <v>34</v>
      </c>
      <c r="F1015" t="s">
        <v>39</v>
      </c>
      <c r="G1015" t="s">
        <v>36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P1015">
        <v>50</v>
      </c>
      <c r="S1015">
        <v>0</v>
      </c>
      <c r="U1015">
        <v>1</v>
      </c>
      <c r="W1015">
        <v>0</v>
      </c>
      <c r="Y1015">
        <v>0</v>
      </c>
      <c r="AA1015">
        <v>0</v>
      </c>
    </row>
    <row r="1016" spans="1:27" x14ac:dyDescent="0.3">
      <c r="A1016" t="s">
        <v>1057</v>
      </c>
      <c r="B1016">
        <v>45688</v>
      </c>
      <c r="C1016" t="s">
        <v>733</v>
      </c>
      <c r="D1016" t="s">
        <v>28</v>
      </c>
      <c r="E1016" t="s">
        <v>34</v>
      </c>
      <c r="F1016" t="s">
        <v>49</v>
      </c>
      <c r="G1016" t="s">
        <v>36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P1016">
        <v>72.099999999999994</v>
      </c>
      <c r="S1016">
        <v>0</v>
      </c>
      <c r="U1016">
        <v>1</v>
      </c>
      <c r="W1016">
        <v>0</v>
      </c>
      <c r="Y1016">
        <v>0</v>
      </c>
      <c r="AA1016">
        <v>0</v>
      </c>
    </row>
    <row r="1017" spans="1:27" x14ac:dyDescent="0.3">
      <c r="A1017" t="s">
        <v>1058</v>
      </c>
      <c r="B1017">
        <v>45673</v>
      </c>
      <c r="C1017" t="s">
        <v>733</v>
      </c>
      <c r="D1017" t="s">
        <v>42</v>
      </c>
      <c r="E1017" t="s">
        <v>29</v>
      </c>
      <c r="F1017" t="s">
        <v>35</v>
      </c>
      <c r="G1017" t="s">
        <v>31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P1017">
        <v>76.3</v>
      </c>
      <c r="S1017">
        <v>0</v>
      </c>
      <c r="U1017">
        <v>1</v>
      </c>
      <c r="W1017">
        <v>0</v>
      </c>
      <c r="Y1017">
        <v>0</v>
      </c>
      <c r="AA1017">
        <v>0</v>
      </c>
    </row>
    <row r="1018" spans="1:27" x14ac:dyDescent="0.3">
      <c r="A1018" t="s">
        <v>1059</v>
      </c>
      <c r="B1018">
        <v>45791</v>
      </c>
      <c r="C1018" t="s">
        <v>733</v>
      </c>
      <c r="D1018" t="s">
        <v>38</v>
      </c>
      <c r="E1018" t="s">
        <v>34</v>
      </c>
      <c r="F1018" t="s">
        <v>39</v>
      </c>
      <c r="G1018" t="s">
        <v>31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1</v>
      </c>
      <c r="N1018">
        <v>0</v>
      </c>
      <c r="P1018">
        <v>54.8</v>
      </c>
      <c r="S1018">
        <v>0</v>
      </c>
      <c r="U1018">
        <v>1</v>
      </c>
      <c r="W1018">
        <v>1</v>
      </c>
      <c r="Y1018">
        <v>0</v>
      </c>
      <c r="AA1018">
        <v>1</v>
      </c>
    </row>
    <row r="1019" spans="1:27" x14ac:dyDescent="0.3">
      <c r="A1019" t="s">
        <v>1060</v>
      </c>
      <c r="B1019">
        <v>45748</v>
      </c>
      <c r="C1019" t="s">
        <v>733</v>
      </c>
      <c r="D1019" t="s">
        <v>42</v>
      </c>
      <c r="E1019" t="s">
        <v>34</v>
      </c>
      <c r="G1019" t="s">
        <v>31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P1019">
        <v>63.6</v>
      </c>
      <c r="S1019">
        <v>0</v>
      </c>
      <c r="U1019">
        <v>1</v>
      </c>
      <c r="W1019">
        <v>0</v>
      </c>
      <c r="Y1019">
        <v>0</v>
      </c>
      <c r="AA1019">
        <v>0</v>
      </c>
    </row>
    <row r="1020" spans="1:27" x14ac:dyDescent="0.3">
      <c r="A1020" t="s">
        <v>1061</v>
      </c>
      <c r="B1020">
        <v>45770</v>
      </c>
      <c r="C1020" t="s">
        <v>733</v>
      </c>
      <c r="D1020" t="s">
        <v>42</v>
      </c>
      <c r="E1020" t="s">
        <v>34</v>
      </c>
      <c r="F1020" t="s">
        <v>35</v>
      </c>
      <c r="G1020" t="s">
        <v>36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P1020">
        <v>68.8</v>
      </c>
      <c r="S1020">
        <v>0</v>
      </c>
      <c r="U1020">
        <v>1</v>
      </c>
      <c r="W1020">
        <v>0</v>
      </c>
      <c r="Y1020">
        <v>0</v>
      </c>
      <c r="AA1020">
        <v>0</v>
      </c>
    </row>
    <row r="1021" spans="1:27" x14ac:dyDescent="0.3">
      <c r="A1021" t="s">
        <v>1062</v>
      </c>
      <c r="B1021">
        <v>45718</v>
      </c>
      <c r="C1021" t="s">
        <v>733</v>
      </c>
      <c r="D1021" t="s">
        <v>42</v>
      </c>
      <c r="E1021" t="s">
        <v>29</v>
      </c>
      <c r="F1021" t="s">
        <v>39</v>
      </c>
      <c r="G1021" t="s">
        <v>31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P1021">
        <v>63.2</v>
      </c>
      <c r="S1021">
        <v>0</v>
      </c>
      <c r="U1021">
        <v>1</v>
      </c>
      <c r="W1021">
        <v>0</v>
      </c>
      <c r="Y1021">
        <v>0</v>
      </c>
      <c r="AA1021">
        <v>0</v>
      </c>
    </row>
    <row r="1022" spans="1:27" x14ac:dyDescent="0.3">
      <c r="A1022" t="s">
        <v>1063</v>
      </c>
      <c r="B1022">
        <v>45659</v>
      </c>
      <c r="C1022" t="s">
        <v>733</v>
      </c>
      <c r="D1022" t="s">
        <v>38</v>
      </c>
      <c r="E1022" t="s">
        <v>34</v>
      </c>
      <c r="F1022" t="s">
        <v>39</v>
      </c>
      <c r="G1022" t="s">
        <v>31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P1022">
        <v>45</v>
      </c>
      <c r="S1022">
        <v>0</v>
      </c>
      <c r="U1022">
        <v>0</v>
      </c>
      <c r="W1022">
        <v>0</v>
      </c>
      <c r="Y1022">
        <v>0</v>
      </c>
      <c r="AA1022">
        <v>0</v>
      </c>
    </row>
    <row r="1023" spans="1:27" x14ac:dyDescent="0.3">
      <c r="A1023" t="s">
        <v>1064</v>
      </c>
      <c r="B1023">
        <v>45781</v>
      </c>
      <c r="C1023" t="s">
        <v>733</v>
      </c>
      <c r="D1023" t="s">
        <v>42</v>
      </c>
      <c r="E1023" t="s">
        <v>34</v>
      </c>
      <c r="F1023" t="s">
        <v>35</v>
      </c>
      <c r="G1023" t="s">
        <v>36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P1023">
        <v>77.400000000000006</v>
      </c>
      <c r="S1023">
        <v>0</v>
      </c>
      <c r="U1023">
        <v>1</v>
      </c>
      <c r="W1023">
        <v>0</v>
      </c>
      <c r="Y1023">
        <v>0</v>
      </c>
      <c r="AA1023">
        <v>0</v>
      </c>
    </row>
    <row r="1024" spans="1:27" x14ac:dyDescent="0.3">
      <c r="A1024" t="s">
        <v>1065</v>
      </c>
      <c r="B1024">
        <v>45673</v>
      </c>
      <c r="C1024" t="s">
        <v>733</v>
      </c>
      <c r="D1024" t="s">
        <v>38</v>
      </c>
      <c r="E1024" t="s">
        <v>29</v>
      </c>
      <c r="F1024" t="s">
        <v>39</v>
      </c>
      <c r="G1024" t="s">
        <v>31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P1024">
        <v>53.1</v>
      </c>
      <c r="S1024">
        <v>0</v>
      </c>
      <c r="U1024">
        <v>0</v>
      </c>
      <c r="W1024">
        <v>0</v>
      </c>
      <c r="Y1024">
        <v>0</v>
      </c>
      <c r="AA1024">
        <v>0</v>
      </c>
    </row>
    <row r="1025" spans="1:27" x14ac:dyDescent="0.3">
      <c r="A1025" t="s">
        <v>1066</v>
      </c>
      <c r="B1025">
        <v>45699</v>
      </c>
      <c r="C1025" t="s">
        <v>733</v>
      </c>
      <c r="D1025" t="s">
        <v>33</v>
      </c>
      <c r="E1025" t="s">
        <v>44</v>
      </c>
      <c r="F1025" t="s">
        <v>39</v>
      </c>
      <c r="G1025" t="s">
        <v>40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P1025">
        <v>74</v>
      </c>
      <c r="S1025">
        <v>0</v>
      </c>
      <c r="U1025">
        <v>0</v>
      </c>
      <c r="W1025">
        <v>0</v>
      </c>
      <c r="Y1025">
        <v>0</v>
      </c>
      <c r="AA1025">
        <v>0</v>
      </c>
    </row>
    <row r="1026" spans="1:27" x14ac:dyDescent="0.3">
      <c r="A1026" t="s">
        <v>1067</v>
      </c>
      <c r="B1026">
        <v>45750</v>
      </c>
      <c r="C1026" t="s">
        <v>733</v>
      </c>
      <c r="D1026" t="s">
        <v>28</v>
      </c>
      <c r="E1026" t="s">
        <v>34</v>
      </c>
      <c r="F1026" t="s">
        <v>51</v>
      </c>
      <c r="G1026" t="s">
        <v>40</v>
      </c>
      <c r="H1026">
        <v>1</v>
      </c>
      <c r="I1026">
        <v>1</v>
      </c>
      <c r="J1026">
        <v>1</v>
      </c>
      <c r="K1026">
        <v>1</v>
      </c>
      <c r="L1026">
        <v>1906.23</v>
      </c>
      <c r="M1026">
        <v>0</v>
      </c>
      <c r="N1026">
        <v>0</v>
      </c>
      <c r="O1026">
        <v>4</v>
      </c>
      <c r="P1026">
        <v>84.6</v>
      </c>
      <c r="S1026">
        <v>0</v>
      </c>
      <c r="U1026">
        <v>1</v>
      </c>
      <c r="W1026">
        <v>1</v>
      </c>
      <c r="Y1026">
        <v>1</v>
      </c>
      <c r="AA1026">
        <v>0</v>
      </c>
    </row>
    <row r="1027" spans="1:27" x14ac:dyDescent="0.3">
      <c r="A1027" t="s">
        <v>1068</v>
      </c>
      <c r="B1027">
        <v>45742</v>
      </c>
      <c r="C1027" t="s">
        <v>733</v>
      </c>
      <c r="D1027" t="s">
        <v>38</v>
      </c>
      <c r="E1027" t="s">
        <v>34</v>
      </c>
      <c r="F1027" t="s">
        <v>49</v>
      </c>
      <c r="G1027" t="s">
        <v>36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P1027">
        <v>57</v>
      </c>
      <c r="S1027">
        <v>1</v>
      </c>
      <c r="U1027">
        <v>1</v>
      </c>
      <c r="W1027">
        <v>0</v>
      </c>
      <c r="Y1027">
        <v>0</v>
      </c>
      <c r="AA1027">
        <v>0</v>
      </c>
    </row>
    <row r="1028" spans="1:27" x14ac:dyDescent="0.3">
      <c r="A1028" t="s">
        <v>1069</v>
      </c>
      <c r="B1028">
        <v>45793</v>
      </c>
      <c r="C1028" t="s">
        <v>733</v>
      </c>
      <c r="D1028" t="s">
        <v>42</v>
      </c>
      <c r="E1028" t="s">
        <v>34</v>
      </c>
      <c r="F1028" t="s">
        <v>30</v>
      </c>
      <c r="G1028" t="s">
        <v>40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P1028">
        <v>46.3</v>
      </c>
      <c r="S1028">
        <v>0</v>
      </c>
      <c r="U1028">
        <v>0</v>
      </c>
      <c r="W1028">
        <v>0</v>
      </c>
      <c r="Y1028">
        <v>0</v>
      </c>
      <c r="AA1028">
        <v>0</v>
      </c>
    </row>
    <row r="1029" spans="1:27" x14ac:dyDescent="0.3">
      <c r="A1029" t="s">
        <v>1070</v>
      </c>
      <c r="B1029">
        <v>45767</v>
      </c>
      <c r="C1029" t="s">
        <v>733</v>
      </c>
      <c r="D1029" t="s">
        <v>33</v>
      </c>
      <c r="E1029" t="s">
        <v>34</v>
      </c>
      <c r="F1029" t="s">
        <v>51</v>
      </c>
      <c r="G1029" t="s">
        <v>36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1</v>
      </c>
      <c r="N1029">
        <v>0</v>
      </c>
      <c r="P1029">
        <v>64.400000000000006</v>
      </c>
      <c r="S1029">
        <v>0</v>
      </c>
      <c r="U1029">
        <v>0</v>
      </c>
      <c r="W1029">
        <v>0</v>
      </c>
      <c r="Y1029">
        <v>0</v>
      </c>
      <c r="AA1029">
        <v>1</v>
      </c>
    </row>
    <row r="1030" spans="1:27" x14ac:dyDescent="0.3">
      <c r="A1030" t="s">
        <v>1071</v>
      </c>
      <c r="B1030">
        <v>45762</v>
      </c>
      <c r="C1030" t="s">
        <v>733</v>
      </c>
      <c r="D1030" t="s">
        <v>33</v>
      </c>
      <c r="E1030" t="s">
        <v>34</v>
      </c>
      <c r="F1030" t="s">
        <v>39</v>
      </c>
      <c r="G1030" t="s">
        <v>36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2</v>
      </c>
      <c r="N1030">
        <v>0</v>
      </c>
      <c r="P1030">
        <v>61.9</v>
      </c>
      <c r="S1030">
        <v>0</v>
      </c>
      <c r="U1030">
        <v>1</v>
      </c>
      <c r="W1030">
        <v>0</v>
      </c>
      <c r="Y1030">
        <v>0</v>
      </c>
      <c r="AA1030">
        <v>2</v>
      </c>
    </row>
    <row r="1031" spans="1:27" x14ac:dyDescent="0.3">
      <c r="A1031" t="s">
        <v>1072</v>
      </c>
      <c r="B1031">
        <v>45681</v>
      </c>
      <c r="C1031" t="s">
        <v>733</v>
      </c>
      <c r="D1031" t="s">
        <v>28</v>
      </c>
      <c r="E1031" t="s">
        <v>34</v>
      </c>
      <c r="F1031" t="s">
        <v>35</v>
      </c>
      <c r="G1031" t="s">
        <v>40</v>
      </c>
      <c r="H1031">
        <v>1</v>
      </c>
      <c r="I1031">
        <v>1</v>
      </c>
      <c r="J1031">
        <v>1</v>
      </c>
      <c r="K1031">
        <v>0</v>
      </c>
      <c r="L1031">
        <v>0</v>
      </c>
      <c r="M1031">
        <v>0</v>
      </c>
      <c r="N1031">
        <v>0</v>
      </c>
      <c r="P1031">
        <v>93.7</v>
      </c>
      <c r="S1031">
        <v>0</v>
      </c>
      <c r="U1031">
        <v>1</v>
      </c>
      <c r="W1031">
        <v>1</v>
      </c>
      <c r="Y1031">
        <v>1</v>
      </c>
      <c r="AA1031">
        <v>0</v>
      </c>
    </row>
    <row r="1032" spans="1:27" x14ac:dyDescent="0.3">
      <c r="A1032" t="s">
        <v>1073</v>
      </c>
      <c r="B1032">
        <v>45758</v>
      </c>
      <c r="C1032" t="s">
        <v>733</v>
      </c>
      <c r="D1032" t="s">
        <v>42</v>
      </c>
      <c r="E1032" t="s">
        <v>34</v>
      </c>
      <c r="F1032" t="s">
        <v>49</v>
      </c>
      <c r="G1032" t="s">
        <v>31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P1032">
        <v>61.6</v>
      </c>
      <c r="S1032">
        <v>0</v>
      </c>
      <c r="U1032">
        <v>0</v>
      </c>
      <c r="W1032">
        <v>0</v>
      </c>
      <c r="Y1032">
        <v>0</v>
      </c>
      <c r="AA1032">
        <v>0</v>
      </c>
    </row>
    <row r="1033" spans="1:27" x14ac:dyDescent="0.3">
      <c r="A1033" t="s">
        <v>1074</v>
      </c>
      <c r="B1033">
        <v>45796</v>
      </c>
      <c r="C1033" t="s">
        <v>733</v>
      </c>
      <c r="D1033" t="s">
        <v>28</v>
      </c>
      <c r="E1033" t="s">
        <v>34</v>
      </c>
      <c r="F1033" t="s">
        <v>39</v>
      </c>
      <c r="G1033" t="s">
        <v>36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P1033">
        <v>72.2</v>
      </c>
      <c r="S1033">
        <v>0</v>
      </c>
      <c r="U1033">
        <v>1</v>
      </c>
      <c r="W1033">
        <v>0</v>
      </c>
      <c r="Y1033">
        <v>0</v>
      </c>
      <c r="AA1033">
        <v>0</v>
      </c>
    </row>
    <row r="1034" spans="1:27" x14ac:dyDescent="0.3">
      <c r="A1034" t="s">
        <v>1075</v>
      </c>
      <c r="B1034">
        <v>45671</v>
      </c>
      <c r="C1034" t="s">
        <v>733</v>
      </c>
      <c r="D1034" t="s">
        <v>28</v>
      </c>
      <c r="E1034" t="s">
        <v>34</v>
      </c>
      <c r="F1034" t="s">
        <v>35</v>
      </c>
      <c r="G1034" t="s">
        <v>31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P1034">
        <v>69.5</v>
      </c>
      <c r="S1034">
        <v>0</v>
      </c>
      <c r="U1034">
        <v>0</v>
      </c>
      <c r="W1034">
        <v>0</v>
      </c>
      <c r="Y1034">
        <v>0</v>
      </c>
      <c r="AA1034">
        <v>0</v>
      </c>
    </row>
    <row r="1035" spans="1:27" x14ac:dyDescent="0.3">
      <c r="A1035" t="s">
        <v>1076</v>
      </c>
      <c r="B1035">
        <v>45716</v>
      </c>
      <c r="C1035" t="s">
        <v>733</v>
      </c>
      <c r="D1035" t="s">
        <v>38</v>
      </c>
      <c r="E1035" t="s">
        <v>29</v>
      </c>
      <c r="F1035" t="s">
        <v>35</v>
      </c>
      <c r="G1035" t="s">
        <v>31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P1035">
        <v>59.7</v>
      </c>
      <c r="S1035">
        <v>0</v>
      </c>
      <c r="U1035">
        <v>0</v>
      </c>
      <c r="W1035">
        <v>0</v>
      </c>
      <c r="Y1035">
        <v>0</v>
      </c>
      <c r="AA1035">
        <v>0</v>
      </c>
    </row>
    <row r="1036" spans="1:27" x14ac:dyDescent="0.3">
      <c r="A1036" t="s">
        <v>1077</v>
      </c>
      <c r="B1036">
        <v>45795</v>
      </c>
      <c r="C1036" t="s">
        <v>733</v>
      </c>
      <c r="D1036" t="s">
        <v>38</v>
      </c>
      <c r="E1036" t="s">
        <v>44</v>
      </c>
      <c r="F1036" t="s">
        <v>39</v>
      </c>
      <c r="G1036" t="s">
        <v>31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P1036">
        <v>73.900000000000006</v>
      </c>
      <c r="S1036">
        <v>0</v>
      </c>
      <c r="U1036">
        <v>1</v>
      </c>
      <c r="W1036">
        <v>0</v>
      </c>
      <c r="Y1036">
        <v>0</v>
      </c>
      <c r="AA1036">
        <v>0</v>
      </c>
    </row>
    <row r="1037" spans="1:27" x14ac:dyDescent="0.3">
      <c r="A1037" t="s">
        <v>1078</v>
      </c>
      <c r="B1037">
        <v>45661</v>
      </c>
      <c r="C1037" t="s">
        <v>733</v>
      </c>
      <c r="D1037" t="s">
        <v>28</v>
      </c>
      <c r="E1037" t="s">
        <v>34</v>
      </c>
      <c r="F1037" t="s">
        <v>51</v>
      </c>
      <c r="G1037" t="s">
        <v>36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P1037">
        <v>41.5</v>
      </c>
      <c r="S1037">
        <v>0</v>
      </c>
      <c r="U1037">
        <v>0</v>
      </c>
      <c r="W1037">
        <v>0</v>
      </c>
      <c r="Y1037">
        <v>0</v>
      </c>
      <c r="AA1037">
        <v>0</v>
      </c>
    </row>
    <row r="1038" spans="1:27" x14ac:dyDescent="0.3">
      <c r="A1038" t="s">
        <v>1079</v>
      </c>
      <c r="B1038">
        <v>45673</v>
      </c>
      <c r="C1038" t="s">
        <v>733</v>
      </c>
      <c r="D1038" t="s">
        <v>33</v>
      </c>
      <c r="E1038" t="s">
        <v>34</v>
      </c>
      <c r="F1038" t="s">
        <v>51</v>
      </c>
      <c r="G1038" t="s">
        <v>40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P1038">
        <v>82.8</v>
      </c>
      <c r="S1038">
        <v>0</v>
      </c>
      <c r="U1038">
        <v>1</v>
      </c>
      <c r="W1038">
        <v>0</v>
      </c>
      <c r="Y1038">
        <v>0</v>
      </c>
      <c r="AA1038">
        <v>0</v>
      </c>
    </row>
    <row r="1039" spans="1:27" x14ac:dyDescent="0.3">
      <c r="A1039" t="s">
        <v>1080</v>
      </c>
      <c r="B1039">
        <v>45730</v>
      </c>
      <c r="C1039" t="s">
        <v>733</v>
      </c>
      <c r="D1039" t="s">
        <v>33</v>
      </c>
      <c r="E1039" t="s">
        <v>34</v>
      </c>
      <c r="F1039" t="s">
        <v>51</v>
      </c>
      <c r="G1039" t="s">
        <v>40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3</v>
      </c>
      <c r="N1039">
        <v>0</v>
      </c>
      <c r="P1039">
        <v>70.2</v>
      </c>
      <c r="S1039">
        <v>0</v>
      </c>
      <c r="U1039">
        <v>1</v>
      </c>
      <c r="W1039">
        <v>0</v>
      </c>
      <c r="Y1039">
        <v>0</v>
      </c>
      <c r="AA1039">
        <v>3</v>
      </c>
    </row>
    <row r="1040" spans="1:27" x14ac:dyDescent="0.3">
      <c r="A1040" t="s">
        <v>1081</v>
      </c>
      <c r="B1040">
        <v>45680</v>
      </c>
      <c r="C1040" t="s">
        <v>733</v>
      </c>
      <c r="D1040" t="s">
        <v>38</v>
      </c>
      <c r="E1040" t="s">
        <v>34</v>
      </c>
      <c r="F1040" t="s">
        <v>39</v>
      </c>
      <c r="G1040" t="s">
        <v>31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1</v>
      </c>
      <c r="N1040">
        <v>0</v>
      </c>
      <c r="P1040">
        <v>69.400000000000006</v>
      </c>
      <c r="S1040">
        <v>0</v>
      </c>
      <c r="U1040">
        <v>1</v>
      </c>
      <c r="W1040">
        <v>0</v>
      </c>
      <c r="Y1040">
        <v>0</v>
      </c>
      <c r="AA1040">
        <v>1</v>
      </c>
    </row>
    <row r="1041" spans="1:27" x14ac:dyDescent="0.3">
      <c r="A1041" t="s">
        <v>1082</v>
      </c>
      <c r="B1041">
        <v>45691</v>
      </c>
      <c r="C1041" t="s">
        <v>733</v>
      </c>
      <c r="D1041" t="s">
        <v>28</v>
      </c>
      <c r="E1041" t="s">
        <v>29</v>
      </c>
      <c r="F1041" t="s">
        <v>35</v>
      </c>
      <c r="G1041" t="s">
        <v>31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P1041">
        <v>60.4</v>
      </c>
      <c r="S1041">
        <v>0</v>
      </c>
      <c r="U1041">
        <v>1</v>
      </c>
      <c r="W1041">
        <v>0</v>
      </c>
      <c r="Y1041">
        <v>0</v>
      </c>
      <c r="AA1041">
        <v>0</v>
      </c>
    </row>
    <row r="1042" spans="1:27" x14ac:dyDescent="0.3">
      <c r="A1042" t="s">
        <v>1083</v>
      </c>
      <c r="B1042">
        <v>45793</v>
      </c>
      <c r="C1042" t="s">
        <v>733</v>
      </c>
      <c r="D1042" t="s">
        <v>38</v>
      </c>
      <c r="E1042" t="s">
        <v>34</v>
      </c>
      <c r="F1042" t="s">
        <v>49</v>
      </c>
      <c r="G1042" t="s">
        <v>36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P1042">
        <v>45.7</v>
      </c>
      <c r="S1042">
        <v>0</v>
      </c>
      <c r="U1042">
        <v>1</v>
      </c>
      <c r="W1042">
        <v>0</v>
      </c>
      <c r="Y1042">
        <v>0</v>
      </c>
      <c r="AA1042">
        <v>0</v>
      </c>
    </row>
    <row r="1043" spans="1:27" x14ac:dyDescent="0.3">
      <c r="A1043" t="s">
        <v>1084</v>
      </c>
      <c r="B1043">
        <v>45668</v>
      </c>
      <c r="C1043" t="s">
        <v>733</v>
      </c>
      <c r="D1043" t="s">
        <v>33</v>
      </c>
      <c r="E1043" t="s">
        <v>34</v>
      </c>
      <c r="F1043" t="s">
        <v>35</v>
      </c>
      <c r="G1043" t="s">
        <v>31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1</v>
      </c>
      <c r="N1043">
        <v>0</v>
      </c>
      <c r="P1043">
        <v>42.2</v>
      </c>
      <c r="S1043">
        <v>0</v>
      </c>
      <c r="U1043">
        <v>0</v>
      </c>
      <c r="W1043">
        <v>0</v>
      </c>
      <c r="Y1043">
        <v>0</v>
      </c>
      <c r="AA1043">
        <v>1</v>
      </c>
    </row>
    <row r="1044" spans="1:27" x14ac:dyDescent="0.3">
      <c r="A1044" t="s">
        <v>1085</v>
      </c>
      <c r="B1044">
        <v>45802</v>
      </c>
      <c r="C1044" t="s">
        <v>733</v>
      </c>
      <c r="D1044" t="s">
        <v>28</v>
      </c>
      <c r="E1044" t="s">
        <v>29</v>
      </c>
      <c r="F1044" t="s">
        <v>35</v>
      </c>
      <c r="G1044" t="s">
        <v>36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2</v>
      </c>
      <c r="N1044">
        <v>0</v>
      </c>
      <c r="P1044">
        <v>61.9</v>
      </c>
      <c r="S1044">
        <v>0</v>
      </c>
      <c r="U1044">
        <v>0</v>
      </c>
      <c r="W1044">
        <v>0</v>
      </c>
      <c r="Y1044">
        <v>0</v>
      </c>
      <c r="AA1044">
        <v>2</v>
      </c>
    </row>
    <row r="1045" spans="1:27" x14ac:dyDescent="0.3">
      <c r="A1045" t="s">
        <v>1086</v>
      </c>
      <c r="B1045">
        <v>45785</v>
      </c>
      <c r="C1045" t="s">
        <v>733</v>
      </c>
      <c r="D1045" t="s">
        <v>38</v>
      </c>
      <c r="E1045" t="s">
        <v>34</v>
      </c>
      <c r="F1045" t="s">
        <v>39</v>
      </c>
      <c r="G1045" t="s">
        <v>40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P1045">
        <v>44.9</v>
      </c>
      <c r="S1045">
        <v>0</v>
      </c>
      <c r="U1045">
        <v>0</v>
      </c>
      <c r="W1045">
        <v>0</v>
      </c>
      <c r="Y1045">
        <v>0</v>
      </c>
      <c r="AA1045">
        <v>0</v>
      </c>
    </row>
    <row r="1046" spans="1:27" x14ac:dyDescent="0.3">
      <c r="A1046" t="s">
        <v>1087</v>
      </c>
      <c r="B1046">
        <v>45714</v>
      </c>
      <c r="C1046" t="s">
        <v>733</v>
      </c>
      <c r="D1046" t="s">
        <v>38</v>
      </c>
      <c r="E1046" t="s">
        <v>29</v>
      </c>
      <c r="G1046" t="s">
        <v>31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P1046">
        <v>68</v>
      </c>
      <c r="S1046">
        <v>0</v>
      </c>
      <c r="U1046">
        <v>1</v>
      </c>
      <c r="W1046">
        <v>0</v>
      </c>
      <c r="Y1046">
        <v>0</v>
      </c>
      <c r="AA1046">
        <v>0</v>
      </c>
    </row>
    <row r="1047" spans="1:27" x14ac:dyDescent="0.3">
      <c r="A1047" t="s">
        <v>1088</v>
      </c>
      <c r="B1047">
        <v>45746</v>
      </c>
      <c r="C1047" t="s">
        <v>733</v>
      </c>
      <c r="D1047" t="s">
        <v>28</v>
      </c>
      <c r="E1047" t="s">
        <v>34</v>
      </c>
      <c r="F1047" t="s">
        <v>39</v>
      </c>
      <c r="G1047" t="s">
        <v>36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P1047">
        <v>61</v>
      </c>
      <c r="S1047">
        <v>0</v>
      </c>
      <c r="U1047">
        <v>1</v>
      </c>
      <c r="W1047">
        <v>0</v>
      </c>
      <c r="Y1047">
        <v>0</v>
      </c>
      <c r="AA1047">
        <v>0</v>
      </c>
    </row>
    <row r="1048" spans="1:27" x14ac:dyDescent="0.3">
      <c r="A1048" t="s">
        <v>1089</v>
      </c>
      <c r="B1048">
        <v>45760</v>
      </c>
      <c r="C1048" t="s">
        <v>733</v>
      </c>
      <c r="D1048" t="s">
        <v>33</v>
      </c>
      <c r="E1048" t="s">
        <v>34</v>
      </c>
      <c r="F1048" t="s">
        <v>35</v>
      </c>
      <c r="G1048" t="s">
        <v>31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P1048">
        <v>55</v>
      </c>
      <c r="S1048">
        <v>0</v>
      </c>
      <c r="U1048">
        <v>1</v>
      </c>
      <c r="W1048">
        <v>0</v>
      </c>
      <c r="Y1048">
        <v>0</v>
      </c>
      <c r="AA1048">
        <v>0</v>
      </c>
    </row>
    <row r="1049" spans="1:27" x14ac:dyDescent="0.3">
      <c r="A1049" t="s">
        <v>1090</v>
      </c>
      <c r="B1049">
        <v>45708</v>
      </c>
      <c r="C1049" t="s">
        <v>733</v>
      </c>
      <c r="D1049" t="s">
        <v>38</v>
      </c>
      <c r="F1049" t="s">
        <v>39</v>
      </c>
      <c r="G1049" t="s">
        <v>31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P1049">
        <v>63.1</v>
      </c>
      <c r="S1049">
        <v>0</v>
      </c>
      <c r="U1049">
        <v>1</v>
      </c>
      <c r="W1049">
        <v>0</v>
      </c>
      <c r="Y1049">
        <v>0</v>
      </c>
      <c r="AA1049">
        <v>0</v>
      </c>
    </row>
    <row r="1050" spans="1:27" x14ac:dyDescent="0.3">
      <c r="A1050" t="s">
        <v>1091</v>
      </c>
      <c r="B1050">
        <v>45766</v>
      </c>
      <c r="C1050" t="s">
        <v>733</v>
      </c>
      <c r="D1050" t="s">
        <v>33</v>
      </c>
      <c r="E1050" t="s">
        <v>29</v>
      </c>
      <c r="F1050" t="s">
        <v>51</v>
      </c>
      <c r="G1050" t="s">
        <v>36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P1050">
        <v>75.8</v>
      </c>
      <c r="S1050">
        <v>0</v>
      </c>
      <c r="U1050">
        <v>1</v>
      </c>
      <c r="W1050">
        <v>0</v>
      </c>
      <c r="Y1050">
        <v>0</v>
      </c>
      <c r="AA1050">
        <v>0</v>
      </c>
    </row>
    <row r="1051" spans="1:27" x14ac:dyDescent="0.3">
      <c r="A1051" t="s">
        <v>1092</v>
      </c>
      <c r="B1051">
        <v>45738</v>
      </c>
      <c r="C1051" t="s">
        <v>733</v>
      </c>
      <c r="D1051" t="s">
        <v>42</v>
      </c>
      <c r="E1051" t="s">
        <v>34</v>
      </c>
      <c r="F1051" t="s">
        <v>39</v>
      </c>
      <c r="G1051" t="s">
        <v>36</v>
      </c>
      <c r="H1051">
        <v>1</v>
      </c>
      <c r="I1051">
        <v>1</v>
      </c>
      <c r="J1051">
        <v>0</v>
      </c>
      <c r="K1051">
        <v>0</v>
      </c>
      <c r="L1051">
        <v>0</v>
      </c>
      <c r="M1051">
        <v>1</v>
      </c>
      <c r="N1051">
        <v>0</v>
      </c>
      <c r="P1051">
        <v>43.8</v>
      </c>
      <c r="S1051">
        <v>0</v>
      </c>
      <c r="U1051">
        <v>1</v>
      </c>
      <c r="W1051">
        <v>1</v>
      </c>
      <c r="Y1051">
        <v>0</v>
      </c>
      <c r="AA1051">
        <v>1</v>
      </c>
    </row>
    <row r="1052" spans="1:27" x14ac:dyDescent="0.3">
      <c r="A1052" t="s">
        <v>1093</v>
      </c>
      <c r="B1052">
        <v>45716</v>
      </c>
      <c r="C1052" t="s">
        <v>733</v>
      </c>
      <c r="D1052" t="s">
        <v>28</v>
      </c>
      <c r="E1052" t="s">
        <v>34</v>
      </c>
      <c r="F1052" t="s">
        <v>30</v>
      </c>
      <c r="G1052" t="s">
        <v>31</v>
      </c>
      <c r="H1052">
        <v>1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P1052">
        <v>46.8</v>
      </c>
      <c r="S1052">
        <v>0</v>
      </c>
      <c r="U1052">
        <v>1</v>
      </c>
      <c r="W1052">
        <v>1</v>
      </c>
      <c r="Y1052">
        <v>0</v>
      </c>
      <c r="AA1052">
        <v>0</v>
      </c>
    </row>
    <row r="1053" spans="1:27" x14ac:dyDescent="0.3">
      <c r="A1053" t="s">
        <v>1094</v>
      </c>
      <c r="B1053">
        <v>45801</v>
      </c>
      <c r="C1053" t="s">
        <v>733</v>
      </c>
      <c r="D1053" t="s">
        <v>38</v>
      </c>
      <c r="E1053" t="s">
        <v>34</v>
      </c>
      <c r="F1053" t="s">
        <v>51</v>
      </c>
      <c r="G1053" t="s">
        <v>36</v>
      </c>
      <c r="H1053">
        <v>1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P1053">
        <v>97.4</v>
      </c>
      <c r="S1053">
        <v>0</v>
      </c>
      <c r="U1053">
        <v>1</v>
      </c>
      <c r="W1053">
        <v>1</v>
      </c>
      <c r="Y1053">
        <v>1</v>
      </c>
      <c r="AA1053">
        <v>0</v>
      </c>
    </row>
    <row r="1054" spans="1:27" x14ac:dyDescent="0.3">
      <c r="A1054" t="s">
        <v>1095</v>
      </c>
      <c r="B1054">
        <v>45691</v>
      </c>
      <c r="C1054" t="s">
        <v>733</v>
      </c>
      <c r="D1054" t="s">
        <v>28</v>
      </c>
      <c r="E1054" t="s">
        <v>29</v>
      </c>
      <c r="F1054" t="s">
        <v>30</v>
      </c>
      <c r="G1054" t="s">
        <v>36</v>
      </c>
      <c r="H1054">
        <v>1</v>
      </c>
      <c r="I1054">
        <v>1</v>
      </c>
      <c r="J1054">
        <v>1</v>
      </c>
      <c r="K1054">
        <v>1</v>
      </c>
      <c r="L1054">
        <v>268.95999999999998</v>
      </c>
      <c r="M1054">
        <v>0</v>
      </c>
      <c r="N1054">
        <v>0</v>
      </c>
      <c r="O1054">
        <v>14</v>
      </c>
      <c r="P1054">
        <v>81</v>
      </c>
      <c r="S1054">
        <v>0</v>
      </c>
      <c r="U1054">
        <v>1</v>
      </c>
      <c r="W1054">
        <v>1</v>
      </c>
      <c r="Y1054">
        <v>1</v>
      </c>
      <c r="AA1054">
        <v>0</v>
      </c>
    </row>
    <row r="1055" spans="1:27" x14ac:dyDescent="0.3">
      <c r="A1055" t="s">
        <v>1096</v>
      </c>
      <c r="B1055">
        <v>45684</v>
      </c>
      <c r="C1055" t="s">
        <v>733</v>
      </c>
      <c r="D1055" t="s">
        <v>42</v>
      </c>
      <c r="E1055" t="s">
        <v>34</v>
      </c>
      <c r="F1055" t="s">
        <v>35</v>
      </c>
      <c r="G1055" t="s">
        <v>36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1</v>
      </c>
      <c r="N1055">
        <v>0</v>
      </c>
      <c r="P1055">
        <v>58.9</v>
      </c>
      <c r="S1055">
        <v>1</v>
      </c>
      <c r="U1055">
        <v>1</v>
      </c>
      <c r="W1055">
        <v>0</v>
      </c>
      <c r="Y1055">
        <v>0</v>
      </c>
      <c r="AA1055">
        <v>1</v>
      </c>
    </row>
    <row r="1056" spans="1:27" x14ac:dyDescent="0.3">
      <c r="A1056" t="s">
        <v>1097</v>
      </c>
      <c r="B1056">
        <v>45764</v>
      </c>
      <c r="C1056" t="s">
        <v>733</v>
      </c>
      <c r="D1056" t="s">
        <v>38</v>
      </c>
      <c r="E1056" t="s">
        <v>34</v>
      </c>
      <c r="F1056" t="s">
        <v>35</v>
      </c>
      <c r="G1056" t="s">
        <v>36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P1056">
        <v>51.9</v>
      </c>
      <c r="S1056">
        <v>0</v>
      </c>
      <c r="U1056">
        <v>1</v>
      </c>
      <c r="W1056">
        <v>0</v>
      </c>
      <c r="Y1056">
        <v>0</v>
      </c>
      <c r="AA1056">
        <v>0</v>
      </c>
    </row>
    <row r="1057" spans="1:27" x14ac:dyDescent="0.3">
      <c r="A1057" t="s">
        <v>1098</v>
      </c>
      <c r="B1057">
        <v>45694</v>
      </c>
      <c r="C1057" t="s">
        <v>733</v>
      </c>
      <c r="D1057" t="s">
        <v>33</v>
      </c>
      <c r="E1057" t="s">
        <v>34</v>
      </c>
      <c r="F1057" t="s">
        <v>51</v>
      </c>
      <c r="G1057" t="s">
        <v>36</v>
      </c>
      <c r="H1057">
        <v>1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P1057">
        <v>61.7</v>
      </c>
      <c r="S1057">
        <v>0</v>
      </c>
      <c r="U1057">
        <v>1</v>
      </c>
      <c r="W1057">
        <v>1</v>
      </c>
      <c r="Y1057">
        <v>0</v>
      </c>
      <c r="AA1057">
        <v>0</v>
      </c>
    </row>
    <row r="1058" spans="1:27" x14ac:dyDescent="0.3">
      <c r="A1058" t="s">
        <v>1099</v>
      </c>
      <c r="B1058">
        <v>45767</v>
      </c>
      <c r="C1058" t="s">
        <v>733</v>
      </c>
      <c r="D1058" t="s">
        <v>42</v>
      </c>
      <c r="E1058" t="s">
        <v>34</v>
      </c>
      <c r="F1058" t="s">
        <v>39</v>
      </c>
      <c r="G1058" t="s">
        <v>36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P1058">
        <v>44.7</v>
      </c>
      <c r="S1058">
        <v>0</v>
      </c>
      <c r="U1058">
        <v>1</v>
      </c>
      <c r="W1058">
        <v>0</v>
      </c>
      <c r="Y1058">
        <v>0</v>
      </c>
      <c r="AA1058">
        <v>0</v>
      </c>
    </row>
    <row r="1059" spans="1:27" x14ac:dyDescent="0.3">
      <c r="A1059" t="s">
        <v>1100</v>
      </c>
      <c r="B1059">
        <v>45783</v>
      </c>
      <c r="C1059" t="s">
        <v>733</v>
      </c>
      <c r="D1059" t="s">
        <v>28</v>
      </c>
      <c r="E1059" t="s">
        <v>34</v>
      </c>
      <c r="F1059" t="s">
        <v>39</v>
      </c>
      <c r="G1059" t="s">
        <v>31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P1059">
        <v>63.2</v>
      </c>
      <c r="S1059">
        <v>0</v>
      </c>
      <c r="U1059">
        <v>0</v>
      </c>
      <c r="W1059">
        <v>0</v>
      </c>
      <c r="Y1059">
        <v>0</v>
      </c>
      <c r="AA1059">
        <v>0</v>
      </c>
    </row>
    <row r="1060" spans="1:27" x14ac:dyDescent="0.3">
      <c r="A1060" t="s">
        <v>1101</v>
      </c>
      <c r="B1060">
        <v>45793</v>
      </c>
      <c r="C1060" t="s">
        <v>733</v>
      </c>
      <c r="D1060" t="s">
        <v>42</v>
      </c>
      <c r="E1060" t="s">
        <v>34</v>
      </c>
      <c r="F1060" t="s">
        <v>35</v>
      </c>
      <c r="G1060" t="s">
        <v>36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P1060">
        <v>70.3</v>
      </c>
      <c r="S1060">
        <v>0</v>
      </c>
      <c r="U1060">
        <v>1</v>
      </c>
      <c r="W1060">
        <v>0</v>
      </c>
      <c r="Y1060">
        <v>0</v>
      </c>
      <c r="AA1060">
        <v>0</v>
      </c>
    </row>
    <row r="1061" spans="1:27" x14ac:dyDescent="0.3">
      <c r="A1061" t="s">
        <v>1102</v>
      </c>
      <c r="B1061">
        <v>45718</v>
      </c>
      <c r="C1061" t="s">
        <v>733</v>
      </c>
      <c r="D1061" t="s">
        <v>42</v>
      </c>
      <c r="E1061" t="s">
        <v>34</v>
      </c>
      <c r="F1061" t="s">
        <v>39</v>
      </c>
      <c r="G1061" t="s">
        <v>40</v>
      </c>
      <c r="H1061">
        <v>1</v>
      </c>
      <c r="I1061">
        <v>1</v>
      </c>
      <c r="J1061">
        <v>0</v>
      </c>
      <c r="K1061">
        <v>0</v>
      </c>
      <c r="L1061">
        <v>0</v>
      </c>
      <c r="M1061">
        <v>1</v>
      </c>
      <c r="N1061">
        <v>0</v>
      </c>
      <c r="P1061">
        <v>83.1</v>
      </c>
      <c r="S1061">
        <v>0</v>
      </c>
      <c r="U1061">
        <v>1</v>
      </c>
      <c r="W1061">
        <v>1</v>
      </c>
      <c r="Y1061">
        <v>0</v>
      </c>
      <c r="AA1061">
        <v>1</v>
      </c>
    </row>
    <row r="1062" spans="1:27" x14ac:dyDescent="0.3">
      <c r="A1062" t="s">
        <v>1103</v>
      </c>
      <c r="B1062">
        <v>45756</v>
      </c>
      <c r="C1062" t="s">
        <v>733</v>
      </c>
      <c r="D1062" t="s">
        <v>33</v>
      </c>
      <c r="E1062" t="s">
        <v>34</v>
      </c>
      <c r="F1062" t="s">
        <v>51</v>
      </c>
      <c r="G1062" t="s">
        <v>36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P1062">
        <v>50.3</v>
      </c>
      <c r="S1062">
        <v>0</v>
      </c>
      <c r="U1062">
        <v>0</v>
      </c>
      <c r="W1062">
        <v>0</v>
      </c>
      <c r="Y1062">
        <v>0</v>
      </c>
      <c r="AA1062">
        <v>0</v>
      </c>
    </row>
    <row r="1063" spans="1:27" x14ac:dyDescent="0.3">
      <c r="A1063" t="s">
        <v>1104</v>
      </c>
      <c r="B1063">
        <v>45683</v>
      </c>
      <c r="C1063" t="s">
        <v>733</v>
      </c>
      <c r="D1063" t="s">
        <v>38</v>
      </c>
      <c r="E1063" t="s">
        <v>34</v>
      </c>
      <c r="F1063" t="s">
        <v>39</v>
      </c>
      <c r="G1063" t="s">
        <v>36</v>
      </c>
      <c r="H1063">
        <v>1</v>
      </c>
      <c r="I1063">
        <v>1</v>
      </c>
      <c r="J1063">
        <v>1</v>
      </c>
      <c r="K1063">
        <v>1</v>
      </c>
      <c r="L1063">
        <v>437.09</v>
      </c>
      <c r="M1063">
        <v>2</v>
      </c>
      <c r="N1063">
        <v>1</v>
      </c>
      <c r="O1063">
        <v>1</v>
      </c>
      <c r="P1063">
        <v>58.2</v>
      </c>
      <c r="S1063">
        <v>0</v>
      </c>
      <c r="U1063">
        <v>1</v>
      </c>
      <c r="W1063">
        <v>1</v>
      </c>
      <c r="Y1063">
        <v>1</v>
      </c>
      <c r="AA1063">
        <v>2</v>
      </c>
    </row>
    <row r="1064" spans="1:27" x14ac:dyDescent="0.3">
      <c r="A1064" t="s">
        <v>1105</v>
      </c>
      <c r="B1064">
        <v>45713</v>
      </c>
      <c r="C1064" t="s">
        <v>733</v>
      </c>
      <c r="D1064" t="s">
        <v>42</v>
      </c>
      <c r="E1064" t="s">
        <v>34</v>
      </c>
      <c r="F1064" t="s">
        <v>39</v>
      </c>
      <c r="G1064" t="s">
        <v>31</v>
      </c>
      <c r="H1064">
        <v>1</v>
      </c>
      <c r="I1064">
        <v>1</v>
      </c>
      <c r="J1064">
        <v>1</v>
      </c>
      <c r="K1064">
        <v>0</v>
      </c>
      <c r="L1064">
        <v>0</v>
      </c>
      <c r="M1064">
        <v>0</v>
      </c>
      <c r="N1064">
        <v>0</v>
      </c>
      <c r="P1064">
        <v>53.2</v>
      </c>
      <c r="S1064">
        <v>1</v>
      </c>
      <c r="U1064">
        <v>1</v>
      </c>
      <c r="W1064">
        <v>1</v>
      </c>
      <c r="Y1064">
        <v>1</v>
      </c>
      <c r="AA1064">
        <v>0</v>
      </c>
    </row>
    <row r="1065" spans="1:27" x14ac:dyDescent="0.3">
      <c r="A1065" t="s">
        <v>1106</v>
      </c>
      <c r="B1065">
        <v>45664</v>
      </c>
      <c r="C1065" t="s">
        <v>733</v>
      </c>
      <c r="D1065" t="s">
        <v>38</v>
      </c>
      <c r="E1065" t="s">
        <v>34</v>
      </c>
      <c r="F1065" t="s">
        <v>35</v>
      </c>
      <c r="G1065" t="s">
        <v>40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P1065">
        <v>36.4</v>
      </c>
      <c r="S1065">
        <v>0</v>
      </c>
      <c r="U1065">
        <v>0</v>
      </c>
      <c r="W1065">
        <v>0</v>
      </c>
      <c r="Y1065">
        <v>0</v>
      </c>
      <c r="AA1065">
        <v>0</v>
      </c>
    </row>
    <row r="1066" spans="1:27" x14ac:dyDescent="0.3">
      <c r="A1066" t="s">
        <v>1107</v>
      </c>
      <c r="B1066">
        <v>45724</v>
      </c>
      <c r="C1066" t="s">
        <v>733</v>
      </c>
      <c r="D1066" t="s">
        <v>42</v>
      </c>
      <c r="E1066" t="s">
        <v>34</v>
      </c>
      <c r="F1066" t="s">
        <v>51</v>
      </c>
      <c r="G1066" t="s">
        <v>31</v>
      </c>
      <c r="H1066">
        <v>1</v>
      </c>
      <c r="I1066">
        <v>1</v>
      </c>
      <c r="J1066">
        <v>1</v>
      </c>
      <c r="K1066">
        <v>0</v>
      </c>
      <c r="L1066">
        <v>0</v>
      </c>
      <c r="M1066">
        <v>0</v>
      </c>
      <c r="N1066">
        <v>0</v>
      </c>
      <c r="P1066">
        <v>72.7</v>
      </c>
      <c r="S1066">
        <v>0</v>
      </c>
      <c r="U1066">
        <v>1</v>
      </c>
      <c r="W1066">
        <v>1</v>
      </c>
      <c r="Y1066">
        <v>1</v>
      </c>
      <c r="AA1066">
        <v>0</v>
      </c>
    </row>
    <row r="1067" spans="1:27" x14ac:dyDescent="0.3">
      <c r="A1067" t="s">
        <v>1108</v>
      </c>
      <c r="B1067">
        <v>45799</v>
      </c>
      <c r="C1067" t="s">
        <v>733</v>
      </c>
      <c r="D1067" t="s">
        <v>38</v>
      </c>
      <c r="E1067" t="s">
        <v>34</v>
      </c>
      <c r="F1067" t="s">
        <v>49</v>
      </c>
      <c r="G1067" t="s">
        <v>36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1</v>
      </c>
      <c r="N1067">
        <v>0</v>
      </c>
      <c r="P1067">
        <v>86.7</v>
      </c>
      <c r="S1067">
        <v>0</v>
      </c>
      <c r="U1067">
        <v>1</v>
      </c>
      <c r="W1067">
        <v>0</v>
      </c>
      <c r="Y1067">
        <v>0</v>
      </c>
      <c r="AA1067">
        <v>1</v>
      </c>
    </row>
    <row r="1068" spans="1:27" x14ac:dyDescent="0.3">
      <c r="A1068" t="s">
        <v>1109</v>
      </c>
      <c r="B1068">
        <v>45765</v>
      </c>
      <c r="C1068" t="s">
        <v>733</v>
      </c>
      <c r="D1068" t="s">
        <v>38</v>
      </c>
      <c r="E1068" t="s">
        <v>34</v>
      </c>
      <c r="F1068" t="s">
        <v>39</v>
      </c>
      <c r="G1068" t="s">
        <v>40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P1068">
        <v>48.2</v>
      </c>
      <c r="S1068">
        <v>0</v>
      </c>
      <c r="U1068">
        <v>1</v>
      </c>
      <c r="W1068">
        <v>0</v>
      </c>
      <c r="Y1068">
        <v>0</v>
      </c>
      <c r="AA1068">
        <v>0</v>
      </c>
    </row>
    <row r="1069" spans="1:27" x14ac:dyDescent="0.3">
      <c r="A1069" t="s">
        <v>1110</v>
      </c>
      <c r="B1069">
        <v>45712</v>
      </c>
      <c r="C1069" t="s">
        <v>733</v>
      </c>
      <c r="D1069" t="s">
        <v>33</v>
      </c>
      <c r="E1069" t="s">
        <v>34</v>
      </c>
      <c r="F1069" t="s">
        <v>49</v>
      </c>
      <c r="G1069" t="s">
        <v>31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1</v>
      </c>
      <c r="N1069">
        <v>0</v>
      </c>
      <c r="P1069">
        <v>57.6</v>
      </c>
      <c r="S1069">
        <v>0</v>
      </c>
      <c r="U1069">
        <v>0</v>
      </c>
      <c r="W1069">
        <v>0</v>
      </c>
      <c r="Y1069">
        <v>0</v>
      </c>
      <c r="AA1069">
        <v>1</v>
      </c>
    </row>
    <row r="1070" spans="1:27" x14ac:dyDescent="0.3">
      <c r="A1070" t="s">
        <v>1111</v>
      </c>
      <c r="B1070">
        <v>45699</v>
      </c>
      <c r="C1070" t="s">
        <v>733</v>
      </c>
      <c r="D1070" t="s">
        <v>28</v>
      </c>
      <c r="E1070" t="s">
        <v>34</v>
      </c>
      <c r="F1070" t="s">
        <v>35</v>
      </c>
      <c r="G1070" t="s">
        <v>36</v>
      </c>
      <c r="H1070">
        <v>1</v>
      </c>
      <c r="I1070">
        <v>1</v>
      </c>
      <c r="J1070">
        <v>1</v>
      </c>
      <c r="K1070">
        <v>0</v>
      </c>
      <c r="L1070">
        <v>0</v>
      </c>
      <c r="M1070">
        <v>0</v>
      </c>
      <c r="N1070">
        <v>0</v>
      </c>
      <c r="P1070">
        <v>75.7</v>
      </c>
      <c r="S1070">
        <v>0</v>
      </c>
      <c r="U1070">
        <v>1</v>
      </c>
      <c r="W1070">
        <v>1</v>
      </c>
      <c r="Y1070">
        <v>1</v>
      </c>
      <c r="AA1070">
        <v>0</v>
      </c>
    </row>
    <row r="1071" spans="1:27" x14ac:dyDescent="0.3">
      <c r="A1071" t="s">
        <v>1112</v>
      </c>
      <c r="B1071">
        <v>45727</v>
      </c>
      <c r="C1071" t="s">
        <v>733</v>
      </c>
      <c r="D1071" t="s">
        <v>33</v>
      </c>
      <c r="E1071" t="s">
        <v>29</v>
      </c>
      <c r="F1071" t="s">
        <v>39</v>
      </c>
      <c r="G1071" t="s">
        <v>36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2</v>
      </c>
      <c r="N1071">
        <v>0</v>
      </c>
      <c r="P1071">
        <v>48.6</v>
      </c>
      <c r="S1071">
        <v>0</v>
      </c>
      <c r="U1071">
        <v>1</v>
      </c>
      <c r="W1071">
        <v>0</v>
      </c>
      <c r="Y1071">
        <v>0</v>
      </c>
      <c r="AA1071">
        <v>2</v>
      </c>
    </row>
    <row r="1072" spans="1:27" x14ac:dyDescent="0.3">
      <c r="A1072" t="s">
        <v>1113</v>
      </c>
      <c r="B1072">
        <v>45758</v>
      </c>
      <c r="C1072" t="s">
        <v>733</v>
      </c>
      <c r="D1072" t="s">
        <v>38</v>
      </c>
      <c r="E1072" t="s">
        <v>44</v>
      </c>
      <c r="F1072" t="s">
        <v>49</v>
      </c>
      <c r="G1072" t="s">
        <v>36</v>
      </c>
      <c r="H1072">
        <v>1</v>
      </c>
      <c r="I1072">
        <v>1</v>
      </c>
      <c r="J1072">
        <v>1</v>
      </c>
      <c r="K1072">
        <v>0</v>
      </c>
      <c r="L1072">
        <v>0</v>
      </c>
      <c r="M1072">
        <v>0</v>
      </c>
      <c r="N1072">
        <v>0</v>
      </c>
      <c r="P1072">
        <v>72</v>
      </c>
      <c r="S1072">
        <v>0</v>
      </c>
      <c r="U1072">
        <v>1</v>
      </c>
      <c r="W1072">
        <v>1</v>
      </c>
      <c r="Y1072">
        <v>1</v>
      </c>
      <c r="AA1072">
        <v>0</v>
      </c>
    </row>
    <row r="1073" spans="1:27" x14ac:dyDescent="0.3">
      <c r="A1073" t="s">
        <v>1114</v>
      </c>
      <c r="B1073">
        <v>45727</v>
      </c>
      <c r="C1073" t="s">
        <v>733</v>
      </c>
      <c r="D1073" t="s">
        <v>28</v>
      </c>
      <c r="E1073" t="s">
        <v>34</v>
      </c>
      <c r="F1073" t="s">
        <v>35</v>
      </c>
      <c r="G1073" t="s">
        <v>36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P1073">
        <v>72.2</v>
      </c>
      <c r="S1073">
        <v>0</v>
      </c>
      <c r="U1073">
        <v>0</v>
      </c>
      <c r="W1073">
        <v>0</v>
      </c>
      <c r="Y1073">
        <v>0</v>
      </c>
      <c r="AA1073">
        <v>0</v>
      </c>
    </row>
    <row r="1074" spans="1:27" x14ac:dyDescent="0.3">
      <c r="A1074" t="s">
        <v>1115</v>
      </c>
      <c r="B1074">
        <v>45799</v>
      </c>
      <c r="C1074" t="s">
        <v>733</v>
      </c>
      <c r="D1074" t="s">
        <v>38</v>
      </c>
      <c r="E1074" t="s">
        <v>34</v>
      </c>
      <c r="F1074" t="s">
        <v>49</v>
      </c>
      <c r="G1074" t="s">
        <v>36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1</v>
      </c>
      <c r="N1074">
        <v>0</v>
      </c>
      <c r="S1074">
        <v>0</v>
      </c>
      <c r="U1074">
        <v>1</v>
      </c>
      <c r="W1074">
        <v>0</v>
      </c>
      <c r="Y1074">
        <v>0</v>
      </c>
      <c r="AA1074">
        <v>1</v>
      </c>
    </row>
    <row r="1075" spans="1:27" x14ac:dyDescent="0.3">
      <c r="A1075" t="s">
        <v>1116</v>
      </c>
      <c r="B1075">
        <v>45710</v>
      </c>
      <c r="C1075" t="s">
        <v>733</v>
      </c>
      <c r="D1075" t="s">
        <v>42</v>
      </c>
      <c r="E1075" t="s">
        <v>29</v>
      </c>
      <c r="F1075" t="s">
        <v>35</v>
      </c>
      <c r="G1075" t="s">
        <v>36</v>
      </c>
      <c r="H1075">
        <v>1</v>
      </c>
      <c r="I1075">
        <v>1</v>
      </c>
      <c r="J1075">
        <v>1</v>
      </c>
      <c r="K1075">
        <v>1</v>
      </c>
      <c r="L1075">
        <v>331.53</v>
      </c>
      <c r="M1075">
        <v>2</v>
      </c>
      <c r="N1075">
        <v>0</v>
      </c>
      <c r="O1075">
        <v>4</v>
      </c>
      <c r="P1075">
        <v>56.8</v>
      </c>
      <c r="S1075">
        <v>0</v>
      </c>
      <c r="U1075">
        <v>1</v>
      </c>
      <c r="W1075">
        <v>1</v>
      </c>
      <c r="Y1075">
        <v>1</v>
      </c>
      <c r="AA1075">
        <v>2</v>
      </c>
    </row>
    <row r="1076" spans="1:27" x14ac:dyDescent="0.3">
      <c r="A1076" t="s">
        <v>1117</v>
      </c>
      <c r="B1076">
        <v>45670</v>
      </c>
      <c r="C1076" t="s">
        <v>733</v>
      </c>
      <c r="D1076" t="s">
        <v>38</v>
      </c>
      <c r="E1076" t="s">
        <v>34</v>
      </c>
      <c r="F1076" t="s">
        <v>39</v>
      </c>
      <c r="G1076" t="s">
        <v>31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P1076">
        <v>62.5</v>
      </c>
      <c r="S1076">
        <v>1</v>
      </c>
      <c r="U1076">
        <v>1</v>
      </c>
      <c r="W1076">
        <v>0</v>
      </c>
      <c r="Y1076">
        <v>0</v>
      </c>
      <c r="AA1076">
        <v>0</v>
      </c>
    </row>
    <row r="1077" spans="1:27" x14ac:dyDescent="0.3">
      <c r="A1077" t="s">
        <v>1118</v>
      </c>
      <c r="B1077">
        <v>45796</v>
      </c>
      <c r="C1077" t="s">
        <v>733</v>
      </c>
      <c r="D1077" t="s">
        <v>42</v>
      </c>
      <c r="E1077" t="s">
        <v>34</v>
      </c>
      <c r="F1077" t="s">
        <v>35</v>
      </c>
      <c r="G1077" t="s">
        <v>36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P1077">
        <v>63.4</v>
      </c>
      <c r="S1077">
        <v>0</v>
      </c>
      <c r="U1077">
        <v>1</v>
      </c>
      <c r="W1077">
        <v>0</v>
      </c>
      <c r="Y1077">
        <v>0</v>
      </c>
      <c r="AA1077">
        <v>0</v>
      </c>
    </row>
    <row r="1078" spans="1:27" x14ac:dyDescent="0.3">
      <c r="A1078" t="s">
        <v>1119</v>
      </c>
      <c r="B1078">
        <v>45724</v>
      </c>
      <c r="C1078" t="s">
        <v>733</v>
      </c>
      <c r="D1078" t="s">
        <v>28</v>
      </c>
      <c r="E1078" t="s">
        <v>44</v>
      </c>
      <c r="F1078" t="s">
        <v>35</v>
      </c>
      <c r="G1078" t="s">
        <v>31</v>
      </c>
      <c r="H1078">
        <v>1</v>
      </c>
      <c r="I1078">
        <v>1</v>
      </c>
      <c r="J1078">
        <v>1</v>
      </c>
      <c r="K1078">
        <v>1</v>
      </c>
      <c r="L1078">
        <v>774.78</v>
      </c>
      <c r="M1078">
        <v>0</v>
      </c>
      <c r="N1078">
        <v>0</v>
      </c>
      <c r="O1078">
        <v>3</v>
      </c>
      <c r="P1078">
        <v>46.8</v>
      </c>
      <c r="S1078">
        <v>0</v>
      </c>
      <c r="U1078">
        <v>1</v>
      </c>
      <c r="W1078">
        <v>1</v>
      </c>
      <c r="Y1078">
        <v>1</v>
      </c>
      <c r="AA1078">
        <v>0</v>
      </c>
    </row>
    <row r="1079" spans="1:27" x14ac:dyDescent="0.3">
      <c r="A1079" t="s">
        <v>1120</v>
      </c>
      <c r="B1079">
        <v>45767</v>
      </c>
      <c r="C1079" t="s">
        <v>733</v>
      </c>
      <c r="D1079" t="s">
        <v>42</v>
      </c>
      <c r="E1079" t="s">
        <v>34</v>
      </c>
      <c r="F1079" t="s">
        <v>35</v>
      </c>
      <c r="G1079" t="s">
        <v>36</v>
      </c>
      <c r="H1079">
        <v>1</v>
      </c>
      <c r="I1079">
        <v>1</v>
      </c>
      <c r="J1079">
        <v>1</v>
      </c>
      <c r="K1079">
        <v>1</v>
      </c>
      <c r="L1079">
        <v>422.02</v>
      </c>
      <c r="M1079">
        <v>0</v>
      </c>
      <c r="N1079">
        <v>0</v>
      </c>
      <c r="O1079">
        <v>8</v>
      </c>
      <c r="P1079">
        <v>86.5</v>
      </c>
      <c r="S1079">
        <v>1</v>
      </c>
      <c r="U1079">
        <v>1</v>
      </c>
      <c r="W1079">
        <v>1</v>
      </c>
      <c r="Y1079">
        <v>1</v>
      </c>
      <c r="AA1079">
        <v>0</v>
      </c>
    </row>
    <row r="1080" spans="1:27" x14ac:dyDescent="0.3">
      <c r="A1080" t="s">
        <v>1121</v>
      </c>
      <c r="B1080">
        <v>45785</v>
      </c>
      <c r="C1080" t="s">
        <v>733</v>
      </c>
      <c r="D1080" t="s">
        <v>33</v>
      </c>
      <c r="E1080" t="s">
        <v>34</v>
      </c>
      <c r="F1080" t="s">
        <v>30</v>
      </c>
      <c r="G1080" t="s">
        <v>31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1</v>
      </c>
      <c r="N1080">
        <v>0</v>
      </c>
      <c r="P1080">
        <v>75.099999999999994</v>
      </c>
      <c r="S1080">
        <v>1</v>
      </c>
      <c r="U1080">
        <v>0</v>
      </c>
      <c r="W1080">
        <v>0</v>
      </c>
      <c r="Y1080">
        <v>0</v>
      </c>
      <c r="AA1080">
        <v>1</v>
      </c>
    </row>
    <row r="1081" spans="1:27" x14ac:dyDescent="0.3">
      <c r="A1081" t="s">
        <v>1122</v>
      </c>
      <c r="B1081">
        <v>45787</v>
      </c>
      <c r="C1081" t="s">
        <v>733</v>
      </c>
      <c r="D1081" t="s">
        <v>42</v>
      </c>
      <c r="E1081" t="s">
        <v>34</v>
      </c>
      <c r="F1081" t="s">
        <v>35</v>
      </c>
      <c r="G1081" t="s">
        <v>31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P1081">
        <v>64.5</v>
      </c>
      <c r="S1081">
        <v>0</v>
      </c>
      <c r="U1081">
        <v>1</v>
      </c>
      <c r="W1081">
        <v>0</v>
      </c>
      <c r="Y1081">
        <v>0</v>
      </c>
      <c r="AA1081">
        <v>0</v>
      </c>
    </row>
    <row r="1082" spans="1:27" x14ac:dyDescent="0.3">
      <c r="A1082" t="s">
        <v>1123</v>
      </c>
      <c r="B1082">
        <v>45744</v>
      </c>
      <c r="C1082" t="s">
        <v>733</v>
      </c>
      <c r="D1082" t="s">
        <v>38</v>
      </c>
      <c r="E1082" t="s">
        <v>34</v>
      </c>
      <c r="F1082" t="s">
        <v>35</v>
      </c>
      <c r="G1082" t="s">
        <v>36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P1082">
        <v>54.2</v>
      </c>
      <c r="S1082">
        <v>0</v>
      </c>
      <c r="U1082">
        <v>1</v>
      </c>
      <c r="W1082">
        <v>0</v>
      </c>
      <c r="Y1082">
        <v>0</v>
      </c>
      <c r="AA1082">
        <v>0</v>
      </c>
    </row>
    <row r="1083" spans="1:27" x14ac:dyDescent="0.3">
      <c r="A1083" t="s">
        <v>1124</v>
      </c>
      <c r="B1083">
        <v>45777</v>
      </c>
      <c r="C1083" t="s">
        <v>733</v>
      </c>
      <c r="D1083" t="s">
        <v>38</v>
      </c>
      <c r="E1083" t="s">
        <v>34</v>
      </c>
      <c r="F1083" t="s">
        <v>39</v>
      </c>
      <c r="G1083" t="s">
        <v>40</v>
      </c>
      <c r="H1083">
        <v>1</v>
      </c>
      <c r="I1083">
        <v>1</v>
      </c>
      <c r="J1083">
        <v>1</v>
      </c>
      <c r="K1083">
        <v>0</v>
      </c>
      <c r="L1083">
        <v>0</v>
      </c>
      <c r="M1083">
        <v>0</v>
      </c>
      <c r="N1083">
        <v>0</v>
      </c>
      <c r="P1083">
        <v>84.1</v>
      </c>
      <c r="S1083">
        <v>0</v>
      </c>
      <c r="U1083">
        <v>1</v>
      </c>
      <c r="W1083">
        <v>1</v>
      </c>
      <c r="Y1083">
        <v>1</v>
      </c>
      <c r="AA1083">
        <v>0</v>
      </c>
    </row>
    <row r="1084" spans="1:27" x14ac:dyDescent="0.3">
      <c r="A1084" t="s">
        <v>1125</v>
      </c>
      <c r="B1084">
        <v>45696</v>
      </c>
      <c r="C1084" t="s">
        <v>733</v>
      </c>
      <c r="D1084" t="s">
        <v>28</v>
      </c>
      <c r="E1084" t="s">
        <v>34</v>
      </c>
      <c r="F1084" t="s">
        <v>35</v>
      </c>
      <c r="G1084" t="s">
        <v>31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1</v>
      </c>
      <c r="N1084">
        <v>0</v>
      </c>
      <c r="P1084">
        <v>49.1</v>
      </c>
      <c r="S1084">
        <v>0</v>
      </c>
      <c r="U1084">
        <v>0</v>
      </c>
      <c r="W1084">
        <v>0</v>
      </c>
      <c r="Y1084">
        <v>0</v>
      </c>
      <c r="AA1084">
        <v>1</v>
      </c>
    </row>
    <row r="1085" spans="1:27" x14ac:dyDescent="0.3">
      <c r="A1085" t="s">
        <v>1126</v>
      </c>
      <c r="B1085">
        <v>45723</v>
      </c>
      <c r="C1085" t="s">
        <v>733</v>
      </c>
      <c r="D1085" t="s">
        <v>42</v>
      </c>
      <c r="E1085" t="s">
        <v>34</v>
      </c>
      <c r="F1085" t="s">
        <v>49</v>
      </c>
      <c r="G1085" t="s">
        <v>40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P1085">
        <v>92.7</v>
      </c>
      <c r="S1085">
        <v>0</v>
      </c>
      <c r="U1085">
        <v>0</v>
      </c>
      <c r="W1085">
        <v>0</v>
      </c>
      <c r="Y1085">
        <v>0</v>
      </c>
      <c r="AA1085">
        <v>0</v>
      </c>
    </row>
    <row r="1086" spans="1:27" x14ac:dyDescent="0.3">
      <c r="A1086" t="s">
        <v>1127</v>
      </c>
      <c r="B1086">
        <v>45798</v>
      </c>
      <c r="C1086" t="s">
        <v>733</v>
      </c>
      <c r="D1086" t="s">
        <v>42</v>
      </c>
      <c r="E1086" t="s">
        <v>34</v>
      </c>
      <c r="F1086" t="s">
        <v>51</v>
      </c>
      <c r="G1086" t="s">
        <v>31</v>
      </c>
      <c r="H1086">
        <v>1</v>
      </c>
      <c r="I1086">
        <v>1</v>
      </c>
      <c r="J1086">
        <v>1</v>
      </c>
      <c r="K1086">
        <v>0</v>
      </c>
      <c r="L1086">
        <v>0</v>
      </c>
      <c r="M1086">
        <v>1</v>
      </c>
      <c r="N1086">
        <v>0</v>
      </c>
      <c r="P1086">
        <v>58.7</v>
      </c>
      <c r="S1086">
        <v>0</v>
      </c>
      <c r="U1086">
        <v>1</v>
      </c>
      <c r="W1086">
        <v>1</v>
      </c>
      <c r="Y1086">
        <v>1</v>
      </c>
      <c r="AA1086">
        <v>1</v>
      </c>
    </row>
    <row r="1087" spans="1:27" x14ac:dyDescent="0.3">
      <c r="A1087" t="s">
        <v>1128</v>
      </c>
      <c r="B1087">
        <v>45759</v>
      </c>
      <c r="C1087" t="s">
        <v>733</v>
      </c>
      <c r="D1087" t="s">
        <v>42</v>
      </c>
      <c r="E1087" t="s">
        <v>34</v>
      </c>
      <c r="F1087" t="s">
        <v>51</v>
      </c>
      <c r="G1087" t="s">
        <v>36</v>
      </c>
      <c r="H1087">
        <v>1</v>
      </c>
      <c r="I1087">
        <v>1</v>
      </c>
      <c r="J1087">
        <v>1</v>
      </c>
      <c r="K1087">
        <v>0</v>
      </c>
      <c r="L1087">
        <v>0</v>
      </c>
      <c r="M1087">
        <v>0</v>
      </c>
      <c r="N1087">
        <v>0</v>
      </c>
      <c r="P1087">
        <v>59.3</v>
      </c>
      <c r="S1087">
        <v>0</v>
      </c>
      <c r="U1087">
        <v>1</v>
      </c>
      <c r="W1087">
        <v>1</v>
      </c>
      <c r="Y1087">
        <v>1</v>
      </c>
      <c r="AA1087">
        <v>0</v>
      </c>
    </row>
    <row r="1088" spans="1:27" x14ac:dyDescent="0.3">
      <c r="A1088" t="s">
        <v>1129</v>
      </c>
      <c r="B1088">
        <v>45690</v>
      </c>
      <c r="C1088" t="s">
        <v>733</v>
      </c>
      <c r="D1088" t="s">
        <v>42</v>
      </c>
      <c r="E1088" t="s">
        <v>34</v>
      </c>
      <c r="F1088" t="s">
        <v>39</v>
      </c>
      <c r="G1088" t="s">
        <v>36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P1088">
        <v>62</v>
      </c>
      <c r="S1088">
        <v>0</v>
      </c>
      <c r="U1088">
        <v>1</v>
      </c>
      <c r="W1088">
        <v>0</v>
      </c>
      <c r="Y1088">
        <v>0</v>
      </c>
      <c r="AA1088">
        <v>0</v>
      </c>
    </row>
    <row r="1089" spans="1:27" x14ac:dyDescent="0.3">
      <c r="A1089" t="s">
        <v>1130</v>
      </c>
      <c r="B1089">
        <v>45769</v>
      </c>
      <c r="C1089" t="s">
        <v>733</v>
      </c>
      <c r="D1089" t="s">
        <v>28</v>
      </c>
      <c r="E1089" t="s">
        <v>44</v>
      </c>
      <c r="F1089" t="s">
        <v>49</v>
      </c>
      <c r="G1089" t="s">
        <v>36</v>
      </c>
      <c r="H1089">
        <v>1</v>
      </c>
      <c r="I1089">
        <v>1</v>
      </c>
      <c r="J1089">
        <v>1</v>
      </c>
      <c r="K1089">
        <v>0</v>
      </c>
      <c r="L1089">
        <v>0</v>
      </c>
      <c r="M1089">
        <v>1</v>
      </c>
      <c r="N1089">
        <v>0</v>
      </c>
      <c r="P1089">
        <v>60.3</v>
      </c>
      <c r="S1089">
        <v>0</v>
      </c>
      <c r="U1089">
        <v>1</v>
      </c>
      <c r="W1089">
        <v>1</v>
      </c>
      <c r="Y1089">
        <v>1</v>
      </c>
      <c r="AA1089">
        <v>1</v>
      </c>
    </row>
    <row r="1090" spans="1:27" x14ac:dyDescent="0.3">
      <c r="A1090" t="s">
        <v>1131</v>
      </c>
      <c r="B1090">
        <v>45696</v>
      </c>
      <c r="C1090" t="s">
        <v>733</v>
      </c>
      <c r="D1090" t="s">
        <v>28</v>
      </c>
      <c r="E1090" t="s">
        <v>34</v>
      </c>
      <c r="F1090" t="s">
        <v>51</v>
      </c>
      <c r="G1090" t="s">
        <v>31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P1090">
        <v>70.5</v>
      </c>
      <c r="S1090">
        <v>0</v>
      </c>
      <c r="U1090">
        <v>1</v>
      </c>
      <c r="W1090">
        <v>0</v>
      </c>
      <c r="Y1090">
        <v>0</v>
      </c>
      <c r="AA1090">
        <v>0</v>
      </c>
    </row>
    <row r="1091" spans="1:27" x14ac:dyDescent="0.3">
      <c r="A1091" t="s">
        <v>1132</v>
      </c>
      <c r="B1091">
        <v>45681</v>
      </c>
      <c r="C1091" t="s">
        <v>733</v>
      </c>
      <c r="D1091" t="s">
        <v>42</v>
      </c>
      <c r="E1091" t="s">
        <v>29</v>
      </c>
      <c r="F1091" t="s">
        <v>30</v>
      </c>
      <c r="G1091" t="s">
        <v>36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P1091">
        <v>36.799999999999997</v>
      </c>
      <c r="S1091">
        <v>0</v>
      </c>
      <c r="U1091">
        <v>1</v>
      </c>
      <c r="W1091">
        <v>0</v>
      </c>
      <c r="Y1091">
        <v>0</v>
      </c>
      <c r="AA1091">
        <v>0</v>
      </c>
    </row>
    <row r="1092" spans="1:27" x14ac:dyDescent="0.3">
      <c r="A1092" t="s">
        <v>1133</v>
      </c>
      <c r="B1092">
        <v>45789</v>
      </c>
      <c r="C1092" t="s">
        <v>733</v>
      </c>
      <c r="D1092" t="s">
        <v>42</v>
      </c>
      <c r="E1092" t="s">
        <v>34</v>
      </c>
      <c r="F1092" t="s">
        <v>39</v>
      </c>
      <c r="G1092" t="s">
        <v>31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1</v>
      </c>
      <c r="N1092">
        <v>0</v>
      </c>
      <c r="P1092">
        <v>73.2</v>
      </c>
      <c r="S1092">
        <v>0</v>
      </c>
      <c r="U1092">
        <v>0</v>
      </c>
      <c r="W1092">
        <v>0</v>
      </c>
      <c r="Y1092">
        <v>0</v>
      </c>
      <c r="AA1092">
        <v>1</v>
      </c>
    </row>
    <row r="1093" spans="1:27" x14ac:dyDescent="0.3">
      <c r="A1093" t="s">
        <v>1134</v>
      </c>
      <c r="B1093">
        <v>45746</v>
      </c>
      <c r="C1093" t="s">
        <v>733</v>
      </c>
      <c r="D1093" t="s">
        <v>28</v>
      </c>
      <c r="E1093" t="s">
        <v>34</v>
      </c>
      <c r="F1093" t="s">
        <v>35</v>
      </c>
      <c r="G1093" t="s">
        <v>31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P1093">
        <v>70.099999999999994</v>
      </c>
      <c r="S1093">
        <v>0</v>
      </c>
      <c r="U1093">
        <v>0</v>
      </c>
      <c r="W1093">
        <v>0</v>
      </c>
      <c r="Y1093">
        <v>0</v>
      </c>
      <c r="AA1093">
        <v>0</v>
      </c>
    </row>
    <row r="1094" spans="1:27" x14ac:dyDescent="0.3">
      <c r="A1094" t="s">
        <v>1135</v>
      </c>
      <c r="B1094">
        <v>45659</v>
      </c>
      <c r="C1094" t="s">
        <v>733</v>
      </c>
      <c r="D1094" t="s">
        <v>42</v>
      </c>
      <c r="E1094" t="s">
        <v>29</v>
      </c>
      <c r="F1094" t="s">
        <v>39</v>
      </c>
      <c r="G1094" t="s">
        <v>31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P1094">
        <v>76.400000000000006</v>
      </c>
      <c r="S1094">
        <v>0</v>
      </c>
      <c r="U1094">
        <v>1</v>
      </c>
      <c r="W1094">
        <v>0</v>
      </c>
      <c r="Y1094">
        <v>0</v>
      </c>
      <c r="AA1094">
        <v>0</v>
      </c>
    </row>
    <row r="1095" spans="1:27" x14ac:dyDescent="0.3">
      <c r="A1095" t="s">
        <v>1136</v>
      </c>
      <c r="B1095">
        <v>45737</v>
      </c>
      <c r="C1095" t="s">
        <v>733</v>
      </c>
      <c r="D1095" t="s">
        <v>42</v>
      </c>
      <c r="E1095" t="s">
        <v>44</v>
      </c>
      <c r="F1095" t="s">
        <v>30</v>
      </c>
      <c r="G1095" t="s">
        <v>31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P1095">
        <v>46.4</v>
      </c>
      <c r="S1095">
        <v>0</v>
      </c>
      <c r="U1095">
        <v>0</v>
      </c>
      <c r="W1095">
        <v>0</v>
      </c>
      <c r="Y1095">
        <v>0</v>
      </c>
      <c r="AA1095">
        <v>0</v>
      </c>
    </row>
    <row r="1096" spans="1:27" x14ac:dyDescent="0.3">
      <c r="A1096" t="s">
        <v>1137</v>
      </c>
      <c r="B1096">
        <v>45682</v>
      </c>
      <c r="C1096" t="s">
        <v>733</v>
      </c>
      <c r="D1096" t="s">
        <v>33</v>
      </c>
      <c r="E1096" t="s">
        <v>34</v>
      </c>
      <c r="F1096" t="s">
        <v>35</v>
      </c>
      <c r="G1096" t="s">
        <v>36</v>
      </c>
      <c r="H1096">
        <v>1</v>
      </c>
      <c r="I1096">
        <v>1</v>
      </c>
      <c r="J1096">
        <v>1</v>
      </c>
      <c r="K1096">
        <v>0</v>
      </c>
      <c r="L1096">
        <v>0</v>
      </c>
      <c r="M1096">
        <v>1</v>
      </c>
      <c r="N1096">
        <v>0</v>
      </c>
      <c r="P1096">
        <v>81.3</v>
      </c>
      <c r="S1096">
        <v>0</v>
      </c>
      <c r="U1096">
        <v>1</v>
      </c>
      <c r="W1096">
        <v>1</v>
      </c>
      <c r="Y1096">
        <v>1</v>
      </c>
      <c r="AA1096">
        <v>1</v>
      </c>
    </row>
    <row r="1097" spans="1:27" x14ac:dyDescent="0.3">
      <c r="A1097" t="s">
        <v>1138</v>
      </c>
      <c r="B1097">
        <v>45669</v>
      </c>
      <c r="C1097" t="s">
        <v>733</v>
      </c>
      <c r="D1097" t="s">
        <v>42</v>
      </c>
      <c r="E1097" t="s">
        <v>44</v>
      </c>
      <c r="F1097" t="s">
        <v>51</v>
      </c>
      <c r="G1097" t="s">
        <v>36</v>
      </c>
      <c r="H1097">
        <v>1</v>
      </c>
      <c r="I1097">
        <v>1</v>
      </c>
      <c r="J1097">
        <v>1</v>
      </c>
      <c r="K1097">
        <v>0</v>
      </c>
      <c r="L1097">
        <v>0</v>
      </c>
      <c r="M1097">
        <v>0</v>
      </c>
      <c r="N1097">
        <v>0</v>
      </c>
      <c r="P1097">
        <v>55.3</v>
      </c>
      <c r="S1097">
        <v>0</v>
      </c>
      <c r="U1097">
        <v>1</v>
      </c>
      <c r="W1097">
        <v>1</v>
      </c>
      <c r="Y1097">
        <v>1</v>
      </c>
      <c r="AA1097">
        <v>0</v>
      </c>
    </row>
    <row r="1098" spans="1:27" x14ac:dyDescent="0.3">
      <c r="A1098" t="s">
        <v>1139</v>
      </c>
      <c r="B1098">
        <v>45734</v>
      </c>
      <c r="C1098" t="s">
        <v>733</v>
      </c>
      <c r="D1098" t="s">
        <v>38</v>
      </c>
      <c r="E1098" t="s">
        <v>29</v>
      </c>
      <c r="F1098" t="s">
        <v>49</v>
      </c>
      <c r="G1098" t="s">
        <v>36</v>
      </c>
      <c r="H1098">
        <v>1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P1098">
        <v>44.7</v>
      </c>
      <c r="S1098">
        <v>0</v>
      </c>
      <c r="U1098">
        <v>1</v>
      </c>
      <c r="W1098">
        <v>0</v>
      </c>
      <c r="Y1098">
        <v>0</v>
      </c>
      <c r="AA1098">
        <v>0</v>
      </c>
    </row>
    <row r="1099" spans="1:27" x14ac:dyDescent="0.3">
      <c r="A1099" t="s">
        <v>1140</v>
      </c>
      <c r="B1099">
        <v>45742</v>
      </c>
      <c r="C1099" t="s">
        <v>733</v>
      </c>
      <c r="D1099" t="s">
        <v>38</v>
      </c>
      <c r="E1099" t="s">
        <v>34</v>
      </c>
      <c r="F1099" t="s">
        <v>39</v>
      </c>
      <c r="G1099" t="s">
        <v>31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P1099">
        <v>67.2</v>
      </c>
      <c r="S1099">
        <v>0</v>
      </c>
      <c r="U1099">
        <v>1</v>
      </c>
      <c r="W1099">
        <v>0</v>
      </c>
      <c r="Y1099">
        <v>0</v>
      </c>
      <c r="AA1099">
        <v>0</v>
      </c>
    </row>
    <row r="1100" spans="1:27" x14ac:dyDescent="0.3">
      <c r="A1100" t="s">
        <v>1141</v>
      </c>
      <c r="B1100">
        <v>45766</v>
      </c>
      <c r="C1100" t="s">
        <v>733</v>
      </c>
      <c r="D1100" t="s">
        <v>28</v>
      </c>
      <c r="E1100" t="s">
        <v>34</v>
      </c>
      <c r="F1100" t="s">
        <v>39</v>
      </c>
      <c r="G1100" t="s">
        <v>31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S1100">
        <v>0</v>
      </c>
      <c r="U1100">
        <v>1</v>
      </c>
      <c r="W1100">
        <v>0</v>
      </c>
      <c r="Y1100">
        <v>0</v>
      </c>
      <c r="AA1100">
        <v>0</v>
      </c>
    </row>
    <row r="1101" spans="1:27" x14ac:dyDescent="0.3">
      <c r="A1101" t="s">
        <v>1142</v>
      </c>
      <c r="B1101">
        <v>45764</v>
      </c>
      <c r="C1101" t="s">
        <v>733</v>
      </c>
      <c r="D1101" t="s">
        <v>38</v>
      </c>
      <c r="E1101" t="s">
        <v>34</v>
      </c>
      <c r="F1101" t="s">
        <v>35</v>
      </c>
      <c r="G1101" t="s">
        <v>40</v>
      </c>
      <c r="H1101">
        <v>1</v>
      </c>
      <c r="I1101">
        <v>1</v>
      </c>
      <c r="J1101">
        <v>1</v>
      </c>
      <c r="K1101">
        <v>0</v>
      </c>
      <c r="L1101">
        <v>0</v>
      </c>
      <c r="M1101">
        <v>1</v>
      </c>
      <c r="N1101">
        <v>0</v>
      </c>
      <c r="P1101">
        <v>70.8</v>
      </c>
      <c r="S1101">
        <v>0</v>
      </c>
      <c r="U1101">
        <v>1</v>
      </c>
      <c r="W1101">
        <v>1</v>
      </c>
      <c r="Y1101">
        <v>1</v>
      </c>
      <c r="AA1101">
        <v>1</v>
      </c>
    </row>
    <row r="1102" spans="1:27" x14ac:dyDescent="0.3">
      <c r="A1102" t="s">
        <v>1143</v>
      </c>
      <c r="B1102">
        <v>45803</v>
      </c>
      <c r="C1102" t="s">
        <v>733</v>
      </c>
      <c r="D1102" t="s">
        <v>42</v>
      </c>
      <c r="E1102" t="s">
        <v>34</v>
      </c>
      <c r="F1102" t="s">
        <v>39</v>
      </c>
      <c r="G1102" t="s">
        <v>36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P1102">
        <v>71.3</v>
      </c>
      <c r="S1102">
        <v>0</v>
      </c>
      <c r="U1102">
        <v>1</v>
      </c>
      <c r="W1102">
        <v>0</v>
      </c>
      <c r="Y1102">
        <v>0</v>
      </c>
      <c r="AA1102">
        <v>0</v>
      </c>
    </row>
    <row r="1103" spans="1:27" x14ac:dyDescent="0.3">
      <c r="A1103" t="s">
        <v>1144</v>
      </c>
      <c r="B1103">
        <v>45761</v>
      </c>
      <c r="C1103" t="s">
        <v>733</v>
      </c>
      <c r="D1103" t="s">
        <v>28</v>
      </c>
      <c r="E1103" t="s">
        <v>34</v>
      </c>
      <c r="F1103" t="s">
        <v>51</v>
      </c>
      <c r="G1103" t="s">
        <v>40</v>
      </c>
      <c r="H1103">
        <v>1</v>
      </c>
      <c r="I1103">
        <v>1</v>
      </c>
      <c r="J1103">
        <v>1</v>
      </c>
      <c r="K1103">
        <v>0</v>
      </c>
      <c r="L1103">
        <v>0</v>
      </c>
      <c r="M1103">
        <v>0</v>
      </c>
      <c r="N1103">
        <v>0</v>
      </c>
      <c r="P1103">
        <v>69.400000000000006</v>
      </c>
      <c r="S1103">
        <v>0</v>
      </c>
      <c r="U1103">
        <v>1</v>
      </c>
      <c r="W1103">
        <v>1</v>
      </c>
      <c r="Y1103">
        <v>1</v>
      </c>
      <c r="AA1103">
        <v>0</v>
      </c>
    </row>
    <row r="1104" spans="1:27" x14ac:dyDescent="0.3">
      <c r="A1104" t="s">
        <v>1145</v>
      </c>
      <c r="B1104">
        <v>45680</v>
      </c>
      <c r="C1104" t="s">
        <v>733</v>
      </c>
      <c r="D1104" t="s">
        <v>42</v>
      </c>
      <c r="E1104" t="s">
        <v>34</v>
      </c>
      <c r="F1104" t="s">
        <v>35</v>
      </c>
      <c r="G1104" t="s">
        <v>31</v>
      </c>
      <c r="H1104">
        <v>1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P1104">
        <v>58.9</v>
      </c>
      <c r="S1104">
        <v>0</v>
      </c>
      <c r="U1104">
        <v>1</v>
      </c>
      <c r="W1104">
        <v>1</v>
      </c>
      <c r="Y1104">
        <v>0</v>
      </c>
      <c r="AA1104">
        <v>0</v>
      </c>
    </row>
    <row r="1105" spans="1:27" x14ac:dyDescent="0.3">
      <c r="A1105" t="s">
        <v>1146</v>
      </c>
      <c r="B1105">
        <v>45663</v>
      </c>
      <c r="C1105" t="s">
        <v>733</v>
      </c>
      <c r="D1105" t="s">
        <v>38</v>
      </c>
      <c r="E1105" t="s">
        <v>34</v>
      </c>
      <c r="F1105" t="s">
        <v>49</v>
      </c>
      <c r="G1105" t="s">
        <v>36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P1105">
        <v>70.7</v>
      </c>
      <c r="S1105">
        <v>0</v>
      </c>
      <c r="U1105">
        <v>0</v>
      </c>
      <c r="W1105">
        <v>0</v>
      </c>
      <c r="Y1105">
        <v>0</v>
      </c>
      <c r="AA1105">
        <v>0</v>
      </c>
    </row>
    <row r="1106" spans="1:27" x14ac:dyDescent="0.3">
      <c r="A1106" t="s">
        <v>1147</v>
      </c>
      <c r="B1106">
        <v>45808</v>
      </c>
      <c r="C1106" t="s">
        <v>733</v>
      </c>
      <c r="D1106" t="s">
        <v>33</v>
      </c>
      <c r="E1106" t="s">
        <v>34</v>
      </c>
      <c r="F1106" t="s">
        <v>30</v>
      </c>
      <c r="G1106" t="s">
        <v>31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P1106">
        <v>60.5</v>
      </c>
      <c r="S1106">
        <v>0</v>
      </c>
      <c r="U1106">
        <v>1</v>
      </c>
      <c r="W1106">
        <v>0</v>
      </c>
      <c r="Y1106">
        <v>0</v>
      </c>
      <c r="AA1106">
        <v>0</v>
      </c>
    </row>
    <row r="1107" spans="1:27" x14ac:dyDescent="0.3">
      <c r="A1107" t="s">
        <v>1148</v>
      </c>
      <c r="B1107">
        <v>45796</v>
      </c>
      <c r="C1107" t="s">
        <v>733</v>
      </c>
      <c r="D1107" t="s">
        <v>28</v>
      </c>
      <c r="E1107" t="s">
        <v>34</v>
      </c>
      <c r="F1107" t="s">
        <v>35</v>
      </c>
      <c r="G1107" t="s">
        <v>31</v>
      </c>
      <c r="H1107">
        <v>1</v>
      </c>
      <c r="I1107">
        <v>1</v>
      </c>
      <c r="J1107">
        <v>1</v>
      </c>
      <c r="K1107">
        <v>0</v>
      </c>
      <c r="L1107">
        <v>0</v>
      </c>
      <c r="M1107">
        <v>0</v>
      </c>
      <c r="N1107">
        <v>0</v>
      </c>
      <c r="P1107">
        <v>77.3</v>
      </c>
      <c r="S1107">
        <v>0</v>
      </c>
      <c r="U1107">
        <v>1</v>
      </c>
      <c r="W1107">
        <v>1</v>
      </c>
      <c r="Y1107">
        <v>1</v>
      </c>
      <c r="AA1107">
        <v>0</v>
      </c>
    </row>
    <row r="1108" spans="1:27" x14ac:dyDescent="0.3">
      <c r="A1108" t="s">
        <v>1149</v>
      </c>
      <c r="B1108">
        <v>45713</v>
      </c>
      <c r="C1108" t="s">
        <v>733</v>
      </c>
      <c r="D1108" t="s">
        <v>28</v>
      </c>
      <c r="E1108" t="s">
        <v>34</v>
      </c>
      <c r="F1108" t="s">
        <v>35</v>
      </c>
      <c r="G1108" t="s">
        <v>36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1</v>
      </c>
      <c r="N1108">
        <v>0</v>
      </c>
      <c r="P1108">
        <v>39.5</v>
      </c>
      <c r="S1108">
        <v>0</v>
      </c>
      <c r="U1108">
        <v>0</v>
      </c>
      <c r="W1108">
        <v>0</v>
      </c>
      <c r="Y1108">
        <v>0</v>
      </c>
      <c r="AA1108">
        <v>1</v>
      </c>
    </row>
    <row r="1109" spans="1:27" x14ac:dyDescent="0.3">
      <c r="A1109" t="s">
        <v>1150</v>
      </c>
      <c r="B1109">
        <v>45667</v>
      </c>
      <c r="C1109" t="s">
        <v>733</v>
      </c>
      <c r="D1109" t="s">
        <v>42</v>
      </c>
      <c r="E1109" t="s">
        <v>44</v>
      </c>
      <c r="F1109" t="s">
        <v>35</v>
      </c>
      <c r="G1109" t="s">
        <v>31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P1109">
        <v>68.099999999999994</v>
      </c>
      <c r="S1109">
        <v>0</v>
      </c>
      <c r="U1109">
        <v>1</v>
      </c>
      <c r="W1109">
        <v>0</v>
      </c>
      <c r="Y1109">
        <v>0</v>
      </c>
      <c r="AA1109">
        <v>0</v>
      </c>
    </row>
    <row r="1110" spans="1:27" x14ac:dyDescent="0.3">
      <c r="A1110" t="s">
        <v>1151</v>
      </c>
      <c r="B1110">
        <v>45790</v>
      </c>
      <c r="C1110" t="s">
        <v>733</v>
      </c>
      <c r="D1110" t="s">
        <v>28</v>
      </c>
      <c r="E1110" t="s">
        <v>44</v>
      </c>
      <c r="F1110" t="s">
        <v>39</v>
      </c>
      <c r="G1110" t="s">
        <v>36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P1110">
        <v>80.3</v>
      </c>
      <c r="S1110">
        <v>0</v>
      </c>
      <c r="U1110">
        <v>0</v>
      </c>
      <c r="W1110">
        <v>0</v>
      </c>
      <c r="Y1110">
        <v>0</v>
      </c>
      <c r="AA1110">
        <v>0</v>
      </c>
    </row>
    <row r="1111" spans="1:27" x14ac:dyDescent="0.3">
      <c r="A1111" t="s">
        <v>1152</v>
      </c>
      <c r="B1111">
        <v>45774</v>
      </c>
      <c r="C1111" t="s">
        <v>733</v>
      </c>
      <c r="D1111" t="s">
        <v>33</v>
      </c>
      <c r="E1111" t="s">
        <v>29</v>
      </c>
      <c r="F1111" t="s">
        <v>35</v>
      </c>
      <c r="G1111" t="s">
        <v>40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P1111">
        <v>77.7</v>
      </c>
      <c r="S1111">
        <v>0</v>
      </c>
      <c r="U1111">
        <v>1</v>
      </c>
      <c r="W1111">
        <v>0</v>
      </c>
      <c r="Y1111">
        <v>0</v>
      </c>
      <c r="AA1111">
        <v>0</v>
      </c>
    </row>
    <row r="1112" spans="1:27" x14ac:dyDescent="0.3">
      <c r="A1112" t="s">
        <v>1153</v>
      </c>
      <c r="B1112">
        <v>45750</v>
      </c>
      <c r="C1112" t="s">
        <v>733</v>
      </c>
      <c r="D1112" t="s">
        <v>42</v>
      </c>
      <c r="E1112" t="s">
        <v>34</v>
      </c>
      <c r="F1112" t="s">
        <v>35</v>
      </c>
      <c r="G1112" t="s">
        <v>36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1</v>
      </c>
      <c r="N1112">
        <v>0</v>
      </c>
      <c r="P1112">
        <v>66.2</v>
      </c>
      <c r="S1112">
        <v>0</v>
      </c>
      <c r="U1112">
        <v>1</v>
      </c>
      <c r="W1112">
        <v>0</v>
      </c>
      <c r="Y1112">
        <v>0</v>
      </c>
      <c r="AA1112">
        <v>1</v>
      </c>
    </row>
    <row r="1113" spans="1:27" x14ac:dyDescent="0.3">
      <c r="A1113" t="s">
        <v>1154</v>
      </c>
      <c r="B1113">
        <v>45742</v>
      </c>
      <c r="C1113" t="s">
        <v>733</v>
      </c>
      <c r="D1113" t="s">
        <v>42</v>
      </c>
      <c r="E1113" t="s">
        <v>34</v>
      </c>
      <c r="F1113" t="s">
        <v>35</v>
      </c>
      <c r="G1113" t="s">
        <v>36</v>
      </c>
      <c r="H1113">
        <v>1</v>
      </c>
      <c r="I1113">
        <v>1</v>
      </c>
      <c r="J1113">
        <v>1</v>
      </c>
      <c r="K1113">
        <v>0</v>
      </c>
      <c r="L1113">
        <v>0</v>
      </c>
      <c r="M1113">
        <v>1</v>
      </c>
      <c r="N1113">
        <v>0</v>
      </c>
      <c r="P1113">
        <v>43.9</v>
      </c>
      <c r="S1113">
        <v>0</v>
      </c>
      <c r="U1113">
        <v>1</v>
      </c>
      <c r="W1113">
        <v>1</v>
      </c>
      <c r="Y1113">
        <v>1</v>
      </c>
      <c r="AA1113">
        <v>1</v>
      </c>
    </row>
    <row r="1114" spans="1:27" x14ac:dyDescent="0.3">
      <c r="A1114" t="s">
        <v>1155</v>
      </c>
      <c r="B1114">
        <v>45688</v>
      </c>
      <c r="C1114" t="s">
        <v>733</v>
      </c>
      <c r="D1114" t="s">
        <v>42</v>
      </c>
      <c r="E1114" t="s">
        <v>34</v>
      </c>
      <c r="F1114" t="s">
        <v>35</v>
      </c>
      <c r="G1114" t="s">
        <v>31</v>
      </c>
      <c r="H1114">
        <v>1</v>
      </c>
      <c r="I1114">
        <v>1</v>
      </c>
      <c r="J1114">
        <v>1</v>
      </c>
      <c r="K1114">
        <v>0</v>
      </c>
      <c r="L1114">
        <v>0</v>
      </c>
      <c r="M1114">
        <v>2</v>
      </c>
      <c r="N1114">
        <v>0</v>
      </c>
      <c r="P1114">
        <v>59.1</v>
      </c>
      <c r="S1114">
        <v>0</v>
      </c>
      <c r="U1114">
        <v>1</v>
      </c>
      <c r="W1114">
        <v>1</v>
      </c>
      <c r="Y1114">
        <v>1</v>
      </c>
      <c r="AA1114">
        <v>2</v>
      </c>
    </row>
    <row r="1115" spans="1:27" x14ac:dyDescent="0.3">
      <c r="A1115" t="s">
        <v>1156</v>
      </c>
      <c r="B1115">
        <v>45682</v>
      </c>
      <c r="C1115" t="s">
        <v>733</v>
      </c>
      <c r="D1115" t="s">
        <v>42</v>
      </c>
      <c r="E1115" t="s">
        <v>34</v>
      </c>
      <c r="F1115" t="s">
        <v>51</v>
      </c>
      <c r="G1115" t="s">
        <v>36</v>
      </c>
      <c r="H1115">
        <v>1</v>
      </c>
      <c r="I1115">
        <v>1</v>
      </c>
      <c r="J1115">
        <v>1</v>
      </c>
      <c r="K1115">
        <v>1</v>
      </c>
      <c r="L1115">
        <v>416.94</v>
      </c>
      <c r="M1115">
        <v>1</v>
      </c>
      <c r="N1115">
        <v>0</v>
      </c>
      <c r="O1115">
        <v>11</v>
      </c>
      <c r="P1115">
        <v>67</v>
      </c>
      <c r="S1115">
        <v>0</v>
      </c>
      <c r="U1115">
        <v>1</v>
      </c>
      <c r="W1115">
        <v>1</v>
      </c>
      <c r="Y1115">
        <v>1</v>
      </c>
      <c r="AA1115">
        <v>1</v>
      </c>
    </row>
    <row r="1116" spans="1:27" x14ac:dyDescent="0.3">
      <c r="A1116" t="s">
        <v>1157</v>
      </c>
      <c r="B1116">
        <v>45694</v>
      </c>
      <c r="C1116" t="s">
        <v>733</v>
      </c>
      <c r="D1116" t="s">
        <v>33</v>
      </c>
      <c r="E1116" t="s">
        <v>34</v>
      </c>
      <c r="F1116" t="s">
        <v>49</v>
      </c>
      <c r="G1116" t="s">
        <v>31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P1116">
        <v>47.9</v>
      </c>
      <c r="S1116">
        <v>1</v>
      </c>
      <c r="U1116">
        <v>1</v>
      </c>
      <c r="W1116">
        <v>0</v>
      </c>
      <c r="Y1116">
        <v>0</v>
      </c>
      <c r="AA1116">
        <v>0</v>
      </c>
    </row>
    <row r="1117" spans="1:27" x14ac:dyDescent="0.3">
      <c r="A1117" t="s">
        <v>1158</v>
      </c>
      <c r="B1117">
        <v>45726</v>
      </c>
      <c r="C1117" t="s">
        <v>733</v>
      </c>
      <c r="D1117" t="s">
        <v>38</v>
      </c>
      <c r="E1117" t="s">
        <v>34</v>
      </c>
      <c r="F1117" t="s">
        <v>39</v>
      </c>
      <c r="G1117" t="s">
        <v>36</v>
      </c>
      <c r="H1117">
        <v>1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P1117">
        <v>41.5</v>
      </c>
      <c r="S1117">
        <v>0</v>
      </c>
      <c r="U1117">
        <v>1</v>
      </c>
      <c r="W1117">
        <v>1</v>
      </c>
      <c r="Y1117">
        <v>0</v>
      </c>
      <c r="AA1117">
        <v>0</v>
      </c>
    </row>
    <row r="1118" spans="1:27" x14ac:dyDescent="0.3">
      <c r="A1118" t="s">
        <v>1159</v>
      </c>
      <c r="B1118">
        <v>45683</v>
      </c>
      <c r="C1118" t="s">
        <v>733</v>
      </c>
      <c r="D1118" t="s">
        <v>33</v>
      </c>
      <c r="E1118" t="s">
        <v>34</v>
      </c>
      <c r="F1118" t="s">
        <v>35</v>
      </c>
      <c r="G1118" t="s">
        <v>31</v>
      </c>
      <c r="H1118">
        <v>1</v>
      </c>
      <c r="I1118">
        <v>1</v>
      </c>
      <c r="J1118">
        <v>1</v>
      </c>
      <c r="K1118">
        <v>0</v>
      </c>
      <c r="L1118">
        <v>0</v>
      </c>
      <c r="M1118">
        <v>3</v>
      </c>
      <c r="N1118">
        <v>0</v>
      </c>
      <c r="P1118">
        <v>30.6</v>
      </c>
      <c r="S1118">
        <v>0</v>
      </c>
      <c r="U1118">
        <v>1</v>
      </c>
      <c r="W1118">
        <v>1</v>
      </c>
      <c r="Y1118">
        <v>1</v>
      </c>
      <c r="AA1118">
        <v>3</v>
      </c>
    </row>
    <row r="1119" spans="1:27" x14ac:dyDescent="0.3">
      <c r="A1119" t="s">
        <v>1160</v>
      </c>
      <c r="B1119">
        <v>45658</v>
      </c>
      <c r="C1119" t="s">
        <v>733</v>
      </c>
      <c r="D1119" t="s">
        <v>38</v>
      </c>
      <c r="E1119" t="s">
        <v>34</v>
      </c>
      <c r="F1119" t="s">
        <v>39</v>
      </c>
      <c r="G1119" t="s">
        <v>36</v>
      </c>
      <c r="H1119">
        <v>1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P1119">
        <v>91.5</v>
      </c>
      <c r="S1119">
        <v>0</v>
      </c>
      <c r="U1119">
        <v>1</v>
      </c>
      <c r="W1119">
        <v>1</v>
      </c>
      <c r="Y1119">
        <v>0</v>
      </c>
      <c r="AA1119">
        <v>0</v>
      </c>
    </row>
    <row r="1120" spans="1:27" x14ac:dyDescent="0.3">
      <c r="A1120" t="s">
        <v>1161</v>
      </c>
      <c r="B1120">
        <v>45775</v>
      </c>
      <c r="C1120" t="s">
        <v>733</v>
      </c>
      <c r="D1120" t="s">
        <v>28</v>
      </c>
      <c r="E1120" t="s">
        <v>29</v>
      </c>
      <c r="F1120" t="s">
        <v>51</v>
      </c>
      <c r="G1120" t="s">
        <v>31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P1120">
        <v>80.8</v>
      </c>
      <c r="S1120">
        <v>0</v>
      </c>
      <c r="U1120">
        <v>1</v>
      </c>
      <c r="W1120">
        <v>0</v>
      </c>
      <c r="Y1120">
        <v>0</v>
      </c>
      <c r="AA1120">
        <v>0</v>
      </c>
    </row>
    <row r="1121" spans="1:27" x14ac:dyDescent="0.3">
      <c r="A1121" t="s">
        <v>1162</v>
      </c>
      <c r="B1121">
        <v>45751</v>
      </c>
      <c r="C1121" t="s">
        <v>733</v>
      </c>
      <c r="D1121" t="s">
        <v>28</v>
      </c>
      <c r="E1121" t="s">
        <v>34</v>
      </c>
      <c r="F1121" t="s">
        <v>35</v>
      </c>
      <c r="G1121" t="s">
        <v>40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P1121">
        <v>68.099999999999994</v>
      </c>
      <c r="S1121">
        <v>0</v>
      </c>
      <c r="U1121">
        <v>1</v>
      </c>
      <c r="W1121">
        <v>0</v>
      </c>
      <c r="Y1121">
        <v>0</v>
      </c>
      <c r="AA1121">
        <v>0</v>
      </c>
    </row>
    <row r="1122" spans="1:27" x14ac:dyDescent="0.3">
      <c r="A1122" t="s">
        <v>1163</v>
      </c>
      <c r="B1122">
        <v>45718</v>
      </c>
      <c r="C1122" t="s">
        <v>733</v>
      </c>
      <c r="D1122" t="s">
        <v>38</v>
      </c>
      <c r="E1122" t="s">
        <v>34</v>
      </c>
      <c r="F1122" t="s">
        <v>39</v>
      </c>
      <c r="G1122" t="s">
        <v>36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P1122">
        <v>80.3</v>
      </c>
      <c r="S1122">
        <v>0</v>
      </c>
      <c r="U1122">
        <v>1</v>
      </c>
      <c r="W1122">
        <v>0</v>
      </c>
      <c r="Y1122">
        <v>0</v>
      </c>
      <c r="AA1122">
        <v>0</v>
      </c>
    </row>
    <row r="1123" spans="1:27" x14ac:dyDescent="0.3">
      <c r="A1123" t="s">
        <v>1164</v>
      </c>
      <c r="B1123">
        <v>45735</v>
      </c>
      <c r="C1123" t="s">
        <v>733</v>
      </c>
      <c r="D1123" t="s">
        <v>42</v>
      </c>
      <c r="E1123" t="s">
        <v>44</v>
      </c>
      <c r="F1123" t="s">
        <v>35</v>
      </c>
      <c r="G1123" t="s">
        <v>31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P1123">
        <v>44.4</v>
      </c>
      <c r="S1123">
        <v>0</v>
      </c>
      <c r="U1123">
        <v>1</v>
      </c>
      <c r="W1123">
        <v>0</v>
      </c>
      <c r="Y1123">
        <v>0</v>
      </c>
      <c r="AA1123">
        <v>0</v>
      </c>
    </row>
    <row r="1124" spans="1:27" x14ac:dyDescent="0.3">
      <c r="A1124" t="s">
        <v>1165</v>
      </c>
      <c r="B1124">
        <v>45677</v>
      </c>
      <c r="C1124" t="s">
        <v>733</v>
      </c>
      <c r="D1124" t="s">
        <v>42</v>
      </c>
      <c r="E1124" t="s">
        <v>29</v>
      </c>
      <c r="F1124" t="s">
        <v>35</v>
      </c>
      <c r="G1124" t="s">
        <v>31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P1124">
        <v>51.9</v>
      </c>
      <c r="S1124">
        <v>0</v>
      </c>
      <c r="U1124">
        <v>0</v>
      </c>
      <c r="W1124">
        <v>0</v>
      </c>
      <c r="Y1124">
        <v>0</v>
      </c>
      <c r="AA1124">
        <v>0</v>
      </c>
    </row>
    <row r="1125" spans="1:27" x14ac:dyDescent="0.3">
      <c r="A1125" t="s">
        <v>1166</v>
      </c>
      <c r="B1125">
        <v>45750</v>
      </c>
      <c r="C1125" t="s">
        <v>733</v>
      </c>
      <c r="D1125" t="s">
        <v>38</v>
      </c>
      <c r="E1125" t="s">
        <v>34</v>
      </c>
      <c r="F1125" t="s">
        <v>39</v>
      </c>
      <c r="G1125" t="s">
        <v>36</v>
      </c>
      <c r="H1125">
        <v>1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P1125">
        <v>49.8</v>
      </c>
      <c r="S1125">
        <v>0</v>
      </c>
      <c r="U1125">
        <v>1</v>
      </c>
      <c r="W1125">
        <v>1</v>
      </c>
      <c r="Y1125">
        <v>0</v>
      </c>
      <c r="AA1125">
        <v>0</v>
      </c>
    </row>
    <row r="1126" spans="1:27" x14ac:dyDescent="0.3">
      <c r="A1126" t="s">
        <v>1167</v>
      </c>
      <c r="B1126">
        <v>45668</v>
      </c>
      <c r="C1126" t="s">
        <v>733</v>
      </c>
      <c r="D1126" t="s">
        <v>38</v>
      </c>
      <c r="E1126" t="s">
        <v>29</v>
      </c>
      <c r="F1126" t="s">
        <v>51</v>
      </c>
      <c r="G1126" t="s">
        <v>36</v>
      </c>
      <c r="H1126">
        <v>1</v>
      </c>
      <c r="I1126">
        <v>1</v>
      </c>
      <c r="J1126">
        <v>1</v>
      </c>
      <c r="K1126">
        <v>0</v>
      </c>
      <c r="L1126">
        <v>0</v>
      </c>
      <c r="M1126">
        <v>3</v>
      </c>
      <c r="N1126">
        <v>0</v>
      </c>
      <c r="P1126">
        <v>62.1</v>
      </c>
      <c r="S1126">
        <v>0</v>
      </c>
      <c r="U1126">
        <v>1</v>
      </c>
      <c r="W1126">
        <v>1</v>
      </c>
      <c r="Y1126">
        <v>1</v>
      </c>
      <c r="AA1126">
        <v>3</v>
      </c>
    </row>
    <row r="1127" spans="1:27" x14ac:dyDescent="0.3">
      <c r="A1127" t="s">
        <v>1168</v>
      </c>
      <c r="B1127">
        <v>45690</v>
      </c>
      <c r="C1127" t="s">
        <v>733</v>
      </c>
      <c r="D1127" t="s">
        <v>33</v>
      </c>
      <c r="E1127" t="s">
        <v>29</v>
      </c>
      <c r="F1127" t="s">
        <v>51</v>
      </c>
      <c r="G1127" t="s">
        <v>31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P1127">
        <v>91.3</v>
      </c>
      <c r="S1127">
        <v>0</v>
      </c>
      <c r="U1127">
        <v>1</v>
      </c>
      <c r="W1127">
        <v>0</v>
      </c>
      <c r="Y1127">
        <v>0</v>
      </c>
      <c r="AA1127">
        <v>0</v>
      </c>
    </row>
    <row r="1128" spans="1:27" x14ac:dyDescent="0.3">
      <c r="A1128" t="s">
        <v>1169</v>
      </c>
      <c r="B1128">
        <v>45748</v>
      </c>
      <c r="C1128" t="s">
        <v>733</v>
      </c>
      <c r="D1128" t="s">
        <v>42</v>
      </c>
      <c r="E1128" t="s">
        <v>34</v>
      </c>
      <c r="F1128" t="s">
        <v>35</v>
      </c>
      <c r="G1128" t="s">
        <v>31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P1128">
        <v>66.400000000000006</v>
      </c>
      <c r="S1128">
        <v>0</v>
      </c>
      <c r="U1128">
        <v>1</v>
      </c>
      <c r="W1128">
        <v>0</v>
      </c>
      <c r="Y1128">
        <v>0</v>
      </c>
      <c r="AA1128">
        <v>0</v>
      </c>
    </row>
    <row r="1129" spans="1:27" x14ac:dyDescent="0.3">
      <c r="A1129" t="s">
        <v>1170</v>
      </c>
      <c r="B1129">
        <v>45799</v>
      </c>
      <c r="C1129" t="s">
        <v>733</v>
      </c>
      <c r="D1129" t="s">
        <v>38</v>
      </c>
      <c r="E1129" t="s">
        <v>34</v>
      </c>
      <c r="F1129" t="s">
        <v>35</v>
      </c>
      <c r="G1129" t="s">
        <v>31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P1129">
        <v>41.5</v>
      </c>
      <c r="S1129">
        <v>0</v>
      </c>
      <c r="U1129">
        <v>1</v>
      </c>
      <c r="W1129">
        <v>0</v>
      </c>
      <c r="Y1129">
        <v>0</v>
      </c>
      <c r="AA1129">
        <v>0</v>
      </c>
    </row>
    <row r="1130" spans="1:27" x14ac:dyDescent="0.3">
      <c r="A1130" t="s">
        <v>1171</v>
      </c>
      <c r="B1130">
        <v>45708</v>
      </c>
      <c r="C1130" t="s">
        <v>733</v>
      </c>
      <c r="D1130" t="s">
        <v>33</v>
      </c>
      <c r="E1130" t="s">
        <v>34</v>
      </c>
      <c r="F1130" t="s">
        <v>35</v>
      </c>
      <c r="G1130" t="s">
        <v>31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P1130">
        <v>77.099999999999994</v>
      </c>
      <c r="S1130">
        <v>0</v>
      </c>
      <c r="U1130">
        <v>0</v>
      </c>
      <c r="W1130">
        <v>0</v>
      </c>
      <c r="Y1130">
        <v>0</v>
      </c>
      <c r="AA1130">
        <v>0</v>
      </c>
    </row>
    <row r="1131" spans="1:27" x14ac:dyDescent="0.3">
      <c r="A1131" t="s">
        <v>1172</v>
      </c>
      <c r="B1131">
        <v>45737</v>
      </c>
      <c r="C1131" t="s">
        <v>733</v>
      </c>
      <c r="D1131" t="s">
        <v>33</v>
      </c>
      <c r="E1131" t="s">
        <v>34</v>
      </c>
      <c r="F1131" t="s">
        <v>35</v>
      </c>
      <c r="G1131" t="s">
        <v>36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P1131">
        <v>63.2</v>
      </c>
      <c r="S1131">
        <v>0</v>
      </c>
      <c r="U1131">
        <v>1</v>
      </c>
      <c r="W1131">
        <v>0</v>
      </c>
      <c r="Y1131">
        <v>0</v>
      </c>
      <c r="AA1131">
        <v>0</v>
      </c>
    </row>
    <row r="1132" spans="1:27" x14ac:dyDescent="0.3">
      <c r="A1132" t="s">
        <v>1173</v>
      </c>
      <c r="B1132">
        <v>45778</v>
      </c>
      <c r="C1132" t="s">
        <v>733</v>
      </c>
      <c r="D1132" t="s">
        <v>33</v>
      </c>
      <c r="E1132" t="s">
        <v>29</v>
      </c>
      <c r="F1132" t="s">
        <v>49</v>
      </c>
      <c r="G1132" t="s">
        <v>36</v>
      </c>
      <c r="H1132">
        <v>1</v>
      </c>
      <c r="I1132">
        <v>1</v>
      </c>
      <c r="J1132">
        <v>1</v>
      </c>
      <c r="K1132">
        <v>0</v>
      </c>
      <c r="L1132">
        <v>0</v>
      </c>
      <c r="M1132">
        <v>3</v>
      </c>
      <c r="N1132">
        <v>0</v>
      </c>
      <c r="P1132">
        <v>75.7</v>
      </c>
      <c r="S1132">
        <v>0</v>
      </c>
      <c r="U1132">
        <v>1</v>
      </c>
      <c r="W1132">
        <v>1</v>
      </c>
      <c r="Y1132">
        <v>1</v>
      </c>
      <c r="AA1132">
        <v>3</v>
      </c>
    </row>
    <row r="1133" spans="1:27" x14ac:dyDescent="0.3">
      <c r="A1133" t="s">
        <v>1174</v>
      </c>
      <c r="B1133">
        <v>45663</v>
      </c>
      <c r="C1133" t="s">
        <v>733</v>
      </c>
      <c r="D1133" t="s">
        <v>33</v>
      </c>
      <c r="E1133" t="s">
        <v>34</v>
      </c>
      <c r="F1133" t="s">
        <v>39</v>
      </c>
      <c r="G1133" t="s">
        <v>31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P1133">
        <v>62.9</v>
      </c>
      <c r="S1133">
        <v>0</v>
      </c>
      <c r="U1133">
        <v>0</v>
      </c>
      <c r="W1133">
        <v>0</v>
      </c>
      <c r="Y1133">
        <v>0</v>
      </c>
      <c r="AA1133">
        <v>0</v>
      </c>
    </row>
    <row r="1134" spans="1:27" x14ac:dyDescent="0.3">
      <c r="A1134" t="s">
        <v>1175</v>
      </c>
      <c r="B1134">
        <v>45759</v>
      </c>
      <c r="C1134" t="s">
        <v>733</v>
      </c>
      <c r="D1134" t="s">
        <v>28</v>
      </c>
      <c r="E1134" t="s">
        <v>29</v>
      </c>
      <c r="F1134" t="s">
        <v>39</v>
      </c>
      <c r="G1134" t="s">
        <v>40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3</v>
      </c>
      <c r="N1134">
        <v>0</v>
      </c>
      <c r="P1134">
        <v>64.599999999999994</v>
      </c>
      <c r="S1134">
        <v>0</v>
      </c>
      <c r="U1134">
        <v>1</v>
      </c>
      <c r="W1134">
        <v>0</v>
      </c>
      <c r="Y1134">
        <v>0</v>
      </c>
      <c r="AA1134">
        <v>3</v>
      </c>
    </row>
    <row r="1135" spans="1:27" x14ac:dyDescent="0.3">
      <c r="A1135" t="s">
        <v>1176</v>
      </c>
      <c r="B1135">
        <v>45765</v>
      </c>
      <c r="C1135" t="s">
        <v>733</v>
      </c>
      <c r="D1135" t="s">
        <v>28</v>
      </c>
      <c r="E1135" t="s">
        <v>34</v>
      </c>
      <c r="G1135" t="s">
        <v>31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P1135">
        <v>76.599999999999994</v>
      </c>
      <c r="S1135">
        <v>0</v>
      </c>
      <c r="U1135">
        <v>1</v>
      </c>
      <c r="W1135">
        <v>0</v>
      </c>
      <c r="Y1135">
        <v>0</v>
      </c>
      <c r="AA1135">
        <v>0</v>
      </c>
    </row>
    <row r="1136" spans="1:27" x14ac:dyDescent="0.3">
      <c r="A1136" t="s">
        <v>1177</v>
      </c>
      <c r="B1136">
        <v>45740</v>
      </c>
      <c r="C1136" t="s">
        <v>733</v>
      </c>
      <c r="D1136" t="s">
        <v>38</v>
      </c>
      <c r="E1136" t="s">
        <v>34</v>
      </c>
      <c r="F1136" t="s">
        <v>51</v>
      </c>
      <c r="G1136" t="s">
        <v>31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P1136">
        <v>74.8</v>
      </c>
      <c r="S1136">
        <v>0</v>
      </c>
      <c r="U1136">
        <v>1</v>
      </c>
      <c r="W1136">
        <v>0</v>
      </c>
      <c r="Y1136">
        <v>0</v>
      </c>
      <c r="AA1136">
        <v>0</v>
      </c>
    </row>
    <row r="1137" spans="1:27" x14ac:dyDescent="0.3">
      <c r="A1137" t="s">
        <v>1178</v>
      </c>
      <c r="B1137">
        <v>45734</v>
      </c>
      <c r="C1137" t="s">
        <v>733</v>
      </c>
      <c r="D1137" t="s">
        <v>38</v>
      </c>
      <c r="E1137" t="s">
        <v>29</v>
      </c>
      <c r="F1137" t="s">
        <v>30</v>
      </c>
      <c r="G1137" t="s">
        <v>40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2</v>
      </c>
      <c r="N1137">
        <v>0</v>
      </c>
      <c r="P1137">
        <v>38.1</v>
      </c>
      <c r="S1137">
        <v>0</v>
      </c>
      <c r="U1137">
        <v>1</v>
      </c>
      <c r="W1137">
        <v>0</v>
      </c>
      <c r="Y1137">
        <v>0</v>
      </c>
      <c r="AA1137">
        <v>2</v>
      </c>
    </row>
    <row r="1138" spans="1:27" x14ac:dyDescent="0.3">
      <c r="A1138" t="s">
        <v>1179</v>
      </c>
      <c r="B1138">
        <v>45777</v>
      </c>
      <c r="C1138" t="s">
        <v>733</v>
      </c>
      <c r="D1138" t="s">
        <v>42</v>
      </c>
      <c r="E1138" t="s">
        <v>44</v>
      </c>
      <c r="F1138" t="s">
        <v>39</v>
      </c>
      <c r="G1138" t="s">
        <v>31</v>
      </c>
      <c r="H1138">
        <v>1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P1138">
        <v>60.2</v>
      </c>
      <c r="S1138">
        <v>0</v>
      </c>
      <c r="U1138">
        <v>1</v>
      </c>
      <c r="W1138">
        <v>1</v>
      </c>
      <c r="Y1138">
        <v>0</v>
      </c>
      <c r="AA1138">
        <v>0</v>
      </c>
    </row>
    <row r="1139" spans="1:27" x14ac:dyDescent="0.3">
      <c r="A1139" t="s">
        <v>1180</v>
      </c>
      <c r="B1139">
        <v>45682</v>
      </c>
      <c r="C1139" t="s">
        <v>733</v>
      </c>
      <c r="D1139" t="s">
        <v>33</v>
      </c>
      <c r="E1139" t="s">
        <v>34</v>
      </c>
      <c r="F1139" t="s">
        <v>30</v>
      </c>
      <c r="G1139" t="s">
        <v>36</v>
      </c>
      <c r="H1139">
        <v>1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P1139">
        <v>73.5</v>
      </c>
      <c r="S1139">
        <v>0</v>
      </c>
      <c r="U1139">
        <v>1</v>
      </c>
      <c r="W1139">
        <v>1</v>
      </c>
      <c r="Y1139">
        <v>0</v>
      </c>
      <c r="AA1139">
        <v>0</v>
      </c>
    </row>
    <row r="1140" spans="1:27" x14ac:dyDescent="0.3">
      <c r="A1140" t="s">
        <v>1181</v>
      </c>
      <c r="B1140">
        <v>45757</v>
      </c>
      <c r="C1140" t="s">
        <v>733</v>
      </c>
      <c r="D1140" t="s">
        <v>42</v>
      </c>
      <c r="E1140" t="s">
        <v>34</v>
      </c>
      <c r="F1140" t="s">
        <v>35</v>
      </c>
      <c r="G1140" t="s">
        <v>36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P1140">
        <v>70.900000000000006</v>
      </c>
      <c r="S1140">
        <v>0</v>
      </c>
      <c r="U1140">
        <v>1</v>
      </c>
      <c r="W1140">
        <v>0</v>
      </c>
      <c r="Y1140">
        <v>0</v>
      </c>
      <c r="AA1140">
        <v>0</v>
      </c>
    </row>
    <row r="1141" spans="1:27" x14ac:dyDescent="0.3">
      <c r="A1141" t="s">
        <v>1182</v>
      </c>
      <c r="B1141">
        <v>45667</v>
      </c>
      <c r="C1141" t="s">
        <v>733</v>
      </c>
      <c r="D1141" t="s">
        <v>33</v>
      </c>
      <c r="E1141" t="s">
        <v>34</v>
      </c>
      <c r="F1141" t="s">
        <v>51</v>
      </c>
      <c r="G1141" t="s">
        <v>36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P1141">
        <v>63.7</v>
      </c>
      <c r="S1141">
        <v>0</v>
      </c>
      <c r="U1141">
        <v>1</v>
      </c>
      <c r="W1141">
        <v>0</v>
      </c>
      <c r="Y1141">
        <v>0</v>
      </c>
      <c r="AA1141">
        <v>0</v>
      </c>
    </row>
    <row r="1142" spans="1:27" x14ac:dyDescent="0.3">
      <c r="A1142" t="s">
        <v>1183</v>
      </c>
      <c r="B1142">
        <v>45699</v>
      </c>
      <c r="C1142" t="s">
        <v>733</v>
      </c>
      <c r="D1142" t="s">
        <v>42</v>
      </c>
      <c r="E1142" t="s">
        <v>34</v>
      </c>
      <c r="F1142" t="s">
        <v>39</v>
      </c>
      <c r="G1142" t="s">
        <v>36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P1142">
        <v>86.5</v>
      </c>
      <c r="S1142">
        <v>0</v>
      </c>
      <c r="U1142">
        <v>1</v>
      </c>
      <c r="W1142">
        <v>0</v>
      </c>
      <c r="Y1142">
        <v>0</v>
      </c>
      <c r="AA1142">
        <v>0</v>
      </c>
    </row>
    <row r="1143" spans="1:27" x14ac:dyDescent="0.3">
      <c r="A1143" t="s">
        <v>1184</v>
      </c>
      <c r="B1143">
        <v>45778</v>
      </c>
      <c r="C1143" t="s">
        <v>733</v>
      </c>
      <c r="D1143" t="s">
        <v>38</v>
      </c>
      <c r="E1143" t="s">
        <v>34</v>
      </c>
      <c r="F1143" t="s">
        <v>51</v>
      </c>
      <c r="G1143" t="s">
        <v>31</v>
      </c>
      <c r="H1143">
        <v>1</v>
      </c>
      <c r="I1143">
        <v>1</v>
      </c>
      <c r="J1143">
        <v>1</v>
      </c>
      <c r="K1143">
        <v>1</v>
      </c>
      <c r="L1143">
        <v>921.72</v>
      </c>
      <c r="M1143">
        <v>3</v>
      </c>
      <c r="N1143">
        <v>0</v>
      </c>
      <c r="O1143">
        <v>7</v>
      </c>
      <c r="P1143">
        <v>74.599999999999994</v>
      </c>
      <c r="S1143">
        <v>0</v>
      </c>
      <c r="U1143">
        <v>1</v>
      </c>
      <c r="W1143">
        <v>1</v>
      </c>
      <c r="Y1143">
        <v>1</v>
      </c>
      <c r="AA1143">
        <v>3</v>
      </c>
    </row>
    <row r="1144" spans="1:27" x14ac:dyDescent="0.3">
      <c r="A1144" t="s">
        <v>1185</v>
      </c>
      <c r="B1144">
        <v>45675</v>
      </c>
      <c r="C1144" t="s">
        <v>733</v>
      </c>
      <c r="D1144" t="s">
        <v>38</v>
      </c>
      <c r="E1144" t="s">
        <v>34</v>
      </c>
      <c r="F1144" t="s">
        <v>35</v>
      </c>
      <c r="G1144" t="s">
        <v>36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P1144">
        <v>46.6</v>
      </c>
      <c r="S1144">
        <v>1</v>
      </c>
      <c r="U1144">
        <v>1</v>
      </c>
      <c r="W1144">
        <v>0</v>
      </c>
      <c r="Y1144">
        <v>0</v>
      </c>
      <c r="AA1144">
        <v>0</v>
      </c>
    </row>
    <row r="1145" spans="1:27" x14ac:dyDescent="0.3">
      <c r="A1145" t="s">
        <v>1186</v>
      </c>
      <c r="B1145">
        <v>45659</v>
      </c>
      <c r="C1145" t="s">
        <v>733</v>
      </c>
      <c r="D1145" t="s">
        <v>28</v>
      </c>
      <c r="E1145" t="s">
        <v>34</v>
      </c>
      <c r="F1145" t="s">
        <v>39</v>
      </c>
      <c r="G1145" t="s">
        <v>36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P1145">
        <v>61.2</v>
      </c>
      <c r="S1145">
        <v>0</v>
      </c>
      <c r="U1145">
        <v>0</v>
      </c>
      <c r="W1145">
        <v>0</v>
      </c>
      <c r="Y1145">
        <v>0</v>
      </c>
      <c r="AA1145">
        <v>0</v>
      </c>
    </row>
    <row r="1146" spans="1:27" x14ac:dyDescent="0.3">
      <c r="A1146" t="s">
        <v>1187</v>
      </c>
      <c r="B1146">
        <v>45788</v>
      </c>
      <c r="C1146" t="s">
        <v>733</v>
      </c>
      <c r="D1146" t="s">
        <v>33</v>
      </c>
      <c r="E1146" t="s">
        <v>34</v>
      </c>
      <c r="F1146" t="s">
        <v>35</v>
      </c>
      <c r="G1146" t="s">
        <v>36</v>
      </c>
      <c r="H1146">
        <v>1</v>
      </c>
      <c r="I1146">
        <v>1</v>
      </c>
      <c r="J1146">
        <v>1</v>
      </c>
      <c r="K1146">
        <v>1</v>
      </c>
      <c r="L1146">
        <v>290.39</v>
      </c>
      <c r="M1146">
        <v>0</v>
      </c>
      <c r="N1146">
        <v>0</v>
      </c>
      <c r="O1146">
        <v>4</v>
      </c>
      <c r="P1146">
        <v>54.4</v>
      </c>
      <c r="S1146">
        <v>0</v>
      </c>
      <c r="U1146">
        <v>1</v>
      </c>
      <c r="W1146">
        <v>1</v>
      </c>
      <c r="Y1146">
        <v>1</v>
      </c>
      <c r="AA1146">
        <v>0</v>
      </c>
    </row>
    <row r="1147" spans="1:27" x14ac:dyDescent="0.3">
      <c r="A1147" t="s">
        <v>1188</v>
      </c>
      <c r="B1147">
        <v>45738</v>
      </c>
      <c r="C1147" t="s">
        <v>733</v>
      </c>
      <c r="D1147" t="s">
        <v>28</v>
      </c>
      <c r="E1147" t="s">
        <v>34</v>
      </c>
      <c r="F1147" t="s">
        <v>49</v>
      </c>
      <c r="G1147" t="s">
        <v>36</v>
      </c>
      <c r="H1147">
        <v>1</v>
      </c>
      <c r="I1147">
        <v>1</v>
      </c>
      <c r="J1147">
        <v>1</v>
      </c>
      <c r="K1147">
        <v>0</v>
      </c>
      <c r="L1147">
        <v>0</v>
      </c>
      <c r="M1147">
        <v>0</v>
      </c>
      <c r="N1147">
        <v>0</v>
      </c>
      <c r="P1147">
        <v>72</v>
      </c>
      <c r="S1147">
        <v>1</v>
      </c>
      <c r="U1147">
        <v>1</v>
      </c>
      <c r="W1147">
        <v>1</v>
      </c>
      <c r="Y1147">
        <v>1</v>
      </c>
      <c r="AA1147">
        <v>0</v>
      </c>
    </row>
    <row r="1148" spans="1:27" x14ac:dyDescent="0.3">
      <c r="A1148" t="s">
        <v>1189</v>
      </c>
      <c r="B1148">
        <v>45779</v>
      </c>
      <c r="C1148" t="s">
        <v>733</v>
      </c>
      <c r="D1148" t="s">
        <v>42</v>
      </c>
      <c r="E1148" t="s">
        <v>34</v>
      </c>
      <c r="F1148" t="s">
        <v>51</v>
      </c>
      <c r="G1148" t="s">
        <v>40</v>
      </c>
      <c r="H1148">
        <v>1</v>
      </c>
      <c r="I1148">
        <v>1</v>
      </c>
      <c r="J1148">
        <v>1</v>
      </c>
      <c r="K1148">
        <v>1</v>
      </c>
      <c r="L1148">
        <v>1858.85</v>
      </c>
      <c r="M1148">
        <v>0</v>
      </c>
      <c r="N1148">
        <v>0</v>
      </c>
      <c r="O1148">
        <v>8</v>
      </c>
      <c r="P1148">
        <v>88.6</v>
      </c>
      <c r="S1148">
        <v>0</v>
      </c>
      <c r="U1148">
        <v>1</v>
      </c>
      <c r="W1148">
        <v>1</v>
      </c>
      <c r="Y1148">
        <v>1</v>
      </c>
      <c r="AA1148">
        <v>0</v>
      </c>
    </row>
    <row r="1149" spans="1:27" x14ac:dyDescent="0.3">
      <c r="A1149" t="s">
        <v>1190</v>
      </c>
      <c r="B1149">
        <v>45803</v>
      </c>
      <c r="C1149" t="s">
        <v>733</v>
      </c>
      <c r="D1149" t="s">
        <v>38</v>
      </c>
      <c r="E1149" t="s">
        <v>29</v>
      </c>
      <c r="G1149" t="s">
        <v>31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P1149">
        <v>77.599999999999994</v>
      </c>
      <c r="S1149">
        <v>1</v>
      </c>
      <c r="U1149">
        <v>1</v>
      </c>
      <c r="W1149">
        <v>0</v>
      </c>
      <c r="Y1149">
        <v>0</v>
      </c>
      <c r="AA1149">
        <v>0</v>
      </c>
    </row>
    <row r="1150" spans="1:27" x14ac:dyDescent="0.3">
      <c r="A1150" t="s">
        <v>1191</v>
      </c>
      <c r="B1150">
        <v>45729</v>
      </c>
      <c r="C1150" t="s">
        <v>733</v>
      </c>
      <c r="D1150" t="s">
        <v>42</v>
      </c>
      <c r="E1150" t="s">
        <v>34</v>
      </c>
      <c r="F1150" t="s">
        <v>35</v>
      </c>
      <c r="G1150" t="s">
        <v>31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1</v>
      </c>
      <c r="N1150">
        <v>0</v>
      </c>
      <c r="P1150">
        <v>44.3</v>
      </c>
      <c r="S1150">
        <v>0</v>
      </c>
      <c r="U1150">
        <v>1</v>
      </c>
      <c r="W1150">
        <v>0</v>
      </c>
      <c r="Y1150">
        <v>0</v>
      </c>
      <c r="AA1150">
        <v>1</v>
      </c>
    </row>
    <row r="1151" spans="1:27" x14ac:dyDescent="0.3">
      <c r="A1151" t="s">
        <v>1192</v>
      </c>
      <c r="B1151">
        <v>45794</v>
      </c>
      <c r="C1151" t="s">
        <v>733</v>
      </c>
      <c r="D1151" t="s">
        <v>42</v>
      </c>
      <c r="E1151" t="s">
        <v>29</v>
      </c>
      <c r="F1151" t="s">
        <v>39</v>
      </c>
      <c r="G1151" t="s">
        <v>36</v>
      </c>
      <c r="H1151">
        <v>1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P1151">
        <v>49</v>
      </c>
      <c r="S1151">
        <v>0</v>
      </c>
      <c r="U1151">
        <v>1</v>
      </c>
      <c r="W1151">
        <v>1</v>
      </c>
      <c r="Y1151">
        <v>0</v>
      </c>
      <c r="AA1151">
        <v>0</v>
      </c>
    </row>
    <row r="1152" spans="1:27" x14ac:dyDescent="0.3">
      <c r="A1152" t="s">
        <v>1193</v>
      </c>
      <c r="B1152">
        <v>45729</v>
      </c>
      <c r="C1152" t="s">
        <v>733</v>
      </c>
      <c r="D1152" t="s">
        <v>28</v>
      </c>
      <c r="E1152" t="s">
        <v>29</v>
      </c>
      <c r="F1152" t="s">
        <v>49</v>
      </c>
      <c r="G1152" t="s">
        <v>40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P1152">
        <v>53.9</v>
      </c>
      <c r="S1152">
        <v>0</v>
      </c>
      <c r="U1152">
        <v>1</v>
      </c>
      <c r="W1152">
        <v>0</v>
      </c>
      <c r="Y1152">
        <v>0</v>
      </c>
      <c r="AA1152">
        <v>0</v>
      </c>
    </row>
    <row r="1153" spans="1:27" x14ac:dyDescent="0.3">
      <c r="A1153" t="s">
        <v>1194</v>
      </c>
      <c r="B1153">
        <v>45699</v>
      </c>
      <c r="C1153" t="s">
        <v>733</v>
      </c>
      <c r="D1153" t="s">
        <v>38</v>
      </c>
      <c r="E1153" t="s">
        <v>29</v>
      </c>
      <c r="F1153" t="s">
        <v>35</v>
      </c>
      <c r="G1153" t="s">
        <v>31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1</v>
      </c>
      <c r="N1153">
        <v>0</v>
      </c>
      <c r="P1153">
        <v>69</v>
      </c>
      <c r="S1153">
        <v>0</v>
      </c>
      <c r="U1153">
        <v>1</v>
      </c>
      <c r="W1153">
        <v>0</v>
      </c>
      <c r="Y1153">
        <v>0</v>
      </c>
      <c r="AA1153">
        <v>1</v>
      </c>
    </row>
    <row r="1154" spans="1:27" x14ac:dyDescent="0.3">
      <c r="A1154" t="s">
        <v>1195</v>
      </c>
      <c r="B1154">
        <v>45717</v>
      </c>
      <c r="C1154" t="s">
        <v>733</v>
      </c>
      <c r="D1154" t="s">
        <v>33</v>
      </c>
      <c r="E1154" t="s">
        <v>34</v>
      </c>
      <c r="F1154" t="s">
        <v>51</v>
      </c>
      <c r="G1154" t="s">
        <v>36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P1154">
        <v>37.4</v>
      </c>
      <c r="S1154">
        <v>0</v>
      </c>
      <c r="U1154">
        <v>0</v>
      </c>
      <c r="W1154">
        <v>0</v>
      </c>
      <c r="Y1154">
        <v>0</v>
      </c>
      <c r="AA1154">
        <v>0</v>
      </c>
    </row>
    <row r="1155" spans="1:27" x14ac:dyDescent="0.3">
      <c r="A1155" t="s">
        <v>1196</v>
      </c>
      <c r="B1155">
        <v>45762</v>
      </c>
      <c r="C1155" t="s">
        <v>733</v>
      </c>
      <c r="D1155" t="s">
        <v>33</v>
      </c>
      <c r="E1155" t="s">
        <v>34</v>
      </c>
      <c r="F1155" t="s">
        <v>35</v>
      </c>
      <c r="G1155" t="s">
        <v>31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P1155">
        <v>59</v>
      </c>
      <c r="S1155">
        <v>0</v>
      </c>
      <c r="U1155">
        <v>0</v>
      </c>
      <c r="W1155">
        <v>0</v>
      </c>
      <c r="Y1155">
        <v>0</v>
      </c>
      <c r="AA1155">
        <v>0</v>
      </c>
    </row>
    <row r="1156" spans="1:27" x14ac:dyDescent="0.3">
      <c r="A1156" t="s">
        <v>1197</v>
      </c>
      <c r="B1156">
        <v>45690</v>
      </c>
      <c r="C1156" t="s">
        <v>733</v>
      </c>
      <c r="D1156" t="s">
        <v>38</v>
      </c>
      <c r="E1156" t="s">
        <v>34</v>
      </c>
      <c r="F1156" t="s">
        <v>35</v>
      </c>
      <c r="G1156" t="s">
        <v>40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P1156">
        <v>60.8</v>
      </c>
      <c r="S1156">
        <v>0</v>
      </c>
      <c r="U1156">
        <v>1</v>
      </c>
      <c r="W1156">
        <v>0</v>
      </c>
      <c r="Y1156">
        <v>0</v>
      </c>
      <c r="AA1156">
        <v>0</v>
      </c>
    </row>
    <row r="1157" spans="1:27" x14ac:dyDescent="0.3">
      <c r="A1157" t="s">
        <v>1198</v>
      </c>
      <c r="B1157">
        <v>45796</v>
      </c>
      <c r="C1157" t="s">
        <v>733</v>
      </c>
      <c r="D1157" t="s">
        <v>42</v>
      </c>
      <c r="E1157" t="s">
        <v>34</v>
      </c>
      <c r="F1157" t="s">
        <v>30</v>
      </c>
      <c r="G1157" t="s">
        <v>36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P1157">
        <v>57.5</v>
      </c>
      <c r="S1157">
        <v>0</v>
      </c>
      <c r="U1157">
        <v>1</v>
      </c>
      <c r="W1157">
        <v>0</v>
      </c>
      <c r="Y1157">
        <v>0</v>
      </c>
      <c r="AA1157">
        <v>0</v>
      </c>
    </row>
    <row r="1158" spans="1:27" x14ac:dyDescent="0.3">
      <c r="A1158" t="s">
        <v>1199</v>
      </c>
      <c r="B1158">
        <v>45662</v>
      </c>
      <c r="C1158" t="s">
        <v>733</v>
      </c>
      <c r="D1158" t="s">
        <v>33</v>
      </c>
      <c r="E1158" t="s">
        <v>34</v>
      </c>
      <c r="F1158" t="s">
        <v>49</v>
      </c>
      <c r="G1158" t="s">
        <v>36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P1158">
        <v>84.2</v>
      </c>
      <c r="S1158">
        <v>0</v>
      </c>
      <c r="U1158">
        <v>0</v>
      </c>
      <c r="W1158">
        <v>0</v>
      </c>
      <c r="Y1158">
        <v>0</v>
      </c>
      <c r="AA1158">
        <v>0</v>
      </c>
    </row>
    <row r="1159" spans="1:27" x14ac:dyDescent="0.3">
      <c r="A1159" t="s">
        <v>1200</v>
      </c>
      <c r="B1159">
        <v>45724</v>
      </c>
      <c r="C1159" t="s">
        <v>733</v>
      </c>
      <c r="D1159" t="s">
        <v>42</v>
      </c>
      <c r="E1159" t="s">
        <v>34</v>
      </c>
      <c r="F1159" t="s">
        <v>39</v>
      </c>
      <c r="G1159" t="s">
        <v>36</v>
      </c>
      <c r="H1159">
        <v>1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P1159">
        <v>27.4</v>
      </c>
      <c r="S1159">
        <v>0</v>
      </c>
      <c r="U1159">
        <v>1</v>
      </c>
      <c r="W1159">
        <v>1</v>
      </c>
      <c r="Y1159">
        <v>0</v>
      </c>
      <c r="AA1159">
        <v>0</v>
      </c>
    </row>
    <row r="1160" spans="1:27" x14ac:dyDescent="0.3">
      <c r="A1160" t="s">
        <v>1201</v>
      </c>
      <c r="B1160">
        <v>45728</v>
      </c>
      <c r="C1160" t="s">
        <v>733</v>
      </c>
      <c r="D1160" t="s">
        <v>33</v>
      </c>
      <c r="E1160" t="s">
        <v>34</v>
      </c>
      <c r="F1160" t="s">
        <v>30</v>
      </c>
      <c r="G1160" t="s">
        <v>31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1</v>
      </c>
      <c r="N1160">
        <v>0</v>
      </c>
      <c r="P1160">
        <v>67.599999999999994</v>
      </c>
      <c r="S1160">
        <v>0</v>
      </c>
      <c r="U1160">
        <v>1</v>
      </c>
      <c r="W1160">
        <v>0</v>
      </c>
      <c r="Y1160">
        <v>0</v>
      </c>
      <c r="AA1160">
        <v>1</v>
      </c>
    </row>
    <row r="1161" spans="1:27" x14ac:dyDescent="0.3">
      <c r="A1161" t="s">
        <v>1202</v>
      </c>
      <c r="B1161">
        <v>45681</v>
      </c>
      <c r="C1161" t="s">
        <v>733</v>
      </c>
      <c r="D1161" t="s">
        <v>33</v>
      </c>
      <c r="E1161" t="s">
        <v>34</v>
      </c>
      <c r="F1161" t="s">
        <v>35</v>
      </c>
      <c r="G1161" t="s">
        <v>36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P1161">
        <v>68.400000000000006</v>
      </c>
      <c r="S1161">
        <v>0</v>
      </c>
      <c r="U1161">
        <v>0</v>
      </c>
      <c r="W1161">
        <v>0</v>
      </c>
      <c r="Y1161">
        <v>0</v>
      </c>
      <c r="AA1161">
        <v>0</v>
      </c>
    </row>
    <row r="1162" spans="1:27" x14ac:dyDescent="0.3">
      <c r="A1162" t="s">
        <v>1203</v>
      </c>
      <c r="B1162">
        <v>45799</v>
      </c>
      <c r="C1162" t="s">
        <v>733</v>
      </c>
      <c r="D1162" t="s">
        <v>42</v>
      </c>
      <c r="E1162" t="s">
        <v>34</v>
      </c>
      <c r="F1162" t="s">
        <v>39</v>
      </c>
      <c r="G1162" t="s">
        <v>31</v>
      </c>
      <c r="H1162">
        <v>1</v>
      </c>
      <c r="I1162">
        <v>1</v>
      </c>
      <c r="J1162">
        <v>1</v>
      </c>
      <c r="K1162">
        <v>0</v>
      </c>
      <c r="L1162">
        <v>0</v>
      </c>
      <c r="M1162">
        <v>0</v>
      </c>
      <c r="N1162">
        <v>0</v>
      </c>
      <c r="P1162">
        <v>66.5</v>
      </c>
      <c r="S1162">
        <v>0</v>
      </c>
      <c r="U1162">
        <v>1</v>
      </c>
      <c r="W1162">
        <v>1</v>
      </c>
      <c r="Y1162">
        <v>1</v>
      </c>
      <c r="AA1162">
        <v>0</v>
      </c>
    </row>
    <row r="1163" spans="1:27" x14ac:dyDescent="0.3">
      <c r="A1163" t="s">
        <v>1204</v>
      </c>
      <c r="B1163">
        <v>45743</v>
      </c>
      <c r="C1163" t="s">
        <v>733</v>
      </c>
      <c r="D1163" t="s">
        <v>42</v>
      </c>
      <c r="E1163" t="s">
        <v>34</v>
      </c>
      <c r="F1163" t="s">
        <v>39</v>
      </c>
      <c r="G1163" t="s">
        <v>36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P1163">
        <v>38.200000000000003</v>
      </c>
      <c r="S1163">
        <v>0</v>
      </c>
      <c r="U1163">
        <v>1</v>
      </c>
      <c r="W1163">
        <v>0</v>
      </c>
      <c r="Y1163">
        <v>0</v>
      </c>
      <c r="AA1163">
        <v>0</v>
      </c>
    </row>
    <row r="1164" spans="1:27" x14ac:dyDescent="0.3">
      <c r="A1164" t="s">
        <v>1205</v>
      </c>
      <c r="B1164">
        <v>45659</v>
      </c>
      <c r="C1164" t="s">
        <v>733</v>
      </c>
      <c r="D1164" t="s">
        <v>33</v>
      </c>
      <c r="E1164" t="s">
        <v>34</v>
      </c>
      <c r="F1164" t="s">
        <v>51</v>
      </c>
      <c r="G1164" t="s">
        <v>36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1</v>
      </c>
      <c r="N1164">
        <v>0</v>
      </c>
      <c r="P1164">
        <v>66.7</v>
      </c>
      <c r="S1164">
        <v>0</v>
      </c>
      <c r="U1164">
        <v>0</v>
      </c>
      <c r="W1164">
        <v>0</v>
      </c>
      <c r="Y1164">
        <v>0</v>
      </c>
      <c r="AA1164">
        <v>1</v>
      </c>
    </row>
    <row r="1165" spans="1:27" x14ac:dyDescent="0.3">
      <c r="A1165" t="s">
        <v>1206</v>
      </c>
      <c r="B1165">
        <v>45712</v>
      </c>
      <c r="C1165" t="s">
        <v>733</v>
      </c>
      <c r="D1165" t="s">
        <v>28</v>
      </c>
      <c r="E1165" t="s">
        <v>34</v>
      </c>
      <c r="F1165" t="s">
        <v>39</v>
      </c>
      <c r="G1165" t="s">
        <v>36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1</v>
      </c>
      <c r="N1165">
        <v>0</v>
      </c>
      <c r="P1165">
        <v>73.7</v>
      </c>
      <c r="S1165">
        <v>0</v>
      </c>
      <c r="U1165">
        <v>0</v>
      </c>
      <c r="W1165">
        <v>0</v>
      </c>
      <c r="Y1165">
        <v>0</v>
      </c>
      <c r="AA1165">
        <v>1</v>
      </c>
    </row>
    <row r="1166" spans="1:27" x14ac:dyDescent="0.3">
      <c r="A1166" t="s">
        <v>1207</v>
      </c>
      <c r="B1166">
        <v>45717</v>
      </c>
      <c r="C1166" t="s">
        <v>733</v>
      </c>
      <c r="D1166" t="s">
        <v>33</v>
      </c>
      <c r="E1166" t="s">
        <v>29</v>
      </c>
      <c r="F1166" t="s">
        <v>35</v>
      </c>
      <c r="G1166" t="s">
        <v>31</v>
      </c>
      <c r="H1166">
        <v>1</v>
      </c>
      <c r="I1166">
        <v>1</v>
      </c>
      <c r="J1166">
        <v>1</v>
      </c>
      <c r="K1166">
        <v>0</v>
      </c>
      <c r="L1166">
        <v>0</v>
      </c>
      <c r="M1166">
        <v>0</v>
      </c>
      <c r="N1166">
        <v>0</v>
      </c>
      <c r="P1166">
        <v>63.9</v>
      </c>
      <c r="S1166">
        <v>0</v>
      </c>
      <c r="U1166">
        <v>1</v>
      </c>
      <c r="W1166">
        <v>1</v>
      </c>
      <c r="Y1166">
        <v>1</v>
      </c>
      <c r="AA1166">
        <v>0</v>
      </c>
    </row>
    <row r="1167" spans="1:27" x14ac:dyDescent="0.3">
      <c r="A1167" t="s">
        <v>1208</v>
      </c>
      <c r="B1167">
        <v>45742</v>
      </c>
      <c r="C1167" t="s">
        <v>733</v>
      </c>
      <c r="D1167" t="s">
        <v>42</v>
      </c>
      <c r="E1167" t="s">
        <v>44</v>
      </c>
      <c r="F1167" t="s">
        <v>35</v>
      </c>
      <c r="G1167" t="s">
        <v>31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1</v>
      </c>
      <c r="N1167">
        <v>0</v>
      </c>
      <c r="P1167">
        <v>82.6</v>
      </c>
      <c r="S1167">
        <v>0</v>
      </c>
      <c r="U1167">
        <v>1</v>
      </c>
      <c r="W1167">
        <v>0</v>
      </c>
      <c r="Y1167">
        <v>0</v>
      </c>
      <c r="AA1167">
        <v>1</v>
      </c>
    </row>
    <row r="1168" spans="1:27" x14ac:dyDescent="0.3">
      <c r="A1168" t="s">
        <v>1209</v>
      </c>
      <c r="B1168">
        <v>45802</v>
      </c>
      <c r="C1168" t="s">
        <v>733</v>
      </c>
      <c r="D1168" t="s">
        <v>38</v>
      </c>
      <c r="E1168" t="s">
        <v>34</v>
      </c>
      <c r="F1168" t="s">
        <v>39</v>
      </c>
      <c r="G1168" t="s">
        <v>36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</v>
      </c>
      <c r="N1168">
        <v>0</v>
      </c>
      <c r="P1168">
        <v>58.3</v>
      </c>
      <c r="S1168">
        <v>0</v>
      </c>
      <c r="U1168">
        <v>0</v>
      </c>
      <c r="W1168">
        <v>0</v>
      </c>
      <c r="Y1168">
        <v>0</v>
      </c>
      <c r="AA1168">
        <v>1</v>
      </c>
    </row>
    <row r="1169" spans="1:27" x14ac:dyDescent="0.3">
      <c r="A1169" t="s">
        <v>1210</v>
      </c>
      <c r="B1169">
        <v>45713</v>
      </c>
      <c r="C1169" t="s">
        <v>733</v>
      </c>
      <c r="D1169" t="s">
        <v>33</v>
      </c>
      <c r="E1169" t="s">
        <v>34</v>
      </c>
      <c r="F1169" t="s">
        <v>49</v>
      </c>
      <c r="G1169" t="s">
        <v>40</v>
      </c>
      <c r="H1169">
        <v>1</v>
      </c>
      <c r="I1169">
        <v>1</v>
      </c>
      <c r="J1169">
        <v>1</v>
      </c>
      <c r="K1169">
        <v>1</v>
      </c>
      <c r="L1169">
        <v>1547.06</v>
      </c>
      <c r="M1169">
        <v>0</v>
      </c>
      <c r="N1169">
        <v>1</v>
      </c>
      <c r="O1169">
        <v>2</v>
      </c>
      <c r="P1169">
        <v>72.900000000000006</v>
      </c>
      <c r="S1169">
        <v>0</v>
      </c>
      <c r="U1169">
        <v>1</v>
      </c>
      <c r="W1169">
        <v>1</v>
      </c>
      <c r="Y1169">
        <v>1</v>
      </c>
      <c r="AA1169">
        <v>0</v>
      </c>
    </row>
    <row r="1170" spans="1:27" x14ac:dyDescent="0.3">
      <c r="A1170" t="s">
        <v>1211</v>
      </c>
      <c r="B1170">
        <v>45739</v>
      </c>
      <c r="C1170" t="s">
        <v>733</v>
      </c>
      <c r="D1170" t="s">
        <v>42</v>
      </c>
      <c r="E1170" t="s">
        <v>34</v>
      </c>
      <c r="F1170" t="s">
        <v>51</v>
      </c>
      <c r="G1170" t="s">
        <v>36</v>
      </c>
      <c r="H1170">
        <v>1</v>
      </c>
      <c r="I1170">
        <v>1</v>
      </c>
      <c r="J1170">
        <v>1</v>
      </c>
      <c r="K1170">
        <v>0</v>
      </c>
      <c r="L1170">
        <v>0</v>
      </c>
      <c r="M1170">
        <v>2</v>
      </c>
      <c r="N1170">
        <v>0</v>
      </c>
      <c r="P1170">
        <v>53.5</v>
      </c>
      <c r="S1170">
        <v>1</v>
      </c>
      <c r="U1170">
        <v>1</v>
      </c>
      <c r="W1170">
        <v>1</v>
      </c>
      <c r="Y1170">
        <v>1</v>
      </c>
      <c r="AA1170">
        <v>2</v>
      </c>
    </row>
    <row r="1171" spans="1:27" x14ac:dyDescent="0.3">
      <c r="A1171" t="s">
        <v>1212</v>
      </c>
      <c r="B1171">
        <v>45768</v>
      </c>
      <c r="C1171" t="s">
        <v>733</v>
      </c>
      <c r="D1171" t="s">
        <v>33</v>
      </c>
      <c r="E1171" t="s">
        <v>34</v>
      </c>
      <c r="F1171" t="s">
        <v>49</v>
      </c>
      <c r="G1171" t="s">
        <v>36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P1171">
        <v>54.8</v>
      </c>
      <c r="S1171">
        <v>0</v>
      </c>
      <c r="U1171">
        <v>1</v>
      </c>
      <c r="W1171">
        <v>0</v>
      </c>
      <c r="Y1171">
        <v>0</v>
      </c>
      <c r="AA1171">
        <v>0</v>
      </c>
    </row>
    <row r="1172" spans="1:27" x14ac:dyDescent="0.3">
      <c r="A1172" t="s">
        <v>1213</v>
      </c>
      <c r="B1172">
        <v>45798</v>
      </c>
      <c r="C1172" t="s">
        <v>733</v>
      </c>
      <c r="D1172" t="s">
        <v>28</v>
      </c>
      <c r="E1172" t="s">
        <v>34</v>
      </c>
      <c r="F1172" t="s">
        <v>35</v>
      </c>
      <c r="G1172" t="s">
        <v>40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P1172">
        <v>69.5</v>
      </c>
      <c r="S1172">
        <v>0</v>
      </c>
      <c r="U1172">
        <v>1</v>
      </c>
      <c r="W1172">
        <v>0</v>
      </c>
      <c r="Y1172">
        <v>0</v>
      </c>
      <c r="AA1172">
        <v>0</v>
      </c>
    </row>
    <row r="1173" spans="1:27" x14ac:dyDescent="0.3">
      <c r="A1173" t="s">
        <v>1214</v>
      </c>
      <c r="B1173">
        <v>45772</v>
      </c>
      <c r="C1173" t="s">
        <v>733</v>
      </c>
      <c r="D1173" t="s">
        <v>28</v>
      </c>
      <c r="E1173" t="s">
        <v>29</v>
      </c>
      <c r="F1173" t="s">
        <v>51</v>
      </c>
      <c r="G1173" t="s">
        <v>36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1</v>
      </c>
      <c r="N1173">
        <v>0</v>
      </c>
      <c r="P1173">
        <v>71.3</v>
      </c>
      <c r="S1173">
        <v>0</v>
      </c>
      <c r="U1173">
        <v>1</v>
      </c>
      <c r="W1173">
        <v>0</v>
      </c>
      <c r="Y1173">
        <v>0</v>
      </c>
      <c r="AA1173">
        <v>1</v>
      </c>
    </row>
    <row r="1174" spans="1:27" x14ac:dyDescent="0.3">
      <c r="A1174" t="s">
        <v>1215</v>
      </c>
      <c r="B1174">
        <v>45800</v>
      </c>
      <c r="C1174" t="s">
        <v>733</v>
      </c>
      <c r="D1174" t="s">
        <v>33</v>
      </c>
      <c r="E1174" t="s">
        <v>34</v>
      </c>
      <c r="F1174" t="s">
        <v>49</v>
      </c>
      <c r="G1174" t="s">
        <v>31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1</v>
      </c>
      <c r="N1174">
        <v>0</v>
      </c>
      <c r="P1174">
        <v>57.5</v>
      </c>
      <c r="S1174">
        <v>0</v>
      </c>
      <c r="U1174">
        <v>1</v>
      </c>
      <c r="W1174">
        <v>0</v>
      </c>
      <c r="Y1174">
        <v>0</v>
      </c>
      <c r="AA1174">
        <v>1</v>
      </c>
    </row>
    <row r="1175" spans="1:27" x14ac:dyDescent="0.3">
      <c r="A1175" t="s">
        <v>1216</v>
      </c>
      <c r="B1175">
        <v>45734</v>
      </c>
      <c r="C1175" t="s">
        <v>733</v>
      </c>
      <c r="D1175" t="s">
        <v>42</v>
      </c>
      <c r="E1175" t="s">
        <v>34</v>
      </c>
      <c r="F1175" t="s">
        <v>30</v>
      </c>
      <c r="G1175" t="s">
        <v>36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4</v>
      </c>
      <c r="N1175">
        <v>0</v>
      </c>
      <c r="P1175">
        <v>50.9</v>
      </c>
      <c r="S1175">
        <v>0</v>
      </c>
      <c r="U1175">
        <v>1</v>
      </c>
      <c r="W1175">
        <v>0</v>
      </c>
      <c r="Y1175">
        <v>0</v>
      </c>
      <c r="AA1175">
        <v>4</v>
      </c>
    </row>
    <row r="1176" spans="1:27" x14ac:dyDescent="0.3">
      <c r="A1176" t="s">
        <v>1217</v>
      </c>
      <c r="B1176">
        <v>45660</v>
      </c>
      <c r="C1176" t="s">
        <v>733</v>
      </c>
      <c r="D1176" t="s">
        <v>42</v>
      </c>
      <c r="E1176" t="s">
        <v>44</v>
      </c>
      <c r="F1176" t="s">
        <v>35</v>
      </c>
      <c r="G1176" t="s">
        <v>36</v>
      </c>
      <c r="H1176">
        <v>1</v>
      </c>
      <c r="I1176">
        <v>1</v>
      </c>
      <c r="J1176">
        <v>1</v>
      </c>
      <c r="K1176">
        <v>0</v>
      </c>
      <c r="L1176">
        <v>0</v>
      </c>
      <c r="M1176">
        <v>0</v>
      </c>
      <c r="N1176">
        <v>0</v>
      </c>
      <c r="P1176">
        <v>69.3</v>
      </c>
      <c r="S1176">
        <v>0</v>
      </c>
      <c r="U1176">
        <v>1</v>
      </c>
      <c r="W1176">
        <v>1</v>
      </c>
      <c r="Y1176">
        <v>1</v>
      </c>
      <c r="AA1176">
        <v>0</v>
      </c>
    </row>
    <row r="1177" spans="1:27" x14ac:dyDescent="0.3">
      <c r="A1177" t="s">
        <v>1218</v>
      </c>
      <c r="B1177">
        <v>45696</v>
      </c>
      <c r="C1177" t="s">
        <v>733</v>
      </c>
      <c r="D1177" t="s">
        <v>33</v>
      </c>
      <c r="E1177" t="s">
        <v>29</v>
      </c>
      <c r="F1177" t="s">
        <v>35</v>
      </c>
      <c r="G1177" t="s">
        <v>36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P1177">
        <v>50.1</v>
      </c>
      <c r="S1177">
        <v>0</v>
      </c>
      <c r="U1177">
        <v>1</v>
      </c>
      <c r="W1177">
        <v>0</v>
      </c>
      <c r="Y1177">
        <v>0</v>
      </c>
      <c r="AA1177">
        <v>0</v>
      </c>
    </row>
    <row r="1178" spans="1:27" x14ac:dyDescent="0.3">
      <c r="A1178" t="s">
        <v>1219</v>
      </c>
      <c r="B1178">
        <v>45692</v>
      </c>
      <c r="C1178" t="s">
        <v>733</v>
      </c>
      <c r="D1178" t="s">
        <v>38</v>
      </c>
      <c r="F1178" t="s">
        <v>39</v>
      </c>
      <c r="G1178" t="s">
        <v>31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P1178">
        <v>69.7</v>
      </c>
      <c r="S1178">
        <v>0</v>
      </c>
      <c r="U1178">
        <v>0</v>
      </c>
      <c r="W1178">
        <v>0</v>
      </c>
      <c r="Y1178">
        <v>0</v>
      </c>
      <c r="AA1178">
        <v>0</v>
      </c>
    </row>
    <row r="1179" spans="1:27" x14ac:dyDescent="0.3">
      <c r="A1179" t="s">
        <v>1220</v>
      </c>
      <c r="B1179">
        <v>45673</v>
      </c>
      <c r="C1179" t="s">
        <v>733</v>
      </c>
      <c r="D1179" t="s">
        <v>28</v>
      </c>
      <c r="E1179" t="s">
        <v>34</v>
      </c>
      <c r="F1179" t="s">
        <v>39</v>
      </c>
      <c r="G1179" t="s">
        <v>36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P1179">
        <v>63.5</v>
      </c>
      <c r="S1179">
        <v>0</v>
      </c>
      <c r="U1179">
        <v>0</v>
      </c>
      <c r="W1179">
        <v>0</v>
      </c>
      <c r="Y1179">
        <v>0</v>
      </c>
      <c r="AA1179">
        <v>0</v>
      </c>
    </row>
    <row r="1180" spans="1:27" x14ac:dyDescent="0.3">
      <c r="A1180" t="s">
        <v>1221</v>
      </c>
      <c r="B1180">
        <v>45751</v>
      </c>
      <c r="C1180" t="s">
        <v>733</v>
      </c>
      <c r="D1180" t="s">
        <v>33</v>
      </c>
      <c r="E1180" t="s">
        <v>29</v>
      </c>
      <c r="F1180" t="s">
        <v>39</v>
      </c>
      <c r="G1180" t="s">
        <v>36</v>
      </c>
      <c r="H1180">
        <v>1</v>
      </c>
      <c r="I1180">
        <v>1</v>
      </c>
      <c r="J1180">
        <v>1</v>
      </c>
      <c r="K1180">
        <v>1</v>
      </c>
      <c r="L1180">
        <v>265.58999999999997</v>
      </c>
      <c r="M1180">
        <v>1</v>
      </c>
      <c r="N1180">
        <v>0</v>
      </c>
      <c r="O1180">
        <v>8</v>
      </c>
      <c r="P1180">
        <v>80.400000000000006</v>
      </c>
      <c r="S1180">
        <v>0</v>
      </c>
      <c r="U1180">
        <v>1</v>
      </c>
      <c r="W1180">
        <v>1</v>
      </c>
      <c r="Y1180">
        <v>1</v>
      </c>
      <c r="AA1180">
        <v>1</v>
      </c>
    </row>
    <row r="1181" spans="1:27" x14ac:dyDescent="0.3">
      <c r="A1181" t="s">
        <v>1222</v>
      </c>
      <c r="B1181">
        <v>45680</v>
      </c>
      <c r="C1181" t="s">
        <v>733</v>
      </c>
      <c r="D1181" t="s">
        <v>28</v>
      </c>
      <c r="E1181" t="s">
        <v>29</v>
      </c>
      <c r="F1181" t="s">
        <v>39</v>
      </c>
      <c r="G1181" t="s">
        <v>36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P1181">
        <v>58.9</v>
      </c>
      <c r="S1181">
        <v>1</v>
      </c>
      <c r="U1181">
        <v>0</v>
      </c>
      <c r="W1181">
        <v>0</v>
      </c>
      <c r="Y1181">
        <v>0</v>
      </c>
      <c r="AA1181">
        <v>0</v>
      </c>
    </row>
    <row r="1182" spans="1:27" x14ac:dyDescent="0.3">
      <c r="A1182" t="s">
        <v>1223</v>
      </c>
      <c r="B1182">
        <v>45738</v>
      </c>
      <c r="C1182" t="s">
        <v>733</v>
      </c>
      <c r="D1182" t="s">
        <v>42</v>
      </c>
      <c r="E1182" t="s">
        <v>29</v>
      </c>
      <c r="F1182" t="s">
        <v>39</v>
      </c>
      <c r="G1182" t="s">
        <v>36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P1182">
        <v>56.8</v>
      </c>
      <c r="S1182">
        <v>0</v>
      </c>
      <c r="U1182">
        <v>1</v>
      </c>
      <c r="W1182">
        <v>0</v>
      </c>
      <c r="Y1182">
        <v>0</v>
      </c>
      <c r="AA1182">
        <v>0</v>
      </c>
    </row>
    <row r="1183" spans="1:27" x14ac:dyDescent="0.3">
      <c r="A1183" t="s">
        <v>1224</v>
      </c>
      <c r="B1183">
        <v>45690</v>
      </c>
      <c r="C1183" t="s">
        <v>733</v>
      </c>
      <c r="D1183" t="s">
        <v>38</v>
      </c>
      <c r="E1183" t="s">
        <v>44</v>
      </c>
      <c r="F1183" t="s">
        <v>51</v>
      </c>
      <c r="G1183" t="s">
        <v>40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P1183">
        <v>73.900000000000006</v>
      </c>
      <c r="S1183">
        <v>0</v>
      </c>
      <c r="U1183">
        <v>0</v>
      </c>
      <c r="W1183">
        <v>0</v>
      </c>
      <c r="Y1183">
        <v>0</v>
      </c>
      <c r="AA1183">
        <v>0</v>
      </c>
    </row>
    <row r="1184" spans="1:27" x14ac:dyDescent="0.3">
      <c r="A1184" t="s">
        <v>1225</v>
      </c>
      <c r="B1184">
        <v>45688</v>
      </c>
      <c r="C1184" t="s">
        <v>733</v>
      </c>
      <c r="D1184" t="s">
        <v>28</v>
      </c>
      <c r="E1184" t="s">
        <v>29</v>
      </c>
      <c r="F1184" t="s">
        <v>39</v>
      </c>
      <c r="G1184" t="s">
        <v>36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P1184">
        <v>76.3</v>
      </c>
      <c r="S1184">
        <v>0</v>
      </c>
      <c r="U1184">
        <v>0</v>
      </c>
      <c r="W1184">
        <v>0</v>
      </c>
      <c r="Y1184">
        <v>0</v>
      </c>
      <c r="AA1184">
        <v>0</v>
      </c>
    </row>
    <row r="1185" spans="1:27" x14ac:dyDescent="0.3">
      <c r="A1185" t="s">
        <v>1226</v>
      </c>
      <c r="B1185">
        <v>45804</v>
      </c>
      <c r="C1185" t="s">
        <v>733</v>
      </c>
      <c r="D1185" t="s">
        <v>33</v>
      </c>
      <c r="E1185" t="s">
        <v>34</v>
      </c>
      <c r="F1185" t="s">
        <v>35</v>
      </c>
      <c r="G1185" t="s">
        <v>31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P1185">
        <v>56.9</v>
      </c>
      <c r="S1185">
        <v>0</v>
      </c>
      <c r="U1185">
        <v>1</v>
      </c>
      <c r="W1185">
        <v>0</v>
      </c>
      <c r="Y1185">
        <v>0</v>
      </c>
      <c r="AA1185">
        <v>0</v>
      </c>
    </row>
    <row r="1186" spans="1:27" x14ac:dyDescent="0.3">
      <c r="A1186" t="s">
        <v>1227</v>
      </c>
      <c r="B1186">
        <v>45784</v>
      </c>
      <c r="C1186" t="s">
        <v>733</v>
      </c>
      <c r="D1186" t="s">
        <v>28</v>
      </c>
      <c r="E1186" t="s">
        <v>34</v>
      </c>
      <c r="F1186" t="s">
        <v>35</v>
      </c>
      <c r="G1186" t="s">
        <v>40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2</v>
      </c>
      <c r="N1186">
        <v>0</v>
      </c>
      <c r="P1186">
        <v>49.4</v>
      </c>
      <c r="S1186">
        <v>0</v>
      </c>
      <c r="U1186">
        <v>1</v>
      </c>
      <c r="W1186">
        <v>0</v>
      </c>
      <c r="Y1186">
        <v>0</v>
      </c>
      <c r="AA1186">
        <v>2</v>
      </c>
    </row>
    <row r="1187" spans="1:27" x14ac:dyDescent="0.3">
      <c r="A1187" t="s">
        <v>1228</v>
      </c>
      <c r="B1187">
        <v>45785</v>
      </c>
      <c r="C1187" t="s">
        <v>733</v>
      </c>
      <c r="D1187" t="s">
        <v>28</v>
      </c>
      <c r="E1187" t="s">
        <v>29</v>
      </c>
      <c r="F1187" t="s">
        <v>39</v>
      </c>
      <c r="G1187" t="s">
        <v>31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P1187">
        <v>86.7</v>
      </c>
      <c r="S1187">
        <v>0</v>
      </c>
      <c r="U1187">
        <v>1</v>
      </c>
      <c r="W1187">
        <v>0</v>
      </c>
      <c r="Y1187">
        <v>0</v>
      </c>
      <c r="AA1187">
        <v>0</v>
      </c>
    </row>
    <row r="1188" spans="1:27" x14ac:dyDescent="0.3">
      <c r="A1188" t="s">
        <v>1229</v>
      </c>
      <c r="B1188">
        <v>45672</v>
      </c>
      <c r="C1188" t="s">
        <v>733</v>
      </c>
      <c r="D1188" t="s">
        <v>33</v>
      </c>
      <c r="E1188" t="s">
        <v>29</v>
      </c>
      <c r="F1188" t="s">
        <v>30</v>
      </c>
      <c r="G1188" t="s">
        <v>36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3</v>
      </c>
      <c r="N1188">
        <v>0</v>
      </c>
      <c r="P1188">
        <v>69</v>
      </c>
      <c r="S1188">
        <v>0</v>
      </c>
      <c r="U1188">
        <v>1</v>
      </c>
      <c r="W1188">
        <v>0</v>
      </c>
      <c r="Y1188">
        <v>0</v>
      </c>
      <c r="AA1188">
        <v>3</v>
      </c>
    </row>
    <row r="1189" spans="1:27" x14ac:dyDescent="0.3">
      <c r="A1189" t="s">
        <v>1230</v>
      </c>
      <c r="B1189">
        <v>45675</v>
      </c>
      <c r="C1189" t="s">
        <v>733</v>
      </c>
      <c r="D1189" t="s">
        <v>28</v>
      </c>
      <c r="E1189" t="s">
        <v>34</v>
      </c>
      <c r="F1189" t="s">
        <v>39</v>
      </c>
      <c r="G1189" t="s">
        <v>36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P1189">
        <v>84.5</v>
      </c>
      <c r="S1189">
        <v>0</v>
      </c>
      <c r="U1189">
        <v>0</v>
      </c>
      <c r="W1189">
        <v>0</v>
      </c>
      <c r="Y1189">
        <v>0</v>
      </c>
      <c r="AA1189">
        <v>0</v>
      </c>
    </row>
    <row r="1190" spans="1:27" x14ac:dyDescent="0.3">
      <c r="A1190" t="s">
        <v>1231</v>
      </c>
      <c r="B1190">
        <v>45763</v>
      </c>
      <c r="C1190" t="s">
        <v>733</v>
      </c>
      <c r="D1190" t="s">
        <v>38</v>
      </c>
      <c r="F1190" t="s">
        <v>49</v>
      </c>
      <c r="G1190" t="s">
        <v>36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P1190">
        <v>66.3</v>
      </c>
      <c r="S1190">
        <v>0</v>
      </c>
      <c r="U1190">
        <v>1</v>
      </c>
      <c r="W1190">
        <v>0</v>
      </c>
      <c r="Y1190">
        <v>0</v>
      </c>
      <c r="AA1190">
        <v>0</v>
      </c>
    </row>
    <row r="1191" spans="1:27" x14ac:dyDescent="0.3">
      <c r="A1191" t="s">
        <v>1232</v>
      </c>
      <c r="B1191">
        <v>45704</v>
      </c>
      <c r="C1191" t="s">
        <v>733</v>
      </c>
      <c r="D1191" t="s">
        <v>38</v>
      </c>
      <c r="E1191" t="s">
        <v>29</v>
      </c>
      <c r="F1191" t="s">
        <v>39</v>
      </c>
      <c r="G1191" t="s">
        <v>36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P1191">
        <v>52.2</v>
      </c>
      <c r="S1191">
        <v>0</v>
      </c>
      <c r="U1191">
        <v>0</v>
      </c>
      <c r="W1191">
        <v>0</v>
      </c>
      <c r="Y1191">
        <v>0</v>
      </c>
      <c r="AA1191">
        <v>0</v>
      </c>
    </row>
    <row r="1192" spans="1:27" x14ac:dyDescent="0.3">
      <c r="A1192" t="s">
        <v>1233</v>
      </c>
      <c r="B1192">
        <v>45764</v>
      </c>
      <c r="C1192" t="s">
        <v>733</v>
      </c>
      <c r="D1192" t="s">
        <v>42</v>
      </c>
      <c r="E1192" t="s">
        <v>29</v>
      </c>
      <c r="F1192" t="s">
        <v>49</v>
      </c>
      <c r="G1192" t="s">
        <v>40</v>
      </c>
      <c r="H1192">
        <v>1</v>
      </c>
      <c r="I1192">
        <v>1</v>
      </c>
      <c r="J1192">
        <v>1</v>
      </c>
      <c r="K1192">
        <v>0</v>
      </c>
      <c r="L1192">
        <v>0</v>
      </c>
      <c r="M1192">
        <v>0</v>
      </c>
      <c r="N1192">
        <v>0</v>
      </c>
      <c r="P1192">
        <v>81.2</v>
      </c>
      <c r="S1192">
        <v>0</v>
      </c>
      <c r="U1192">
        <v>1</v>
      </c>
      <c r="W1192">
        <v>1</v>
      </c>
      <c r="Y1192">
        <v>1</v>
      </c>
      <c r="AA1192">
        <v>0</v>
      </c>
    </row>
    <row r="1193" spans="1:27" x14ac:dyDescent="0.3">
      <c r="A1193" t="s">
        <v>1234</v>
      </c>
      <c r="B1193">
        <v>45777</v>
      </c>
      <c r="C1193" t="s">
        <v>733</v>
      </c>
      <c r="D1193" t="s">
        <v>42</v>
      </c>
      <c r="E1193" t="s">
        <v>34</v>
      </c>
      <c r="F1193" t="s">
        <v>35</v>
      </c>
      <c r="G1193" t="s">
        <v>31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P1193">
        <v>53.9</v>
      </c>
      <c r="S1193">
        <v>0</v>
      </c>
      <c r="U1193">
        <v>0</v>
      </c>
      <c r="W1193">
        <v>0</v>
      </c>
      <c r="Y1193">
        <v>0</v>
      </c>
      <c r="AA1193">
        <v>0</v>
      </c>
    </row>
    <row r="1194" spans="1:27" x14ac:dyDescent="0.3">
      <c r="A1194" t="s">
        <v>1235</v>
      </c>
      <c r="B1194">
        <v>45686</v>
      </c>
      <c r="C1194" t="s">
        <v>733</v>
      </c>
      <c r="D1194" t="s">
        <v>33</v>
      </c>
      <c r="E1194" t="s">
        <v>34</v>
      </c>
      <c r="F1194" t="s">
        <v>51</v>
      </c>
      <c r="G1194" t="s">
        <v>40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P1194">
        <v>39.1</v>
      </c>
      <c r="S1194">
        <v>0</v>
      </c>
      <c r="U1194">
        <v>0</v>
      </c>
      <c r="W1194">
        <v>0</v>
      </c>
      <c r="Y1194">
        <v>0</v>
      </c>
      <c r="AA1194">
        <v>0</v>
      </c>
    </row>
    <row r="1195" spans="1:27" x14ac:dyDescent="0.3">
      <c r="A1195" t="s">
        <v>1236</v>
      </c>
      <c r="B1195">
        <v>45668</v>
      </c>
      <c r="C1195" t="s">
        <v>733</v>
      </c>
      <c r="D1195" t="s">
        <v>28</v>
      </c>
      <c r="E1195" t="s">
        <v>34</v>
      </c>
      <c r="F1195" t="s">
        <v>51</v>
      </c>
      <c r="G1195" t="s">
        <v>31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P1195">
        <v>57.3</v>
      </c>
      <c r="S1195">
        <v>0</v>
      </c>
      <c r="U1195">
        <v>0</v>
      </c>
      <c r="W1195">
        <v>0</v>
      </c>
      <c r="Y1195">
        <v>0</v>
      </c>
      <c r="AA1195">
        <v>0</v>
      </c>
    </row>
    <row r="1196" spans="1:27" x14ac:dyDescent="0.3">
      <c r="A1196" t="s">
        <v>1237</v>
      </c>
      <c r="B1196">
        <v>45755</v>
      </c>
      <c r="C1196" t="s">
        <v>733</v>
      </c>
      <c r="D1196" t="s">
        <v>38</v>
      </c>
      <c r="E1196" t="s">
        <v>29</v>
      </c>
      <c r="F1196" t="s">
        <v>39</v>
      </c>
      <c r="G1196" t="s">
        <v>40</v>
      </c>
      <c r="H1196">
        <v>1</v>
      </c>
      <c r="I1196">
        <v>0</v>
      </c>
      <c r="J1196">
        <v>0</v>
      </c>
      <c r="K1196">
        <v>0</v>
      </c>
      <c r="L1196">
        <v>0</v>
      </c>
      <c r="M1196">
        <v>1</v>
      </c>
      <c r="N1196">
        <v>0</v>
      </c>
      <c r="P1196">
        <v>65.900000000000006</v>
      </c>
      <c r="S1196">
        <v>0</v>
      </c>
      <c r="U1196">
        <v>1</v>
      </c>
      <c r="W1196">
        <v>0</v>
      </c>
      <c r="Y1196">
        <v>0</v>
      </c>
      <c r="AA1196">
        <v>1</v>
      </c>
    </row>
    <row r="1197" spans="1:27" x14ac:dyDescent="0.3">
      <c r="A1197" t="s">
        <v>1238</v>
      </c>
      <c r="B1197">
        <v>45710</v>
      </c>
      <c r="C1197" t="s">
        <v>733</v>
      </c>
      <c r="D1197" t="s">
        <v>28</v>
      </c>
      <c r="F1197" t="s">
        <v>51</v>
      </c>
      <c r="G1197" t="s">
        <v>36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1</v>
      </c>
      <c r="N1197">
        <v>0</v>
      </c>
      <c r="P1197">
        <v>34.200000000000003</v>
      </c>
      <c r="S1197">
        <v>0</v>
      </c>
      <c r="U1197">
        <v>1</v>
      </c>
      <c r="W1197">
        <v>0</v>
      </c>
      <c r="Y1197">
        <v>0</v>
      </c>
      <c r="AA1197">
        <v>1</v>
      </c>
    </row>
    <row r="1198" spans="1:27" x14ac:dyDescent="0.3">
      <c r="A1198" t="s">
        <v>1239</v>
      </c>
      <c r="B1198">
        <v>45739</v>
      </c>
      <c r="C1198" t="s">
        <v>733</v>
      </c>
      <c r="D1198" t="s">
        <v>42</v>
      </c>
      <c r="E1198" t="s">
        <v>34</v>
      </c>
      <c r="F1198" t="s">
        <v>35</v>
      </c>
      <c r="G1198" t="s">
        <v>36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P1198">
        <v>47.2</v>
      </c>
      <c r="S1198">
        <v>0</v>
      </c>
      <c r="U1198">
        <v>0</v>
      </c>
      <c r="W1198">
        <v>0</v>
      </c>
      <c r="Y1198">
        <v>0</v>
      </c>
      <c r="AA1198">
        <v>0</v>
      </c>
    </row>
    <row r="1199" spans="1:27" x14ac:dyDescent="0.3">
      <c r="A1199" t="s">
        <v>1240</v>
      </c>
      <c r="B1199">
        <v>45800</v>
      </c>
      <c r="C1199" t="s">
        <v>733</v>
      </c>
      <c r="D1199" t="s">
        <v>42</v>
      </c>
      <c r="E1199" t="s">
        <v>44</v>
      </c>
      <c r="F1199" t="s">
        <v>39</v>
      </c>
      <c r="G1199" t="s">
        <v>36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1</v>
      </c>
      <c r="N1199">
        <v>0</v>
      </c>
      <c r="P1199">
        <v>55</v>
      </c>
      <c r="S1199">
        <v>0</v>
      </c>
      <c r="U1199">
        <v>1</v>
      </c>
      <c r="W1199">
        <v>0</v>
      </c>
      <c r="Y1199">
        <v>0</v>
      </c>
      <c r="AA1199">
        <v>1</v>
      </c>
    </row>
    <row r="1200" spans="1:27" x14ac:dyDescent="0.3">
      <c r="A1200" t="s">
        <v>1241</v>
      </c>
      <c r="B1200">
        <v>45774</v>
      </c>
      <c r="C1200" t="s">
        <v>733</v>
      </c>
      <c r="D1200" t="s">
        <v>33</v>
      </c>
      <c r="E1200" t="s">
        <v>34</v>
      </c>
      <c r="F1200" t="s">
        <v>49</v>
      </c>
      <c r="G1200" t="s">
        <v>31</v>
      </c>
      <c r="H1200">
        <v>1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P1200">
        <v>76.400000000000006</v>
      </c>
      <c r="S1200">
        <v>0</v>
      </c>
      <c r="U1200">
        <v>1</v>
      </c>
      <c r="W1200">
        <v>1</v>
      </c>
      <c r="Y1200">
        <v>1</v>
      </c>
      <c r="AA1200">
        <v>0</v>
      </c>
    </row>
    <row r="1201" spans="1:27" x14ac:dyDescent="0.3">
      <c r="A1201" t="s">
        <v>1242</v>
      </c>
      <c r="B1201">
        <v>45803</v>
      </c>
      <c r="C1201" t="s">
        <v>733</v>
      </c>
      <c r="D1201" t="s">
        <v>28</v>
      </c>
      <c r="E1201" t="s">
        <v>34</v>
      </c>
      <c r="F1201" t="s">
        <v>49</v>
      </c>
      <c r="G1201" t="s">
        <v>36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P1201">
        <v>70.8</v>
      </c>
      <c r="S1201">
        <v>0</v>
      </c>
      <c r="U1201">
        <v>1</v>
      </c>
      <c r="W1201">
        <v>0</v>
      </c>
      <c r="Y1201">
        <v>0</v>
      </c>
      <c r="AA1201">
        <v>0</v>
      </c>
    </row>
    <row r="1202" spans="1:27" x14ac:dyDescent="0.3">
      <c r="A1202" t="s">
        <v>1243</v>
      </c>
      <c r="B1202">
        <v>45722</v>
      </c>
      <c r="C1202" t="s">
        <v>733</v>
      </c>
      <c r="D1202" t="s">
        <v>38</v>
      </c>
      <c r="E1202" t="s">
        <v>34</v>
      </c>
      <c r="F1202" t="s">
        <v>39</v>
      </c>
      <c r="G1202" t="s">
        <v>31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1</v>
      </c>
      <c r="N1202">
        <v>0</v>
      </c>
      <c r="P1202">
        <v>58</v>
      </c>
      <c r="S1202">
        <v>0</v>
      </c>
      <c r="U1202">
        <v>1</v>
      </c>
      <c r="W1202">
        <v>1</v>
      </c>
      <c r="Y1202">
        <v>0</v>
      </c>
      <c r="AA1202">
        <v>1</v>
      </c>
    </row>
    <row r="1203" spans="1:27" x14ac:dyDescent="0.3">
      <c r="A1203" t="s">
        <v>1244</v>
      </c>
      <c r="B1203">
        <v>45750</v>
      </c>
      <c r="C1203" t="s">
        <v>733</v>
      </c>
      <c r="D1203" t="s">
        <v>33</v>
      </c>
      <c r="E1203" t="s">
        <v>34</v>
      </c>
      <c r="F1203" t="s">
        <v>35</v>
      </c>
      <c r="G1203" t="s">
        <v>31</v>
      </c>
      <c r="H1203">
        <v>1</v>
      </c>
      <c r="I1203">
        <v>1</v>
      </c>
      <c r="J1203">
        <v>1</v>
      </c>
      <c r="K1203">
        <v>0</v>
      </c>
      <c r="L1203">
        <v>0</v>
      </c>
      <c r="M1203">
        <v>1</v>
      </c>
      <c r="N1203">
        <v>0</v>
      </c>
      <c r="P1203">
        <v>70.8</v>
      </c>
      <c r="S1203">
        <v>0</v>
      </c>
      <c r="U1203">
        <v>1</v>
      </c>
      <c r="W1203">
        <v>1</v>
      </c>
      <c r="Y1203">
        <v>1</v>
      </c>
      <c r="AA1203">
        <v>1</v>
      </c>
    </row>
    <row r="1204" spans="1:27" x14ac:dyDescent="0.3">
      <c r="A1204" t="s">
        <v>1245</v>
      </c>
      <c r="B1204">
        <v>45689</v>
      </c>
      <c r="C1204" t="s">
        <v>733</v>
      </c>
      <c r="D1204" t="s">
        <v>38</v>
      </c>
      <c r="E1204" t="s">
        <v>29</v>
      </c>
      <c r="F1204" t="s">
        <v>39</v>
      </c>
      <c r="G1204" t="s">
        <v>36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3</v>
      </c>
      <c r="N1204">
        <v>0</v>
      </c>
      <c r="P1204">
        <v>60</v>
      </c>
      <c r="S1204">
        <v>0</v>
      </c>
      <c r="U1204">
        <v>1</v>
      </c>
      <c r="W1204">
        <v>0</v>
      </c>
      <c r="Y1204">
        <v>0</v>
      </c>
      <c r="AA1204">
        <v>3</v>
      </c>
    </row>
    <row r="1205" spans="1:27" x14ac:dyDescent="0.3">
      <c r="A1205" t="s">
        <v>1246</v>
      </c>
      <c r="B1205">
        <v>45778</v>
      </c>
      <c r="C1205" t="s">
        <v>733</v>
      </c>
      <c r="D1205" t="s">
        <v>33</v>
      </c>
      <c r="E1205" t="s">
        <v>34</v>
      </c>
      <c r="F1205" t="s">
        <v>49</v>
      </c>
      <c r="G1205" t="s">
        <v>40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3</v>
      </c>
      <c r="N1205">
        <v>0</v>
      </c>
      <c r="P1205">
        <v>58.1</v>
      </c>
      <c r="S1205">
        <v>0</v>
      </c>
      <c r="U1205">
        <v>1</v>
      </c>
      <c r="W1205">
        <v>1</v>
      </c>
      <c r="Y1205">
        <v>1</v>
      </c>
      <c r="AA1205">
        <v>3</v>
      </c>
    </row>
    <row r="1206" spans="1:27" x14ac:dyDescent="0.3">
      <c r="A1206" t="s">
        <v>1247</v>
      </c>
      <c r="B1206">
        <v>45760</v>
      </c>
      <c r="C1206" t="s">
        <v>733</v>
      </c>
      <c r="D1206" t="s">
        <v>28</v>
      </c>
      <c r="E1206" t="s">
        <v>34</v>
      </c>
      <c r="F1206" t="s">
        <v>51</v>
      </c>
      <c r="G1206" t="s">
        <v>40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P1206">
        <v>59.7</v>
      </c>
      <c r="S1206">
        <v>0</v>
      </c>
      <c r="U1206">
        <v>0</v>
      </c>
      <c r="W1206">
        <v>0</v>
      </c>
      <c r="Y1206">
        <v>0</v>
      </c>
      <c r="AA1206">
        <v>0</v>
      </c>
    </row>
    <row r="1207" spans="1:27" x14ac:dyDescent="0.3">
      <c r="A1207" t="s">
        <v>1248</v>
      </c>
      <c r="B1207">
        <v>45682</v>
      </c>
      <c r="C1207" t="s">
        <v>733</v>
      </c>
      <c r="D1207" t="s">
        <v>38</v>
      </c>
      <c r="E1207" t="s">
        <v>34</v>
      </c>
      <c r="F1207" t="s">
        <v>51</v>
      </c>
      <c r="G1207" t="s">
        <v>36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P1207">
        <v>47.7</v>
      </c>
      <c r="S1207">
        <v>0</v>
      </c>
      <c r="U1207">
        <v>0</v>
      </c>
      <c r="W1207">
        <v>0</v>
      </c>
      <c r="Y1207">
        <v>0</v>
      </c>
      <c r="AA1207">
        <v>0</v>
      </c>
    </row>
    <row r="1208" spans="1:27" x14ac:dyDescent="0.3">
      <c r="A1208" t="s">
        <v>1249</v>
      </c>
      <c r="B1208">
        <v>45733</v>
      </c>
      <c r="C1208" t="s">
        <v>733</v>
      </c>
      <c r="D1208" t="s">
        <v>28</v>
      </c>
      <c r="E1208" t="s">
        <v>34</v>
      </c>
      <c r="F1208" t="s">
        <v>35</v>
      </c>
      <c r="G1208" t="s">
        <v>36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P1208">
        <v>59.1</v>
      </c>
      <c r="S1208">
        <v>0</v>
      </c>
      <c r="U1208">
        <v>0</v>
      </c>
      <c r="W1208">
        <v>0</v>
      </c>
      <c r="Y1208">
        <v>0</v>
      </c>
      <c r="AA1208">
        <v>0</v>
      </c>
    </row>
    <row r="1209" spans="1:27" x14ac:dyDescent="0.3">
      <c r="A1209" t="s">
        <v>1250</v>
      </c>
      <c r="B1209">
        <v>45709</v>
      </c>
      <c r="C1209" t="s">
        <v>733</v>
      </c>
      <c r="D1209" t="s">
        <v>33</v>
      </c>
      <c r="E1209" t="s">
        <v>29</v>
      </c>
      <c r="F1209" t="s">
        <v>51</v>
      </c>
      <c r="G1209" t="s">
        <v>31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1</v>
      </c>
      <c r="N1209">
        <v>0</v>
      </c>
      <c r="P1209">
        <v>68.7</v>
      </c>
      <c r="S1209">
        <v>0</v>
      </c>
      <c r="U1209">
        <v>1</v>
      </c>
      <c r="W1209">
        <v>0</v>
      </c>
      <c r="Y1209">
        <v>0</v>
      </c>
      <c r="AA1209">
        <v>1</v>
      </c>
    </row>
    <row r="1210" spans="1:27" x14ac:dyDescent="0.3">
      <c r="A1210" t="s">
        <v>1251</v>
      </c>
      <c r="B1210">
        <v>45755</v>
      </c>
      <c r="C1210" t="s">
        <v>733</v>
      </c>
      <c r="D1210" t="s">
        <v>38</v>
      </c>
      <c r="E1210" t="s">
        <v>44</v>
      </c>
      <c r="F1210" t="s">
        <v>35</v>
      </c>
      <c r="G1210" t="s">
        <v>31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P1210">
        <v>34.700000000000003</v>
      </c>
      <c r="S1210">
        <v>0</v>
      </c>
      <c r="U1210">
        <v>0</v>
      </c>
      <c r="W1210">
        <v>0</v>
      </c>
      <c r="Y1210">
        <v>0</v>
      </c>
      <c r="AA1210">
        <v>0</v>
      </c>
    </row>
    <row r="1211" spans="1:27" x14ac:dyDescent="0.3">
      <c r="A1211" t="s">
        <v>1252</v>
      </c>
      <c r="B1211">
        <v>45712</v>
      </c>
      <c r="C1211" t="s">
        <v>733</v>
      </c>
      <c r="D1211" t="s">
        <v>33</v>
      </c>
      <c r="E1211" t="s">
        <v>34</v>
      </c>
      <c r="F1211" t="s">
        <v>35</v>
      </c>
      <c r="G1211" t="s">
        <v>31</v>
      </c>
      <c r="H1211">
        <v>1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P1211">
        <v>62</v>
      </c>
      <c r="S1211">
        <v>0</v>
      </c>
      <c r="U1211">
        <v>1</v>
      </c>
      <c r="W1211">
        <v>0</v>
      </c>
      <c r="Y1211">
        <v>0</v>
      </c>
      <c r="AA1211">
        <v>0</v>
      </c>
    </row>
    <row r="1212" spans="1:27" x14ac:dyDescent="0.3">
      <c r="A1212" t="s">
        <v>1253</v>
      </c>
      <c r="B1212">
        <v>45806</v>
      </c>
      <c r="C1212" t="s">
        <v>733</v>
      </c>
      <c r="D1212" t="s">
        <v>42</v>
      </c>
      <c r="E1212" t="s">
        <v>34</v>
      </c>
      <c r="F1212" t="s">
        <v>35</v>
      </c>
      <c r="G1212" t="s">
        <v>36</v>
      </c>
      <c r="H1212">
        <v>1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P1212">
        <v>56</v>
      </c>
      <c r="S1212">
        <v>0</v>
      </c>
      <c r="U1212">
        <v>1</v>
      </c>
      <c r="W1212">
        <v>1</v>
      </c>
      <c r="Y1212">
        <v>0</v>
      </c>
      <c r="AA1212">
        <v>0</v>
      </c>
    </row>
    <row r="1213" spans="1:27" x14ac:dyDescent="0.3">
      <c r="A1213" t="s">
        <v>1254</v>
      </c>
      <c r="B1213">
        <v>45807</v>
      </c>
      <c r="C1213" t="s">
        <v>733</v>
      </c>
      <c r="D1213" t="s">
        <v>28</v>
      </c>
      <c r="E1213" t="s">
        <v>34</v>
      </c>
      <c r="F1213" t="s">
        <v>30</v>
      </c>
      <c r="G1213" t="s">
        <v>31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1</v>
      </c>
      <c r="N1213">
        <v>0</v>
      </c>
      <c r="P1213">
        <v>65.8</v>
      </c>
      <c r="S1213">
        <v>0</v>
      </c>
      <c r="U1213">
        <v>1</v>
      </c>
      <c r="W1213">
        <v>0</v>
      </c>
      <c r="Y1213">
        <v>0</v>
      </c>
      <c r="AA1213">
        <v>1</v>
      </c>
    </row>
    <row r="1214" spans="1:27" x14ac:dyDescent="0.3">
      <c r="A1214" t="s">
        <v>1255</v>
      </c>
      <c r="B1214">
        <v>45681</v>
      </c>
      <c r="C1214" t="s">
        <v>733</v>
      </c>
      <c r="D1214" t="s">
        <v>28</v>
      </c>
      <c r="E1214" t="s">
        <v>29</v>
      </c>
      <c r="F1214" t="s">
        <v>35</v>
      </c>
      <c r="G1214" t="s">
        <v>40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P1214">
        <v>54.7</v>
      </c>
      <c r="S1214">
        <v>0</v>
      </c>
      <c r="U1214">
        <v>0</v>
      </c>
      <c r="W1214">
        <v>0</v>
      </c>
      <c r="Y1214">
        <v>0</v>
      </c>
      <c r="AA1214">
        <v>0</v>
      </c>
    </row>
    <row r="1215" spans="1:27" x14ac:dyDescent="0.3">
      <c r="A1215" t="s">
        <v>1256</v>
      </c>
      <c r="B1215">
        <v>45789</v>
      </c>
      <c r="C1215" t="s">
        <v>733</v>
      </c>
      <c r="D1215" t="s">
        <v>42</v>
      </c>
      <c r="E1215" t="s">
        <v>34</v>
      </c>
      <c r="F1215" t="s">
        <v>35</v>
      </c>
      <c r="G1215" t="s">
        <v>31</v>
      </c>
      <c r="H1215">
        <v>1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P1215">
        <v>64.099999999999994</v>
      </c>
      <c r="S1215">
        <v>0</v>
      </c>
      <c r="U1215">
        <v>1</v>
      </c>
      <c r="W1215">
        <v>1</v>
      </c>
      <c r="Y1215">
        <v>0</v>
      </c>
      <c r="AA1215">
        <v>0</v>
      </c>
    </row>
    <row r="1216" spans="1:27" x14ac:dyDescent="0.3">
      <c r="A1216" t="s">
        <v>1257</v>
      </c>
      <c r="B1216">
        <v>45744</v>
      </c>
      <c r="C1216" t="s">
        <v>733</v>
      </c>
      <c r="D1216" t="s">
        <v>42</v>
      </c>
      <c r="E1216" t="s">
        <v>34</v>
      </c>
      <c r="F1216" t="s">
        <v>35</v>
      </c>
      <c r="G1216" t="s">
        <v>31</v>
      </c>
      <c r="H1216">
        <v>1</v>
      </c>
      <c r="I1216">
        <v>1</v>
      </c>
      <c r="J1216">
        <v>1</v>
      </c>
      <c r="K1216">
        <v>0</v>
      </c>
      <c r="L1216">
        <v>0</v>
      </c>
      <c r="M1216">
        <v>0</v>
      </c>
      <c r="N1216">
        <v>0</v>
      </c>
      <c r="P1216">
        <v>71.599999999999994</v>
      </c>
      <c r="S1216">
        <v>0</v>
      </c>
      <c r="U1216">
        <v>1</v>
      </c>
      <c r="W1216">
        <v>1</v>
      </c>
      <c r="Y1216">
        <v>1</v>
      </c>
      <c r="AA1216">
        <v>0</v>
      </c>
    </row>
    <row r="1217" spans="1:27" x14ac:dyDescent="0.3">
      <c r="A1217" t="s">
        <v>1258</v>
      </c>
      <c r="B1217">
        <v>45761</v>
      </c>
      <c r="C1217" t="s">
        <v>733</v>
      </c>
      <c r="D1217" t="s">
        <v>28</v>
      </c>
      <c r="E1217" t="s">
        <v>34</v>
      </c>
      <c r="F1217" t="s">
        <v>49</v>
      </c>
      <c r="G1217" t="s">
        <v>31</v>
      </c>
      <c r="H1217">
        <v>1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P1217">
        <v>78.400000000000006</v>
      </c>
      <c r="S1217">
        <v>0</v>
      </c>
      <c r="U1217">
        <v>1</v>
      </c>
      <c r="W1217">
        <v>0</v>
      </c>
      <c r="Y1217">
        <v>0</v>
      </c>
      <c r="AA1217">
        <v>0</v>
      </c>
    </row>
    <row r="1218" spans="1:27" x14ac:dyDescent="0.3">
      <c r="A1218" t="s">
        <v>1259</v>
      </c>
      <c r="B1218">
        <v>45685</v>
      </c>
      <c r="C1218" t="s">
        <v>733</v>
      </c>
      <c r="D1218" t="s">
        <v>38</v>
      </c>
      <c r="E1218" t="s">
        <v>44</v>
      </c>
      <c r="F1218" t="s">
        <v>49</v>
      </c>
      <c r="G1218" t="s">
        <v>31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P1218">
        <v>49.3</v>
      </c>
      <c r="S1218">
        <v>0</v>
      </c>
      <c r="U1218">
        <v>0</v>
      </c>
      <c r="W1218">
        <v>0</v>
      </c>
      <c r="Y1218">
        <v>0</v>
      </c>
      <c r="AA1218">
        <v>0</v>
      </c>
    </row>
    <row r="1219" spans="1:27" x14ac:dyDescent="0.3">
      <c r="A1219" t="s">
        <v>1260</v>
      </c>
      <c r="B1219">
        <v>45798</v>
      </c>
      <c r="C1219" t="s">
        <v>733</v>
      </c>
      <c r="D1219" t="s">
        <v>28</v>
      </c>
      <c r="E1219" t="s">
        <v>34</v>
      </c>
      <c r="F1219" t="s">
        <v>35</v>
      </c>
      <c r="G1219" t="s">
        <v>31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P1219">
        <v>52.8</v>
      </c>
      <c r="S1219">
        <v>0</v>
      </c>
      <c r="U1219">
        <v>0</v>
      </c>
      <c r="W1219">
        <v>0</v>
      </c>
      <c r="Y1219">
        <v>0</v>
      </c>
      <c r="AA1219">
        <v>0</v>
      </c>
    </row>
    <row r="1220" spans="1:27" x14ac:dyDescent="0.3">
      <c r="A1220" t="s">
        <v>1261</v>
      </c>
      <c r="B1220">
        <v>45788</v>
      </c>
      <c r="C1220" t="s">
        <v>733</v>
      </c>
      <c r="D1220" t="s">
        <v>33</v>
      </c>
      <c r="E1220" t="s">
        <v>29</v>
      </c>
      <c r="F1220" t="s">
        <v>35</v>
      </c>
      <c r="G1220" t="s">
        <v>36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P1220">
        <v>58.5</v>
      </c>
      <c r="S1220">
        <v>0</v>
      </c>
      <c r="U1220">
        <v>0</v>
      </c>
      <c r="W1220">
        <v>0</v>
      </c>
      <c r="Y1220">
        <v>0</v>
      </c>
      <c r="AA1220">
        <v>0</v>
      </c>
    </row>
    <row r="1221" spans="1:27" x14ac:dyDescent="0.3">
      <c r="A1221" t="s">
        <v>1262</v>
      </c>
      <c r="B1221">
        <v>45690</v>
      </c>
      <c r="C1221" t="s">
        <v>733</v>
      </c>
      <c r="D1221" t="s">
        <v>42</v>
      </c>
      <c r="E1221" t="s">
        <v>34</v>
      </c>
      <c r="F1221" t="s">
        <v>39</v>
      </c>
      <c r="G1221" t="s">
        <v>36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P1221">
        <v>55.9</v>
      </c>
      <c r="S1221">
        <v>0</v>
      </c>
      <c r="U1221">
        <v>1</v>
      </c>
      <c r="W1221">
        <v>0</v>
      </c>
      <c r="Y1221">
        <v>0</v>
      </c>
      <c r="AA1221">
        <v>0</v>
      </c>
    </row>
    <row r="1222" spans="1:27" x14ac:dyDescent="0.3">
      <c r="A1222" t="s">
        <v>1263</v>
      </c>
      <c r="B1222">
        <v>45714</v>
      </c>
      <c r="C1222" t="s">
        <v>733</v>
      </c>
      <c r="D1222" t="s">
        <v>28</v>
      </c>
      <c r="E1222" t="s">
        <v>34</v>
      </c>
      <c r="F1222" t="s">
        <v>51</v>
      </c>
      <c r="G1222" t="s">
        <v>36</v>
      </c>
      <c r="H1222">
        <v>1</v>
      </c>
      <c r="I1222">
        <v>1</v>
      </c>
      <c r="J1222">
        <v>1</v>
      </c>
      <c r="K1222">
        <v>1</v>
      </c>
      <c r="L1222">
        <v>351.43</v>
      </c>
      <c r="M1222">
        <v>1</v>
      </c>
      <c r="N1222">
        <v>0</v>
      </c>
      <c r="O1222">
        <v>6</v>
      </c>
      <c r="P1222">
        <v>74.900000000000006</v>
      </c>
      <c r="S1222">
        <v>0</v>
      </c>
      <c r="U1222">
        <v>1</v>
      </c>
      <c r="W1222">
        <v>1</v>
      </c>
      <c r="Y1222">
        <v>1</v>
      </c>
      <c r="AA1222">
        <v>1</v>
      </c>
    </row>
    <row r="1223" spans="1:27" x14ac:dyDescent="0.3">
      <c r="A1223" t="s">
        <v>1264</v>
      </c>
      <c r="B1223">
        <v>45715</v>
      </c>
      <c r="C1223" t="s">
        <v>733</v>
      </c>
      <c r="D1223" t="s">
        <v>42</v>
      </c>
      <c r="E1223" t="s">
        <v>29</v>
      </c>
      <c r="F1223" t="s">
        <v>49</v>
      </c>
      <c r="G1223" t="s">
        <v>36</v>
      </c>
      <c r="H1223">
        <v>1</v>
      </c>
      <c r="I1223">
        <v>1</v>
      </c>
      <c r="J1223">
        <v>1</v>
      </c>
      <c r="K1223">
        <v>1</v>
      </c>
      <c r="L1223">
        <v>352.42</v>
      </c>
      <c r="M1223">
        <v>0</v>
      </c>
      <c r="N1223">
        <v>0</v>
      </c>
      <c r="O1223">
        <v>4</v>
      </c>
      <c r="P1223">
        <v>58.5</v>
      </c>
      <c r="S1223">
        <v>1</v>
      </c>
      <c r="U1223">
        <v>1</v>
      </c>
      <c r="W1223">
        <v>1</v>
      </c>
      <c r="Y1223">
        <v>1</v>
      </c>
      <c r="AA1223">
        <v>0</v>
      </c>
    </row>
    <row r="1224" spans="1:27" x14ac:dyDescent="0.3">
      <c r="A1224" t="s">
        <v>1265</v>
      </c>
      <c r="B1224">
        <v>45725</v>
      </c>
      <c r="C1224" t="s">
        <v>733</v>
      </c>
      <c r="D1224" t="s">
        <v>33</v>
      </c>
      <c r="E1224" t="s">
        <v>34</v>
      </c>
      <c r="F1224" t="s">
        <v>35</v>
      </c>
      <c r="G1224" t="s">
        <v>36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P1224">
        <v>63.5</v>
      </c>
      <c r="S1224">
        <v>1</v>
      </c>
      <c r="U1224">
        <v>0</v>
      </c>
      <c r="W1224">
        <v>0</v>
      </c>
      <c r="Y1224">
        <v>0</v>
      </c>
      <c r="AA1224">
        <v>0</v>
      </c>
    </row>
    <row r="1225" spans="1:27" x14ac:dyDescent="0.3">
      <c r="A1225" t="s">
        <v>1266</v>
      </c>
      <c r="B1225">
        <v>45695</v>
      </c>
      <c r="C1225" t="s">
        <v>733</v>
      </c>
      <c r="D1225" t="s">
        <v>28</v>
      </c>
      <c r="E1225" t="s">
        <v>34</v>
      </c>
      <c r="F1225" t="s">
        <v>39</v>
      </c>
      <c r="G1225" t="s">
        <v>31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1</v>
      </c>
      <c r="N1225">
        <v>0</v>
      </c>
      <c r="P1225">
        <v>64.8</v>
      </c>
      <c r="S1225">
        <v>0</v>
      </c>
      <c r="U1225">
        <v>1</v>
      </c>
      <c r="W1225">
        <v>0</v>
      </c>
      <c r="Y1225">
        <v>0</v>
      </c>
      <c r="AA1225">
        <v>1</v>
      </c>
    </row>
    <row r="1226" spans="1:27" x14ac:dyDescent="0.3">
      <c r="A1226" t="s">
        <v>1267</v>
      </c>
      <c r="B1226">
        <v>45688</v>
      </c>
      <c r="C1226" t="s">
        <v>733</v>
      </c>
      <c r="D1226" t="s">
        <v>33</v>
      </c>
      <c r="E1226" t="s">
        <v>34</v>
      </c>
      <c r="F1226" t="s">
        <v>51</v>
      </c>
      <c r="G1226" t="s">
        <v>36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P1226">
        <v>63.3</v>
      </c>
      <c r="S1226">
        <v>0</v>
      </c>
      <c r="U1226">
        <v>0</v>
      </c>
      <c r="W1226">
        <v>0</v>
      </c>
      <c r="Y1226">
        <v>0</v>
      </c>
      <c r="AA1226">
        <v>0</v>
      </c>
    </row>
    <row r="1227" spans="1:27" x14ac:dyDescent="0.3">
      <c r="A1227" t="s">
        <v>1268</v>
      </c>
      <c r="B1227">
        <v>45702</v>
      </c>
      <c r="C1227" t="s">
        <v>733</v>
      </c>
      <c r="D1227" t="s">
        <v>28</v>
      </c>
      <c r="E1227" t="s">
        <v>44</v>
      </c>
      <c r="F1227" t="s">
        <v>39</v>
      </c>
      <c r="G1227" t="s">
        <v>31</v>
      </c>
      <c r="H1227">
        <v>1</v>
      </c>
      <c r="I1227">
        <v>1</v>
      </c>
      <c r="J1227">
        <v>1</v>
      </c>
      <c r="K1227">
        <v>1</v>
      </c>
      <c r="L1227">
        <v>1074.1600000000001</v>
      </c>
      <c r="M1227">
        <v>0</v>
      </c>
      <c r="N1227">
        <v>0</v>
      </c>
      <c r="O1227">
        <v>8</v>
      </c>
      <c r="P1227">
        <v>83.7</v>
      </c>
      <c r="S1227">
        <v>0</v>
      </c>
      <c r="U1227">
        <v>1</v>
      </c>
      <c r="W1227">
        <v>1</v>
      </c>
      <c r="Y1227">
        <v>1</v>
      </c>
      <c r="AA1227">
        <v>0</v>
      </c>
    </row>
    <row r="1228" spans="1:27" x14ac:dyDescent="0.3">
      <c r="A1228" t="s">
        <v>1269</v>
      </c>
      <c r="B1228">
        <v>45700</v>
      </c>
      <c r="C1228" t="s">
        <v>733</v>
      </c>
      <c r="D1228" t="s">
        <v>42</v>
      </c>
      <c r="E1228" t="s">
        <v>29</v>
      </c>
      <c r="F1228" t="s">
        <v>51</v>
      </c>
      <c r="G1228" t="s">
        <v>31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P1228">
        <v>88.7</v>
      </c>
      <c r="S1228">
        <v>1</v>
      </c>
      <c r="U1228">
        <v>0</v>
      </c>
      <c r="W1228">
        <v>0</v>
      </c>
      <c r="Y1228">
        <v>0</v>
      </c>
      <c r="AA1228">
        <v>0</v>
      </c>
    </row>
    <row r="1229" spans="1:27" x14ac:dyDescent="0.3">
      <c r="A1229" t="s">
        <v>1270</v>
      </c>
      <c r="B1229">
        <v>45739</v>
      </c>
      <c r="C1229" t="s">
        <v>733</v>
      </c>
      <c r="D1229" t="s">
        <v>38</v>
      </c>
      <c r="F1229" t="s">
        <v>39</v>
      </c>
      <c r="G1229" t="s">
        <v>36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1</v>
      </c>
      <c r="N1229">
        <v>0</v>
      </c>
      <c r="P1229">
        <v>61.5</v>
      </c>
      <c r="S1229">
        <v>0</v>
      </c>
      <c r="U1229">
        <v>1</v>
      </c>
      <c r="W1229">
        <v>0</v>
      </c>
      <c r="Y1229">
        <v>0</v>
      </c>
      <c r="AA1229">
        <v>1</v>
      </c>
    </row>
    <row r="1230" spans="1:27" x14ac:dyDescent="0.3">
      <c r="A1230" t="s">
        <v>1271</v>
      </c>
      <c r="B1230">
        <v>45734</v>
      </c>
      <c r="C1230" t="s">
        <v>733</v>
      </c>
      <c r="D1230" t="s">
        <v>33</v>
      </c>
      <c r="E1230" t="s">
        <v>34</v>
      </c>
      <c r="F1230" t="s">
        <v>39</v>
      </c>
      <c r="G1230" t="s">
        <v>36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P1230">
        <v>45.3</v>
      </c>
      <c r="S1230">
        <v>0</v>
      </c>
      <c r="U1230">
        <v>0</v>
      </c>
      <c r="W1230">
        <v>0</v>
      </c>
      <c r="Y1230">
        <v>0</v>
      </c>
      <c r="AA1230">
        <v>0</v>
      </c>
    </row>
    <row r="1231" spans="1:27" x14ac:dyDescent="0.3">
      <c r="A1231" t="s">
        <v>1272</v>
      </c>
      <c r="B1231">
        <v>45794</v>
      </c>
      <c r="C1231" t="s">
        <v>733</v>
      </c>
      <c r="D1231" t="s">
        <v>28</v>
      </c>
      <c r="E1231" t="s">
        <v>34</v>
      </c>
      <c r="F1231" t="s">
        <v>51</v>
      </c>
      <c r="G1231" t="s">
        <v>36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P1231">
        <v>37.299999999999997</v>
      </c>
      <c r="S1231">
        <v>0</v>
      </c>
      <c r="U1231">
        <v>1</v>
      </c>
      <c r="W1231">
        <v>0</v>
      </c>
      <c r="Y1231">
        <v>0</v>
      </c>
      <c r="AA1231">
        <v>0</v>
      </c>
    </row>
    <row r="1232" spans="1:27" x14ac:dyDescent="0.3">
      <c r="A1232" t="s">
        <v>1273</v>
      </c>
      <c r="B1232">
        <v>45742</v>
      </c>
      <c r="C1232" t="s">
        <v>733</v>
      </c>
      <c r="D1232" t="s">
        <v>33</v>
      </c>
      <c r="E1232" t="s">
        <v>29</v>
      </c>
      <c r="F1232" t="s">
        <v>51</v>
      </c>
      <c r="G1232" t="s">
        <v>40</v>
      </c>
      <c r="H1232">
        <v>1</v>
      </c>
      <c r="I1232">
        <v>0</v>
      </c>
      <c r="J1232">
        <v>0</v>
      </c>
      <c r="K1232">
        <v>0</v>
      </c>
      <c r="L1232">
        <v>0</v>
      </c>
      <c r="M1232">
        <v>1</v>
      </c>
      <c r="N1232">
        <v>0</v>
      </c>
      <c r="P1232">
        <v>76.099999999999994</v>
      </c>
      <c r="S1232">
        <v>0</v>
      </c>
      <c r="U1232">
        <v>1</v>
      </c>
      <c r="W1232">
        <v>0</v>
      </c>
      <c r="Y1232">
        <v>0</v>
      </c>
      <c r="AA1232">
        <v>1</v>
      </c>
    </row>
    <row r="1233" spans="1:27" x14ac:dyDescent="0.3">
      <c r="A1233" t="s">
        <v>1274</v>
      </c>
      <c r="B1233">
        <v>45746</v>
      </c>
      <c r="C1233" t="s">
        <v>733</v>
      </c>
      <c r="D1233" t="s">
        <v>38</v>
      </c>
      <c r="E1233" t="s">
        <v>34</v>
      </c>
      <c r="F1233" t="s">
        <v>35</v>
      </c>
      <c r="G1233" t="s">
        <v>36</v>
      </c>
      <c r="H1233">
        <v>1</v>
      </c>
      <c r="I1233">
        <v>1</v>
      </c>
      <c r="J1233">
        <v>1</v>
      </c>
      <c r="K1233">
        <v>0</v>
      </c>
      <c r="L1233">
        <v>0</v>
      </c>
      <c r="M1233">
        <v>1</v>
      </c>
      <c r="N1233">
        <v>0</v>
      </c>
      <c r="P1233">
        <v>72.5</v>
      </c>
      <c r="S1233">
        <v>0</v>
      </c>
      <c r="U1233">
        <v>1</v>
      </c>
      <c r="W1233">
        <v>1</v>
      </c>
      <c r="Y1233">
        <v>1</v>
      </c>
      <c r="AA1233">
        <v>1</v>
      </c>
    </row>
    <row r="1234" spans="1:27" x14ac:dyDescent="0.3">
      <c r="A1234" t="s">
        <v>1275</v>
      </c>
      <c r="B1234">
        <v>45713</v>
      </c>
      <c r="C1234" t="s">
        <v>733</v>
      </c>
      <c r="D1234" t="s">
        <v>38</v>
      </c>
      <c r="E1234" t="s">
        <v>29</v>
      </c>
      <c r="F1234" t="s">
        <v>35</v>
      </c>
      <c r="G1234" t="s">
        <v>36</v>
      </c>
      <c r="H1234">
        <v>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P1234">
        <v>62.3</v>
      </c>
      <c r="S1234">
        <v>0</v>
      </c>
      <c r="U1234">
        <v>1</v>
      </c>
      <c r="W1234">
        <v>0</v>
      </c>
      <c r="Y1234">
        <v>0</v>
      </c>
      <c r="AA1234">
        <v>0</v>
      </c>
    </row>
    <row r="1235" spans="1:27" x14ac:dyDescent="0.3">
      <c r="A1235" t="s">
        <v>1276</v>
      </c>
      <c r="B1235">
        <v>45717</v>
      </c>
      <c r="C1235" t="s">
        <v>733</v>
      </c>
      <c r="D1235" t="s">
        <v>38</v>
      </c>
      <c r="E1235" t="s">
        <v>29</v>
      </c>
      <c r="F1235" t="s">
        <v>51</v>
      </c>
      <c r="G1235" t="s">
        <v>36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P1235">
        <v>62.7</v>
      </c>
      <c r="S1235">
        <v>0</v>
      </c>
      <c r="U1235">
        <v>0</v>
      </c>
      <c r="W1235">
        <v>0</v>
      </c>
      <c r="Y1235">
        <v>0</v>
      </c>
      <c r="AA1235">
        <v>0</v>
      </c>
    </row>
    <row r="1236" spans="1:27" x14ac:dyDescent="0.3">
      <c r="A1236" t="s">
        <v>1277</v>
      </c>
      <c r="B1236">
        <v>45804</v>
      </c>
      <c r="C1236" t="s">
        <v>733</v>
      </c>
      <c r="D1236" t="s">
        <v>28</v>
      </c>
      <c r="E1236" t="s">
        <v>34</v>
      </c>
      <c r="F1236" t="s">
        <v>39</v>
      </c>
      <c r="G1236" t="s">
        <v>31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P1236">
        <v>82.4</v>
      </c>
      <c r="S1236">
        <v>0</v>
      </c>
      <c r="U1236">
        <v>0</v>
      </c>
      <c r="W1236">
        <v>0</v>
      </c>
      <c r="Y1236">
        <v>0</v>
      </c>
      <c r="AA1236">
        <v>0</v>
      </c>
    </row>
    <row r="1237" spans="1:27" x14ac:dyDescent="0.3">
      <c r="A1237" t="s">
        <v>1278</v>
      </c>
      <c r="B1237">
        <v>45693</v>
      </c>
      <c r="C1237" t="s">
        <v>733</v>
      </c>
      <c r="D1237" t="s">
        <v>33</v>
      </c>
      <c r="E1237" t="s">
        <v>34</v>
      </c>
      <c r="G1237" t="s">
        <v>40</v>
      </c>
      <c r="H1237">
        <v>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P1237">
        <v>78.900000000000006</v>
      </c>
      <c r="S1237">
        <v>0</v>
      </c>
      <c r="U1237">
        <v>1</v>
      </c>
      <c r="W1237">
        <v>0</v>
      </c>
      <c r="Y1237">
        <v>0</v>
      </c>
      <c r="AA1237">
        <v>0</v>
      </c>
    </row>
    <row r="1238" spans="1:27" x14ac:dyDescent="0.3">
      <c r="A1238" t="s">
        <v>1279</v>
      </c>
      <c r="B1238">
        <v>45682</v>
      </c>
      <c r="C1238" t="s">
        <v>733</v>
      </c>
      <c r="D1238" t="s">
        <v>33</v>
      </c>
      <c r="E1238" t="s">
        <v>29</v>
      </c>
      <c r="F1238" t="s">
        <v>30</v>
      </c>
      <c r="G1238" t="s">
        <v>36</v>
      </c>
      <c r="H1238">
        <v>1</v>
      </c>
      <c r="I1238">
        <v>1</v>
      </c>
      <c r="J1238">
        <v>1</v>
      </c>
      <c r="K1238">
        <v>1</v>
      </c>
      <c r="L1238">
        <v>618.91</v>
      </c>
      <c r="M1238">
        <v>0</v>
      </c>
      <c r="N1238">
        <v>0</v>
      </c>
      <c r="O1238">
        <v>4</v>
      </c>
      <c r="P1238">
        <v>67.8</v>
      </c>
      <c r="S1238">
        <v>0</v>
      </c>
      <c r="U1238">
        <v>1</v>
      </c>
      <c r="W1238">
        <v>1</v>
      </c>
      <c r="Y1238">
        <v>1</v>
      </c>
      <c r="AA1238">
        <v>0</v>
      </c>
    </row>
    <row r="1239" spans="1:27" x14ac:dyDescent="0.3">
      <c r="A1239" t="s">
        <v>1280</v>
      </c>
      <c r="B1239">
        <v>45757</v>
      </c>
      <c r="C1239" t="s">
        <v>733</v>
      </c>
      <c r="D1239" t="s">
        <v>38</v>
      </c>
      <c r="E1239" t="s">
        <v>34</v>
      </c>
      <c r="F1239" t="s">
        <v>35</v>
      </c>
      <c r="G1239" t="s">
        <v>40</v>
      </c>
      <c r="H1239">
        <v>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P1239">
        <v>68.8</v>
      </c>
      <c r="S1239">
        <v>1</v>
      </c>
      <c r="U1239">
        <v>1</v>
      </c>
      <c r="W1239">
        <v>0</v>
      </c>
      <c r="Y1239">
        <v>0</v>
      </c>
      <c r="AA1239">
        <v>0</v>
      </c>
    </row>
    <row r="1240" spans="1:27" x14ac:dyDescent="0.3">
      <c r="A1240" t="s">
        <v>1281</v>
      </c>
      <c r="B1240">
        <v>45667</v>
      </c>
      <c r="C1240" t="s">
        <v>733</v>
      </c>
      <c r="D1240" t="s">
        <v>38</v>
      </c>
      <c r="E1240" t="s">
        <v>34</v>
      </c>
      <c r="F1240" t="s">
        <v>35</v>
      </c>
      <c r="G1240" t="s">
        <v>40</v>
      </c>
      <c r="H1240">
        <v>1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P1240">
        <v>67.7</v>
      </c>
      <c r="S1240">
        <v>0</v>
      </c>
      <c r="U1240">
        <v>1</v>
      </c>
      <c r="W1240">
        <v>0</v>
      </c>
      <c r="Y1240">
        <v>0</v>
      </c>
      <c r="AA1240">
        <v>0</v>
      </c>
    </row>
    <row r="1241" spans="1:27" x14ac:dyDescent="0.3">
      <c r="A1241" t="s">
        <v>1282</v>
      </c>
      <c r="B1241">
        <v>45711</v>
      </c>
      <c r="C1241" t="s">
        <v>733</v>
      </c>
      <c r="D1241" t="s">
        <v>38</v>
      </c>
      <c r="E1241" t="s">
        <v>34</v>
      </c>
      <c r="G1241" t="s">
        <v>36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P1241">
        <v>88</v>
      </c>
      <c r="S1241">
        <v>0</v>
      </c>
      <c r="U1241">
        <v>0</v>
      </c>
      <c r="W1241">
        <v>0</v>
      </c>
      <c r="Y1241">
        <v>0</v>
      </c>
      <c r="AA1241">
        <v>0</v>
      </c>
    </row>
    <row r="1242" spans="1:27" x14ac:dyDescent="0.3">
      <c r="A1242" t="s">
        <v>1283</v>
      </c>
      <c r="B1242">
        <v>45800</v>
      </c>
      <c r="C1242" t="s">
        <v>733</v>
      </c>
      <c r="D1242" t="s">
        <v>33</v>
      </c>
      <c r="E1242" t="s">
        <v>29</v>
      </c>
      <c r="F1242" t="s">
        <v>35</v>
      </c>
      <c r="G1242" t="s">
        <v>31</v>
      </c>
      <c r="H1242">
        <v>1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P1242">
        <v>80.099999999999994</v>
      </c>
      <c r="S1242">
        <v>0</v>
      </c>
      <c r="U1242">
        <v>1</v>
      </c>
      <c r="W1242">
        <v>1</v>
      </c>
      <c r="Y1242">
        <v>0</v>
      </c>
      <c r="AA1242">
        <v>0</v>
      </c>
    </row>
    <row r="1243" spans="1:27" x14ac:dyDescent="0.3">
      <c r="A1243" t="s">
        <v>1284</v>
      </c>
      <c r="B1243">
        <v>45724</v>
      </c>
      <c r="C1243" t="s">
        <v>733</v>
      </c>
      <c r="D1243" t="s">
        <v>28</v>
      </c>
      <c r="E1243" t="s">
        <v>44</v>
      </c>
      <c r="F1243" t="s">
        <v>30</v>
      </c>
      <c r="G1243" t="s">
        <v>31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1</v>
      </c>
      <c r="N1243">
        <v>0</v>
      </c>
      <c r="P1243">
        <v>48.2</v>
      </c>
      <c r="S1243">
        <v>0</v>
      </c>
      <c r="U1243">
        <v>0</v>
      </c>
      <c r="W1243">
        <v>0</v>
      </c>
      <c r="Y1243">
        <v>0</v>
      </c>
      <c r="AA1243">
        <v>1</v>
      </c>
    </row>
    <row r="1244" spans="1:27" x14ac:dyDescent="0.3">
      <c r="A1244" t="s">
        <v>1285</v>
      </c>
      <c r="B1244">
        <v>45798</v>
      </c>
      <c r="C1244" t="s">
        <v>733</v>
      </c>
      <c r="D1244" t="s">
        <v>38</v>
      </c>
      <c r="E1244" t="s">
        <v>34</v>
      </c>
      <c r="F1244" t="s">
        <v>35</v>
      </c>
      <c r="G1244" t="s">
        <v>31</v>
      </c>
      <c r="H1244">
        <v>1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P1244">
        <v>52.7</v>
      </c>
      <c r="S1244">
        <v>0</v>
      </c>
      <c r="U1244">
        <v>1</v>
      </c>
      <c r="W1244">
        <v>0</v>
      </c>
      <c r="Y1244">
        <v>0</v>
      </c>
      <c r="AA1244">
        <v>0</v>
      </c>
    </row>
    <row r="1245" spans="1:27" x14ac:dyDescent="0.3">
      <c r="A1245" t="s">
        <v>1286</v>
      </c>
      <c r="B1245">
        <v>45769</v>
      </c>
      <c r="C1245" t="s">
        <v>733</v>
      </c>
      <c r="D1245" t="s">
        <v>28</v>
      </c>
      <c r="E1245" t="s">
        <v>34</v>
      </c>
      <c r="F1245" t="s">
        <v>30</v>
      </c>
      <c r="G1245" t="s">
        <v>31</v>
      </c>
      <c r="H1245">
        <v>1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P1245">
        <v>59.9</v>
      </c>
      <c r="S1245">
        <v>0</v>
      </c>
      <c r="U1245">
        <v>1</v>
      </c>
      <c r="W1245">
        <v>1</v>
      </c>
      <c r="Y1245">
        <v>0</v>
      </c>
      <c r="AA1245">
        <v>0</v>
      </c>
    </row>
    <row r="1246" spans="1:27" x14ac:dyDescent="0.3">
      <c r="A1246" t="s">
        <v>1287</v>
      </c>
      <c r="B1246">
        <v>45763</v>
      </c>
      <c r="C1246" t="s">
        <v>733</v>
      </c>
      <c r="D1246" t="s">
        <v>28</v>
      </c>
      <c r="E1246" t="s">
        <v>34</v>
      </c>
      <c r="F1246" t="s">
        <v>30</v>
      </c>
      <c r="G1246" t="s">
        <v>40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P1246">
        <v>49.5</v>
      </c>
      <c r="S1246">
        <v>0</v>
      </c>
      <c r="U1246">
        <v>1</v>
      </c>
      <c r="W1246">
        <v>0</v>
      </c>
      <c r="Y1246">
        <v>0</v>
      </c>
      <c r="AA1246">
        <v>0</v>
      </c>
    </row>
    <row r="1247" spans="1:27" x14ac:dyDescent="0.3">
      <c r="A1247" t="s">
        <v>1288</v>
      </c>
      <c r="B1247">
        <v>45785</v>
      </c>
      <c r="C1247" t="s">
        <v>733</v>
      </c>
      <c r="D1247" t="s">
        <v>28</v>
      </c>
      <c r="E1247" t="s">
        <v>44</v>
      </c>
      <c r="F1247" t="s">
        <v>35</v>
      </c>
      <c r="G1247" t="s">
        <v>36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P1247">
        <v>41.5</v>
      </c>
      <c r="S1247">
        <v>0</v>
      </c>
      <c r="U1247">
        <v>1</v>
      </c>
      <c r="W1247">
        <v>0</v>
      </c>
      <c r="Y1247">
        <v>0</v>
      </c>
      <c r="AA1247">
        <v>0</v>
      </c>
    </row>
    <row r="1248" spans="1:27" x14ac:dyDescent="0.3">
      <c r="A1248" t="s">
        <v>1289</v>
      </c>
      <c r="B1248">
        <v>45799</v>
      </c>
      <c r="C1248" t="s">
        <v>733</v>
      </c>
      <c r="D1248" t="s">
        <v>28</v>
      </c>
      <c r="E1248" t="s">
        <v>34</v>
      </c>
      <c r="F1248" t="s">
        <v>39</v>
      </c>
      <c r="G1248" t="s">
        <v>31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P1248">
        <v>71.2</v>
      </c>
      <c r="S1248">
        <v>0</v>
      </c>
      <c r="U1248">
        <v>1</v>
      </c>
      <c r="W1248">
        <v>0</v>
      </c>
      <c r="Y1248">
        <v>0</v>
      </c>
      <c r="AA1248">
        <v>0</v>
      </c>
    </row>
    <row r="1249" spans="1:27" x14ac:dyDescent="0.3">
      <c r="A1249" t="s">
        <v>1290</v>
      </c>
      <c r="B1249">
        <v>45737</v>
      </c>
      <c r="C1249" t="s">
        <v>733</v>
      </c>
      <c r="D1249" t="s">
        <v>28</v>
      </c>
      <c r="E1249" t="s">
        <v>34</v>
      </c>
      <c r="F1249" t="s">
        <v>49</v>
      </c>
      <c r="G1249" t="s">
        <v>31</v>
      </c>
      <c r="H1249">
        <v>1</v>
      </c>
      <c r="I1249">
        <v>1</v>
      </c>
      <c r="J1249">
        <v>1</v>
      </c>
      <c r="K1249">
        <v>0</v>
      </c>
      <c r="L1249">
        <v>0</v>
      </c>
      <c r="M1249">
        <v>0</v>
      </c>
      <c r="N1249">
        <v>0</v>
      </c>
      <c r="P1249">
        <v>65.8</v>
      </c>
      <c r="S1249">
        <v>0</v>
      </c>
      <c r="U1249">
        <v>1</v>
      </c>
      <c r="W1249">
        <v>1</v>
      </c>
      <c r="Y1249">
        <v>1</v>
      </c>
      <c r="AA1249">
        <v>0</v>
      </c>
    </row>
    <row r="1250" spans="1:27" x14ac:dyDescent="0.3">
      <c r="A1250" t="s">
        <v>1291</v>
      </c>
      <c r="B1250">
        <v>45738</v>
      </c>
      <c r="C1250" t="s">
        <v>733</v>
      </c>
      <c r="D1250" t="s">
        <v>38</v>
      </c>
      <c r="E1250" t="s">
        <v>34</v>
      </c>
      <c r="F1250" t="s">
        <v>35</v>
      </c>
      <c r="G1250" t="s">
        <v>31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1</v>
      </c>
      <c r="N1250">
        <v>0</v>
      </c>
      <c r="P1250">
        <v>55.1</v>
      </c>
      <c r="S1250">
        <v>0</v>
      </c>
      <c r="U1250">
        <v>1</v>
      </c>
      <c r="W1250">
        <v>0</v>
      </c>
      <c r="Y1250">
        <v>0</v>
      </c>
      <c r="AA1250">
        <v>1</v>
      </c>
    </row>
    <row r="1251" spans="1:27" x14ac:dyDescent="0.3">
      <c r="A1251" t="s">
        <v>1292</v>
      </c>
      <c r="B1251">
        <v>45667</v>
      </c>
      <c r="C1251" t="s">
        <v>733</v>
      </c>
      <c r="D1251" t="s">
        <v>33</v>
      </c>
      <c r="E1251" t="s">
        <v>29</v>
      </c>
      <c r="F1251" t="s">
        <v>51</v>
      </c>
      <c r="G1251" t="s">
        <v>36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P1251">
        <v>54.6</v>
      </c>
      <c r="S1251">
        <v>0</v>
      </c>
      <c r="U1251">
        <v>1</v>
      </c>
      <c r="W1251">
        <v>0</v>
      </c>
      <c r="Y1251">
        <v>0</v>
      </c>
      <c r="AA1251">
        <v>0</v>
      </c>
    </row>
    <row r="1252" spans="1:27" x14ac:dyDescent="0.3">
      <c r="A1252" t="s">
        <v>1293</v>
      </c>
      <c r="B1252">
        <v>45689</v>
      </c>
      <c r="C1252" t="s">
        <v>733</v>
      </c>
      <c r="D1252" t="s">
        <v>38</v>
      </c>
      <c r="E1252" t="s">
        <v>34</v>
      </c>
      <c r="F1252" t="s">
        <v>35</v>
      </c>
      <c r="G1252" t="s">
        <v>31</v>
      </c>
      <c r="H1252">
        <v>1</v>
      </c>
      <c r="I1252">
        <v>1</v>
      </c>
      <c r="J1252">
        <v>1</v>
      </c>
      <c r="K1252">
        <v>1</v>
      </c>
      <c r="L1252">
        <v>923.67</v>
      </c>
      <c r="M1252">
        <v>0</v>
      </c>
      <c r="N1252">
        <v>0</v>
      </c>
      <c r="O1252">
        <v>4</v>
      </c>
      <c r="P1252">
        <v>81.900000000000006</v>
      </c>
      <c r="S1252">
        <v>0</v>
      </c>
      <c r="U1252">
        <v>1</v>
      </c>
      <c r="W1252">
        <v>1</v>
      </c>
      <c r="Y1252">
        <v>1</v>
      </c>
      <c r="AA1252">
        <v>0</v>
      </c>
    </row>
    <row r="1253" spans="1:27" x14ac:dyDescent="0.3">
      <c r="A1253" t="s">
        <v>1294</v>
      </c>
      <c r="B1253">
        <v>45747</v>
      </c>
      <c r="C1253" t="s">
        <v>733</v>
      </c>
      <c r="D1253" t="s">
        <v>42</v>
      </c>
      <c r="E1253" t="s">
        <v>34</v>
      </c>
      <c r="F1253" t="s">
        <v>39</v>
      </c>
      <c r="G1253" t="s">
        <v>31</v>
      </c>
      <c r="H1253">
        <v>1</v>
      </c>
      <c r="I1253">
        <v>1</v>
      </c>
      <c r="J1253">
        <v>0</v>
      </c>
      <c r="K1253">
        <v>0</v>
      </c>
      <c r="L1253">
        <v>0</v>
      </c>
      <c r="M1253">
        <v>3</v>
      </c>
      <c r="N1253">
        <v>0</v>
      </c>
      <c r="P1253">
        <v>63.2</v>
      </c>
      <c r="S1253">
        <v>1</v>
      </c>
      <c r="U1253">
        <v>1</v>
      </c>
      <c r="W1253">
        <v>1</v>
      </c>
      <c r="Y1253">
        <v>0</v>
      </c>
      <c r="AA1253">
        <v>3</v>
      </c>
    </row>
    <row r="1254" spans="1:27" x14ac:dyDescent="0.3">
      <c r="A1254" t="s">
        <v>1295</v>
      </c>
      <c r="B1254">
        <v>45772</v>
      </c>
      <c r="C1254" t="s">
        <v>733</v>
      </c>
      <c r="D1254" t="s">
        <v>28</v>
      </c>
      <c r="E1254" t="s">
        <v>34</v>
      </c>
      <c r="F1254" t="s">
        <v>39</v>
      </c>
      <c r="G1254" t="s">
        <v>36</v>
      </c>
      <c r="H1254">
        <v>1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P1254">
        <v>55.4</v>
      </c>
      <c r="S1254">
        <v>0</v>
      </c>
      <c r="U1254">
        <v>1</v>
      </c>
      <c r="W1254">
        <v>0</v>
      </c>
      <c r="Y1254">
        <v>0</v>
      </c>
      <c r="AA1254">
        <v>0</v>
      </c>
    </row>
    <row r="1255" spans="1:27" x14ac:dyDescent="0.3">
      <c r="A1255" t="s">
        <v>1296</v>
      </c>
      <c r="B1255">
        <v>45779</v>
      </c>
      <c r="C1255" t="s">
        <v>733</v>
      </c>
      <c r="D1255" t="s">
        <v>33</v>
      </c>
      <c r="E1255" t="s">
        <v>34</v>
      </c>
      <c r="F1255" t="s">
        <v>51</v>
      </c>
      <c r="G1255" t="s">
        <v>31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P1255">
        <v>87.5</v>
      </c>
      <c r="S1255">
        <v>0</v>
      </c>
      <c r="U1255">
        <v>0</v>
      </c>
      <c r="W1255">
        <v>0</v>
      </c>
      <c r="Y1255">
        <v>0</v>
      </c>
      <c r="AA1255">
        <v>0</v>
      </c>
    </row>
    <row r="1256" spans="1:27" x14ac:dyDescent="0.3">
      <c r="A1256" t="s">
        <v>1297</v>
      </c>
      <c r="B1256">
        <v>45724</v>
      </c>
      <c r="C1256" t="s">
        <v>733</v>
      </c>
      <c r="D1256" t="s">
        <v>42</v>
      </c>
      <c r="E1256" t="s">
        <v>29</v>
      </c>
      <c r="F1256" t="s">
        <v>51</v>
      </c>
      <c r="G1256" t="s">
        <v>31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P1256">
        <v>48.5</v>
      </c>
      <c r="S1256">
        <v>0</v>
      </c>
      <c r="U1256">
        <v>1</v>
      </c>
      <c r="W1256">
        <v>0</v>
      </c>
      <c r="Y1256">
        <v>0</v>
      </c>
      <c r="AA1256">
        <v>0</v>
      </c>
    </row>
    <row r="1257" spans="1:27" x14ac:dyDescent="0.3">
      <c r="A1257" t="s">
        <v>1298</v>
      </c>
      <c r="B1257">
        <v>45684</v>
      </c>
      <c r="C1257" t="s">
        <v>733</v>
      </c>
      <c r="D1257" t="s">
        <v>38</v>
      </c>
      <c r="E1257" t="s">
        <v>29</v>
      </c>
      <c r="G1257" t="s">
        <v>36</v>
      </c>
      <c r="H1257">
        <v>1</v>
      </c>
      <c r="I1257">
        <v>1</v>
      </c>
      <c r="J1257">
        <v>1</v>
      </c>
      <c r="K1257">
        <v>1</v>
      </c>
      <c r="L1257">
        <v>420.27</v>
      </c>
      <c r="M1257">
        <v>0</v>
      </c>
      <c r="N1257">
        <v>0</v>
      </c>
      <c r="O1257">
        <v>6</v>
      </c>
      <c r="P1257">
        <v>58.4</v>
      </c>
      <c r="S1257">
        <v>0</v>
      </c>
      <c r="U1257">
        <v>1</v>
      </c>
      <c r="W1257">
        <v>1</v>
      </c>
      <c r="Y1257">
        <v>1</v>
      </c>
      <c r="AA1257">
        <v>0</v>
      </c>
    </row>
    <row r="1258" spans="1:27" x14ac:dyDescent="0.3">
      <c r="A1258" t="s">
        <v>1299</v>
      </c>
      <c r="B1258">
        <v>45774</v>
      </c>
      <c r="C1258" t="s">
        <v>733</v>
      </c>
      <c r="D1258" t="s">
        <v>33</v>
      </c>
      <c r="E1258" t="s">
        <v>34</v>
      </c>
      <c r="F1258" t="s">
        <v>39</v>
      </c>
      <c r="G1258" t="s">
        <v>36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P1258">
        <v>59.5</v>
      </c>
      <c r="S1258">
        <v>1</v>
      </c>
      <c r="U1258">
        <v>0</v>
      </c>
      <c r="W1258">
        <v>0</v>
      </c>
      <c r="Y1258">
        <v>0</v>
      </c>
      <c r="AA1258">
        <v>0</v>
      </c>
    </row>
    <row r="1259" spans="1:27" x14ac:dyDescent="0.3">
      <c r="A1259" t="s">
        <v>1300</v>
      </c>
      <c r="B1259">
        <v>45673</v>
      </c>
      <c r="C1259" t="s">
        <v>733</v>
      </c>
      <c r="D1259" t="s">
        <v>33</v>
      </c>
      <c r="E1259" t="s">
        <v>29</v>
      </c>
      <c r="F1259" t="s">
        <v>39</v>
      </c>
      <c r="G1259" t="s">
        <v>31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P1259">
        <v>93.2</v>
      </c>
      <c r="S1259">
        <v>0</v>
      </c>
      <c r="U1259">
        <v>1</v>
      </c>
      <c r="W1259">
        <v>0</v>
      </c>
      <c r="Y1259">
        <v>0</v>
      </c>
      <c r="AA1259">
        <v>0</v>
      </c>
    </row>
    <row r="1260" spans="1:27" x14ac:dyDescent="0.3">
      <c r="A1260" t="s">
        <v>1301</v>
      </c>
      <c r="B1260">
        <v>45675</v>
      </c>
      <c r="C1260" t="s">
        <v>733</v>
      </c>
      <c r="D1260" t="s">
        <v>33</v>
      </c>
      <c r="E1260" t="s">
        <v>29</v>
      </c>
      <c r="F1260" t="s">
        <v>39</v>
      </c>
      <c r="G1260" t="s">
        <v>31</v>
      </c>
      <c r="H1260">
        <v>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P1260">
        <v>59</v>
      </c>
      <c r="S1260">
        <v>0</v>
      </c>
      <c r="U1260">
        <v>1</v>
      </c>
      <c r="W1260">
        <v>0</v>
      </c>
      <c r="Y1260">
        <v>0</v>
      </c>
      <c r="AA1260">
        <v>0</v>
      </c>
    </row>
    <row r="1261" spans="1:27" x14ac:dyDescent="0.3">
      <c r="A1261" t="s">
        <v>1302</v>
      </c>
      <c r="B1261">
        <v>45737</v>
      </c>
      <c r="C1261" t="s">
        <v>733</v>
      </c>
      <c r="D1261" t="s">
        <v>28</v>
      </c>
      <c r="E1261" t="s">
        <v>34</v>
      </c>
      <c r="F1261" t="s">
        <v>35</v>
      </c>
      <c r="G1261" t="s">
        <v>36</v>
      </c>
      <c r="H1261">
        <v>1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P1261">
        <v>37</v>
      </c>
      <c r="S1261">
        <v>0</v>
      </c>
      <c r="U1261">
        <v>1</v>
      </c>
      <c r="W1261">
        <v>0</v>
      </c>
      <c r="Y1261">
        <v>0</v>
      </c>
      <c r="AA1261">
        <v>0</v>
      </c>
    </row>
    <row r="1262" spans="1:27" x14ac:dyDescent="0.3">
      <c r="A1262" t="s">
        <v>1303</v>
      </c>
      <c r="B1262">
        <v>45749</v>
      </c>
      <c r="C1262" t="s">
        <v>733</v>
      </c>
      <c r="D1262" t="s">
        <v>28</v>
      </c>
      <c r="E1262" t="s">
        <v>29</v>
      </c>
      <c r="F1262" t="s">
        <v>39</v>
      </c>
      <c r="G1262" t="s">
        <v>36</v>
      </c>
      <c r="H1262">
        <v>1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P1262">
        <v>47.5</v>
      </c>
      <c r="S1262">
        <v>0</v>
      </c>
      <c r="U1262">
        <v>1</v>
      </c>
      <c r="W1262">
        <v>0</v>
      </c>
      <c r="Y1262">
        <v>0</v>
      </c>
      <c r="AA1262">
        <v>0</v>
      </c>
    </row>
    <row r="1263" spans="1:27" x14ac:dyDescent="0.3">
      <c r="A1263" t="s">
        <v>1304</v>
      </c>
      <c r="B1263">
        <v>45704</v>
      </c>
      <c r="C1263" t="s">
        <v>733</v>
      </c>
      <c r="D1263" t="s">
        <v>33</v>
      </c>
      <c r="E1263" t="s">
        <v>29</v>
      </c>
      <c r="F1263" t="s">
        <v>35</v>
      </c>
      <c r="G1263" t="s">
        <v>36</v>
      </c>
      <c r="H1263">
        <v>1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P1263">
        <v>78.7</v>
      </c>
      <c r="S1263">
        <v>0</v>
      </c>
      <c r="U1263">
        <v>1</v>
      </c>
      <c r="W1263">
        <v>1</v>
      </c>
      <c r="Y1263">
        <v>1</v>
      </c>
      <c r="AA1263">
        <v>0</v>
      </c>
    </row>
    <row r="1264" spans="1:27" x14ac:dyDescent="0.3">
      <c r="A1264" t="s">
        <v>1305</v>
      </c>
      <c r="B1264">
        <v>45706</v>
      </c>
      <c r="C1264" t="s">
        <v>733</v>
      </c>
      <c r="D1264" t="s">
        <v>28</v>
      </c>
      <c r="E1264" t="s">
        <v>34</v>
      </c>
      <c r="F1264" t="s">
        <v>51</v>
      </c>
      <c r="G1264" t="s">
        <v>36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P1264">
        <v>49.6</v>
      </c>
      <c r="S1264">
        <v>0</v>
      </c>
      <c r="U1264">
        <v>1</v>
      </c>
      <c r="W1264">
        <v>0</v>
      </c>
      <c r="Y1264">
        <v>0</v>
      </c>
      <c r="AA1264">
        <v>0</v>
      </c>
    </row>
    <row r="1265" spans="1:27" x14ac:dyDescent="0.3">
      <c r="A1265" t="s">
        <v>1306</v>
      </c>
      <c r="B1265">
        <v>45666</v>
      </c>
      <c r="C1265" t="s">
        <v>733</v>
      </c>
      <c r="D1265" t="s">
        <v>38</v>
      </c>
      <c r="E1265" t="s">
        <v>34</v>
      </c>
      <c r="F1265" t="s">
        <v>35</v>
      </c>
      <c r="G1265" t="s">
        <v>36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P1265">
        <v>58</v>
      </c>
      <c r="S1265">
        <v>0</v>
      </c>
      <c r="U1265">
        <v>1</v>
      </c>
      <c r="W1265">
        <v>0</v>
      </c>
      <c r="Y1265">
        <v>0</v>
      </c>
      <c r="AA1265">
        <v>0</v>
      </c>
    </row>
    <row r="1266" spans="1:27" x14ac:dyDescent="0.3">
      <c r="A1266" t="s">
        <v>1307</v>
      </c>
      <c r="B1266">
        <v>45706</v>
      </c>
      <c r="C1266" t="s">
        <v>733</v>
      </c>
      <c r="D1266" t="s">
        <v>28</v>
      </c>
      <c r="E1266" t="s">
        <v>29</v>
      </c>
      <c r="F1266" t="s">
        <v>39</v>
      </c>
      <c r="G1266" t="s">
        <v>36</v>
      </c>
      <c r="H1266">
        <v>1</v>
      </c>
      <c r="I1266">
        <v>0</v>
      </c>
      <c r="J1266">
        <v>0</v>
      </c>
      <c r="K1266">
        <v>0</v>
      </c>
      <c r="L1266">
        <v>0</v>
      </c>
      <c r="M1266">
        <v>1</v>
      </c>
      <c r="N1266">
        <v>0</v>
      </c>
      <c r="P1266">
        <v>54.4</v>
      </c>
      <c r="S1266">
        <v>0</v>
      </c>
      <c r="U1266">
        <v>1</v>
      </c>
      <c r="W1266">
        <v>0</v>
      </c>
      <c r="Y1266">
        <v>0</v>
      </c>
      <c r="AA1266">
        <v>1</v>
      </c>
    </row>
    <row r="1267" spans="1:27" x14ac:dyDescent="0.3">
      <c r="A1267" t="s">
        <v>1308</v>
      </c>
      <c r="B1267">
        <v>45667</v>
      </c>
      <c r="C1267" t="s">
        <v>733</v>
      </c>
      <c r="D1267" t="s">
        <v>38</v>
      </c>
      <c r="E1267" t="s">
        <v>34</v>
      </c>
      <c r="F1267" t="s">
        <v>49</v>
      </c>
      <c r="G1267" t="s">
        <v>36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P1267">
        <v>33.700000000000003</v>
      </c>
      <c r="S1267">
        <v>0</v>
      </c>
      <c r="U1267">
        <v>0</v>
      </c>
      <c r="W1267">
        <v>0</v>
      </c>
      <c r="Y1267">
        <v>0</v>
      </c>
      <c r="AA1267">
        <v>0</v>
      </c>
    </row>
    <row r="1268" spans="1:27" x14ac:dyDescent="0.3">
      <c r="A1268" t="s">
        <v>1309</v>
      </c>
      <c r="B1268">
        <v>45724</v>
      </c>
      <c r="C1268" t="s">
        <v>733</v>
      </c>
      <c r="D1268" t="s">
        <v>33</v>
      </c>
      <c r="E1268" t="s">
        <v>34</v>
      </c>
      <c r="F1268" t="s">
        <v>30</v>
      </c>
      <c r="G1268" t="s">
        <v>36</v>
      </c>
      <c r="H1268">
        <v>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P1268">
        <v>72.7</v>
      </c>
      <c r="S1268">
        <v>0</v>
      </c>
      <c r="U1268">
        <v>1</v>
      </c>
      <c r="W1268">
        <v>0</v>
      </c>
      <c r="Y1268">
        <v>0</v>
      </c>
      <c r="AA1268">
        <v>0</v>
      </c>
    </row>
    <row r="1269" spans="1:27" x14ac:dyDescent="0.3">
      <c r="A1269" t="s">
        <v>1310</v>
      </c>
      <c r="B1269">
        <v>45763</v>
      </c>
      <c r="C1269" t="s">
        <v>733</v>
      </c>
      <c r="D1269" t="s">
        <v>38</v>
      </c>
      <c r="E1269" t="s">
        <v>29</v>
      </c>
      <c r="F1269" t="s">
        <v>39</v>
      </c>
      <c r="G1269" t="s">
        <v>31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P1269">
        <v>64.7</v>
      </c>
      <c r="S1269">
        <v>0</v>
      </c>
      <c r="U1269">
        <v>0</v>
      </c>
      <c r="W1269">
        <v>0</v>
      </c>
      <c r="Y1269">
        <v>0</v>
      </c>
      <c r="AA1269">
        <v>0</v>
      </c>
    </row>
    <row r="1270" spans="1:27" x14ac:dyDescent="0.3">
      <c r="A1270" t="s">
        <v>1311</v>
      </c>
      <c r="B1270">
        <v>45707</v>
      </c>
      <c r="C1270" t="s">
        <v>733</v>
      </c>
      <c r="D1270" t="s">
        <v>33</v>
      </c>
      <c r="E1270" t="s">
        <v>29</v>
      </c>
      <c r="F1270" t="s">
        <v>39</v>
      </c>
      <c r="G1270" t="s">
        <v>40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1</v>
      </c>
      <c r="N1270">
        <v>0</v>
      </c>
      <c r="P1270">
        <v>48.6</v>
      </c>
      <c r="S1270">
        <v>0</v>
      </c>
      <c r="U1270">
        <v>0</v>
      </c>
      <c r="W1270">
        <v>0</v>
      </c>
      <c r="Y1270">
        <v>0</v>
      </c>
      <c r="AA1270">
        <v>1</v>
      </c>
    </row>
    <row r="1271" spans="1:27" x14ac:dyDescent="0.3">
      <c r="A1271" t="s">
        <v>1312</v>
      </c>
      <c r="B1271">
        <v>45732</v>
      </c>
      <c r="C1271" t="s">
        <v>733</v>
      </c>
      <c r="D1271" t="s">
        <v>38</v>
      </c>
      <c r="E1271" t="s">
        <v>29</v>
      </c>
      <c r="F1271" t="s">
        <v>51</v>
      </c>
      <c r="G1271" t="s">
        <v>36</v>
      </c>
      <c r="H1271">
        <v>1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P1271">
        <v>66.2</v>
      </c>
      <c r="S1271">
        <v>0</v>
      </c>
      <c r="U1271">
        <v>1</v>
      </c>
      <c r="W1271">
        <v>1</v>
      </c>
      <c r="Y1271">
        <v>0</v>
      </c>
      <c r="AA1271">
        <v>0</v>
      </c>
    </row>
    <row r="1272" spans="1:27" x14ac:dyDescent="0.3">
      <c r="A1272" t="s">
        <v>1313</v>
      </c>
      <c r="B1272">
        <v>45691</v>
      </c>
      <c r="C1272" t="s">
        <v>733</v>
      </c>
      <c r="D1272" t="s">
        <v>33</v>
      </c>
      <c r="F1272" t="s">
        <v>49</v>
      </c>
      <c r="G1272" t="s">
        <v>31</v>
      </c>
      <c r="H1272">
        <v>1</v>
      </c>
      <c r="I1272">
        <v>0</v>
      </c>
      <c r="J1272">
        <v>0</v>
      </c>
      <c r="K1272">
        <v>0</v>
      </c>
      <c r="L1272">
        <v>0</v>
      </c>
      <c r="M1272">
        <v>1</v>
      </c>
      <c r="N1272">
        <v>0</v>
      </c>
      <c r="P1272">
        <v>60.7</v>
      </c>
      <c r="S1272">
        <v>0</v>
      </c>
      <c r="U1272">
        <v>1</v>
      </c>
      <c r="W1272">
        <v>0</v>
      </c>
      <c r="Y1272">
        <v>0</v>
      </c>
      <c r="AA1272">
        <v>1</v>
      </c>
    </row>
    <row r="1273" spans="1:27" x14ac:dyDescent="0.3">
      <c r="A1273" t="s">
        <v>1314</v>
      </c>
      <c r="B1273">
        <v>45728</v>
      </c>
      <c r="C1273" t="s">
        <v>733</v>
      </c>
      <c r="D1273" t="s">
        <v>33</v>
      </c>
      <c r="E1273" t="s">
        <v>34</v>
      </c>
      <c r="F1273" t="s">
        <v>39</v>
      </c>
      <c r="G1273" t="s">
        <v>31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P1273">
        <v>36.5</v>
      </c>
      <c r="S1273">
        <v>0</v>
      </c>
      <c r="U1273">
        <v>1</v>
      </c>
      <c r="W1273">
        <v>0</v>
      </c>
      <c r="Y1273">
        <v>0</v>
      </c>
      <c r="AA1273">
        <v>0</v>
      </c>
    </row>
    <row r="1274" spans="1:27" x14ac:dyDescent="0.3">
      <c r="A1274" t="s">
        <v>1315</v>
      </c>
      <c r="B1274">
        <v>45786</v>
      </c>
      <c r="C1274" t="s">
        <v>733</v>
      </c>
      <c r="D1274" t="s">
        <v>33</v>
      </c>
      <c r="E1274" t="s">
        <v>34</v>
      </c>
      <c r="F1274" t="s">
        <v>51</v>
      </c>
      <c r="G1274" t="s">
        <v>36</v>
      </c>
      <c r="H1274">
        <v>1</v>
      </c>
      <c r="I1274">
        <v>1</v>
      </c>
      <c r="J1274">
        <v>1</v>
      </c>
      <c r="K1274">
        <v>0</v>
      </c>
      <c r="L1274">
        <v>0</v>
      </c>
      <c r="M1274">
        <v>3</v>
      </c>
      <c r="N1274">
        <v>0</v>
      </c>
      <c r="P1274">
        <v>69.7</v>
      </c>
      <c r="S1274">
        <v>0</v>
      </c>
      <c r="U1274">
        <v>1</v>
      </c>
      <c r="W1274">
        <v>1</v>
      </c>
      <c r="Y1274">
        <v>1</v>
      </c>
      <c r="AA1274">
        <v>3</v>
      </c>
    </row>
    <row r="1275" spans="1:27" x14ac:dyDescent="0.3">
      <c r="A1275" t="s">
        <v>1316</v>
      </c>
      <c r="B1275">
        <v>45676</v>
      </c>
      <c r="C1275" t="s">
        <v>733</v>
      </c>
      <c r="D1275" t="s">
        <v>42</v>
      </c>
      <c r="E1275" t="s">
        <v>29</v>
      </c>
      <c r="F1275" t="s">
        <v>51</v>
      </c>
      <c r="G1275" t="s">
        <v>40</v>
      </c>
      <c r="H1275">
        <v>1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P1275">
        <v>81.8</v>
      </c>
      <c r="S1275">
        <v>0</v>
      </c>
      <c r="U1275">
        <v>1</v>
      </c>
      <c r="W1275">
        <v>0</v>
      </c>
      <c r="Y1275">
        <v>0</v>
      </c>
      <c r="AA1275">
        <v>0</v>
      </c>
    </row>
    <row r="1276" spans="1:27" x14ac:dyDescent="0.3">
      <c r="A1276" t="s">
        <v>1317</v>
      </c>
      <c r="B1276">
        <v>45681</v>
      </c>
      <c r="C1276" t="s">
        <v>733</v>
      </c>
      <c r="D1276" t="s">
        <v>33</v>
      </c>
      <c r="E1276" t="s">
        <v>34</v>
      </c>
      <c r="F1276" t="s">
        <v>49</v>
      </c>
      <c r="G1276" t="s">
        <v>36</v>
      </c>
      <c r="H1276">
        <v>1</v>
      </c>
      <c r="I1276">
        <v>1</v>
      </c>
      <c r="J1276">
        <v>1</v>
      </c>
      <c r="K1276">
        <v>0</v>
      </c>
      <c r="L1276">
        <v>0</v>
      </c>
      <c r="M1276">
        <v>1</v>
      </c>
      <c r="N1276">
        <v>0</v>
      </c>
      <c r="P1276">
        <v>78.3</v>
      </c>
      <c r="S1276">
        <v>0</v>
      </c>
      <c r="U1276">
        <v>1</v>
      </c>
      <c r="W1276">
        <v>1</v>
      </c>
      <c r="Y1276">
        <v>1</v>
      </c>
      <c r="AA1276">
        <v>1</v>
      </c>
    </row>
    <row r="1277" spans="1:27" x14ac:dyDescent="0.3">
      <c r="A1277" t="s">
        <v>1318</v>
      </c>
      <c r="B1277">
        <v>45719</v>
      </c>
      <c r="C1277" t="s">
        <v>733</v>
      </c>
      <c r="D1277" t="s">
        <v>38</v>
      </c>
      <c r="E1277" t="s">
        <v>34</v>
      </c>
      <c r="F1277" t="s">
        <v>49</v>
      </c>
      <c r="G1277" t="s">
        <v>36</v>
      </c>
      <c r="H1277">
        <v>1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P1277">
        <v>79.400000000000006</v>
      </c>
      <c r="S1277">
        <v>0</v>
      </c>
      <c r="U1277">
        <v>1</v>
      </c>
      <c r="W1277">
        <v>1</v>
      </c>
      <c r="Y1277">
        <v>0</v>
      </c>
      <c r="AA1277">
        <v>0</v>
      </c>
    </row>
    <row r="1278" spans="1:27" x14ac:dyDescent="0.3">
      <c r="A1278" t="s">
        <v>1319</v>
      </c>
      <c r="B1278">
        <v>45804</v>
      </c>
      <c r="C1278" t="s">
        <v>733</v>
      </c>
      <c r="D1278" t="s">
        <v>28</v>
      </c>
      <c r="E1278" t="s">
        <v>29</v>
      </c>
      <c r="F1278" t="s">
        <v>49</v>
      </c>
      <c r="G1278" t="s">
        <v>36</v>
      </c>
      <c r="H1278">
        <v>1</v>
      </c>
      <c r="I1278">
        <v>1</v>
      </c>
      <c r="J1278">
        <v>1</v>
      </c>
      <c r="K1278">
        <v>0</v>
      </c>
      <c r="L1278">
        <v>0</v>
      </c>
      <c r="M1278">
        <v>0</v>
      </c>
      <c r="N1278">
        <v>0</v>
      </c>
      <c r="P1278">
        <v>54.9</v>
      </c>
      <c r="S1278">
        <v>0</v>
      </c>
      <c r="U1278">
        <v>1</v>
      </c>
      <c r="W1278">
        <v>1</v>
      </c>
      <c r="Y1278">
        <v>1</v>
      </c>
      <c r="AA1278">
        <v>0</v>
      </c>
    </row>
    <row r="1279" spans="1:27" x14ac:dyDescent="0.3">
      <c r="A1279" t="s">
        <v>1320</v>
      </c>
      <c r="B1279">
        <v>45770</v>
      </c>
      <c r="C1279" t="s">
        <v>733</v>
      </c>
      <c r="D1279" t="s">
        <v>33</v>
      </c>
      <c r="E1279" t="s">
        <v>29</v>
      </c>
      <c r="F1279" t="s">
        <v>35</v>
      </c>
      <c r="G1279" t="s">
        <v>31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P1279">
        <v>54.9</v>
      </c>
      <c r="S1279">
        <v>0</v>
      </c>
      <c r="U1279">
        <v>1</v>
      </c>
      <c r="W1279">
        <v>0</v>
      </c>
      <c r="Y1279">
        <v>0</v>
      </c>
      <c r="AA1279">
        <v>0</v>
      </c>
    </row>
    <row r="1280" spans="1:27" x14ac:dyDescent="0.3">
      <c r="A1280" t="s">
        <v>1321</v>
      </c>
      <c r="B1280">
        <v>45698</v>
      </c>
      <c r="C1280" t="s">
        <v>733</v>
      </c>
      <c r="D1280" t="s">
        <v>38</v>
      </c>
      <c r="E1280" t="s">
        <v>29</v>
      </c>
      <c r="F1280" t="s">
        <v>51</v>
      </c>
      <c r="G1280" t="s">
        <v>36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P1280">
        <v>28.7</v>
      </c>
      <c r="S1280">
        <v>0</v>
      </c>
      <c r="U1280">
        <v>0</v>
      </c>
      <c r="W1280">
        <v>0</v>
      </c>
      <c r="Y1280">
        <v>0</v>
      </c>
      <c r="AA1280">
        <v>0</v>
      </c>
    </row>
    <row r="1281" spans="1:27" x14ac:dyDescent="0.3">
      <c r="A1281" t="s">
        <v>1322</v>
      </c>
      <c r="B1281">
        <v>45699</v>
      </c>
      <c r="C1281" t="s">
        <v>733</v>
      </c>
      <c r="D1281" t="s">
        <v>28</v>
      </c>
      <c r="E1281" t="s">
        <v>34</v>
      </c>
      <c r="F1281" t="s">
        <v>35</v>
      </c>
      <c r="G1281" t="s">
        <v>36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P1281">
        <v>68.8</v>
      </c>
      <c r="S1281">
        <v>0</v>
      </c>
      <c r="U1281">
        <v>0</v>
      </c>
      <c r="W1281">
        <v>0</v>
      </c>
      <c r="Y1281">
        <v>0</v>
      </c>
      <c r="AA1281">
        <v>0</v>
      </c>
    </row>
    <row r="1282" spans="1:27" x14ac:dyDescent="0.3">
      <c r="A1282" t="s">
        <v>1323</v>
      </c>
      <c r="B1282">
        <v>45678</v>
      </c>
      <c r="C1282" t="s">
        <v>733</v>
      </c>
      <c r="D1282" t="s">
        <v>38</v>
      </c>
      <c r="E1282" t="s">
        <v>29</v>
      </c>
      <c r="F1282" t="s">
        <v>39</v>
      </c>
      <c r="G1282" t="s">
        <v>36</v>
      </c>
      <c r="H1282">
        <v>1</v>
      </c>
      <c r="I1282">
        <v>1</v>
      </c>
      <c r="J1282">
        <v>1</v>
      </c>
      <c r="K1282">
        <v>0</v>
      </c>
      <c r="L1282">
        <v>0</v>
      </c>
      <c r="M1282">
        <v>0</v>
      </c>
      <c r="N1282">
        <v>0</v>
      </c>
      <c r="P1282">
        <v>43.5</v>
      </c>
      <c r="S1282">
        <v>0</v>
      </c>
      <c r="U1282">
        <v>1</v>
      </c>
      <c r="W1282">
        <v>1</v>
      </c>
      <c r="Y1282">
        <v>1</v>
      </c>
      <c r="AA1282">
        <v>0</v>
      </c>
    </row>
    <row r="1283" spans="1:27" x14ac:dyDescent="0.3">
      <c r="A1283" t="s">
        <v>1324</v>
      </c>
      <c r="B1283">
        <v>45690</v>
      </c>
      <c r="C1283" t="s">
        <v>733</v>
      </c>
      <c r="D1283" t="s">
        <v>33</v>
      </c>
      <c r="E1283" t="s">
        <v>29</v>
      </c>
      <c r="F1283" t="s">
        <v>51</v>
      </c>
      <c r="G1283" t="s">
        <v>36</v>
      </c>
      <c r="H1283">
        <v>1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  <c r="P1283">
        <v>62.6</v>
      </c>
      <c r="S1283">
        <v>0</v>
      </c>
      <c r="U1283">
        <v>1</v>
      </c>
      <c r="W1283">
        <v>1</v>
      </c>
      <c r="Y1283">
        <v>0</v>
      </c>
      <c r="AA1283">
        <v>0</v>
      </c>
    </row>
    <row r="1284" spans="1:27" x14ac:dyDescent="0.3">
      <c r="A1284" t="s">
        <v>1325</v>
      </c>
      <c r="B1284">
        <v>45690</v>
      </c>
      <c r="C1284" t="s">
        <v>733</v>
      </c>
      <c r="D1284" t="s">
        <v>33</v>
      </c>
      <c r="E1284" t="s">
        <v>34</v>
      </c>
      <c r="F1284" t="s">
        <v>35</v>
      </c>
      <c r="G1284" t="s">
        <v>36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1</v>
      </c>
      <c r="N1284">
        <v>0</v>
      </c>
      <c r="P1284">
        <v>54.1</v>
      </c>
      <c r="S1284">
        <v>0</v>
      </c>
      <c r="U1284">
        <v>0</v>
      </c>
      <c r="W1284">
        <v>0</v>
      </c>
      <c r="Y1284">
        <v>0</v>
      </c>
      <c r="AA1284">
        <v>1</v>
      </c>
    </row>
    <row r="1285" spans="1:27" x14ac:dyDescent="0.3">
      <c r="A1285" t="s">
        <v>1326</v>
      </c>
      <c r="B1285">
        <v>45714</v>
      </c>
      <c r="C1285" t="s">
        <v>733</v>
      </c>
      <c r="D1285" t="s">
        <v>33</v>
      </c>
      <c r="E1285" t="s">
        <v>44</v>
      </c>
      <c r="F1285" t="s">
        <v>51</v>
      </c>
      <c r="G1285" t="s">
        <v>36</v>
      </c>
      <c r="H1285">
        <v>1</v>
      </c>
      <c r="I1285">
        <v>1</v>
      </c>
      <c r="J1285">
        <v>1</v>
      </c>
      <c r="K1285">
        <v>0</v>
      </c>
      <c r="L1285">
        <v>0</v>
      </c>
      <c r="M1285">
        <v>0</v>
      </c>
      <c r="N1285">
        <v>0</v>
      </c>
      <c r="P1285">
        <v>80.099999999999994</v>
      </c>
      <c r="S1285">
        <v>0</v>
      </c>
      <c r="U1285">
        <v>1</v>
      </c>
      <c r="W1285">
        <v>1</v>
      </c>
      <c r="Y1285">
        <v>1</v>
      </c>
      <c r="AA1285">
        <v>0</v>
      </c>
    </row>
    <row r="1286" spans="1:27" x14ac:dyDescent="0.3">
      <c r="A1286" t="s">
        <v>1327</v>
      </c>
      <c r="B1286">
        <v>45769</v>
      </c>
      <c r="C1286" t="s">
        <v>733</v>
      </c>
      <c r="D1286" t="s">
        <v>28</v>
      </c>
      <c r="E1286" t="s">
        <v>34</v>
      </c>
      <c r="F1286" t="s">
        <v>51</v>
      </c>
      <c r="G1286" t="s">
        <v>40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P1286">
        <v>69.5</v>
      </c>
      <c r="S1286">
        <v>0</v>
      </c>
      <c r="U1286">
        <v>1</v>
      </c>
      <c r="W1286">
        <v>0</v>
      </c>
      <c r="Y1286">
        <v>0</v>
      </c>
      <c r="AA1286">
        <v>0</v>
      </c>
    </row>
    <row r="1287" spans="1:27" x14ac:dyDescent="0.3">
      <c r="A1287" t="s">
        <v>1328</v>
      </c>
      <c r="B1287">
        <v>45727</v>
      </c>
      <c r="C1287" t="s">
        <v>733</v>
      </c>
      <c r="D1287" t="s">
        <v>28</v>
      </c>
      <c r="E1287" t="s">
        <v>29</v>
      </c>
      <c r="F1287" t="s">
        <v>35</v>
      </c>
      <c r="G1287" t="s">
        <v>31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2</v>
      </c>
      <c r="N1287">
        <v>0</v>
      </c>
      <c r="P1287">
        <v>46.6</v>
      </c>
      <c r="S1287">
        <v>0</v>
      </c>
      <c r="U1287">
        <v>0</v>
      </c>
      <c r="W1287">
        <v>0</v>
      </c>
      <c r="Y1287">
        <v>0</v>
      </c>
      <c r="AA1287">
        <v>2</v>
      </c>
    </row>
    <row r="1288" spans="1:27" x14ac:dyDescent="0.3">
      <c r="A1288" t="s">
        <v>1329</v>
      </c>
      <c r="B1288">
        <v>45785</v>
      </c>
      <c r="C1288" t="s">
        <v>733</v>
      </c>
      <c r="D1288" t="s">
        <v>42</v>
      </c>
      <c r="E1288" t="s">
        <v>34</v>
      </c>
      <c r="F1288" t="s">
        <v>35</v>
      </c>
      <c r="G1288" t="s">
        <v>40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1</v>
      </c>
      <c r="N1288">
        <v>0</v>
      </c>
      <c r="P1288">
        <v>54.9</v>
      </c>
      <c r="S1288">
        <v>0</v>
      </c>
      <c r="U1288">
        <v>1</v>
      </c>
      <c r="W1288">
        <v>0</v>
      </c>
      <c r="Y1288">
        <v>0</v>
      </c>
      <c r="AA1288">
        <v>1</v>
      </c>
    </row>
    <row r="1289" spans="1:27" x14ac:dyDescent="0.3">
      <c r="A1289" t="s">
        <v>1330</v>
      </c>
      <c r="B1289">
        <v>45726</v>
      </c>
      <c r="C1289" t="s">
        <v>733</v>
      </c>
      <c r="D1289" t="s">
        <v>38</v>
      </c>
      <c r="E1289" t="s">
        <v>29</v>
      </c>
      <c r="F1289" t="s">
        <v>35</v>
      </c>
      <c r="G1289" t="s">
        <v>36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P1289">
        <v>100</v>
      </c>
      <c r="S1289">
        <v>0</v>
      </c>
      <c r="U1289">
        <v>0</v>
      </c>
      <c r="W1289">
        <v>0</v>
      </c>
      <c r="Y1289">
        <v>0</v>
      </c>
      <c r="AA1289">
        <v>0</v>
      </c>
    </row>
    <row r="1290" spans="1:27" x14ac:dyDescent="0.3">
      <c r="A1290" t="s">
        <v>1331</v>
      </c>
      <c r="B1290">
        <v>45763</v>
      </c>
      <c r="C1290" t="s">
        <v>733</v>
      </c>
      <c r="D1290" t="s">
        <v>38</v>
      </c>
      <c r="E1290" t="s">
        <v>29</v>
      </c>
      <c r="F1290" t="s">
        <v>39</v>
      </c>
      <c r="G1290" t="s">
        <v>36</v>
      </c>
      <c r="H1290">
        <v>1</v>
      </c>
      <c r="I1290">
        <v>1</v>
      </c>
      <c r="J1290">
        <v>1</v>
      </c>
      <c r="K1290">
        <v>0</v>
      </c>
      <c r="L1290">
        <v>0</v>
      </c>
      <c r="M1290">
        <v>1</v>
      </c>
      <c r="N1290">
        <v>0</v>
      </c>
      <c r="P1290">
        <v>80.5</v>
      </c>
      <c r="S1290">
        <v>0</v>
      </c>
      <c r="U1290">
        <v>1</v>
      </c>
      <c r="W1290">
        <v>1</v>
      </c>
      <c r="Y1290">
        <v>1</v>
      </c>
      <c r="AA1290">
        <v>1</v>
      </c>
    </row>
    <row r="1291" spans="1:27" x14ac:dyDescent="0.3">
      <c r="A1291" t="s">
        <v>1332</v>
      </c>
      <c r="B1291">
        <v>45717</v>
      </c>
      <c r="C1291" t="s">
        <v>733</v>
      </c>
      <c r="D1291" t="s">
        <v>33</v>
      </c>
      <c r="E1291" t="s">
        <v>44</v>
      </c>
      <c r="F1291" t="s">
        <v>35</v>
      </c>
      <c r="G1291" t="s">
        <v>31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P1291">
        <v>51.2</v>
      </c>
      <c r="S1291">
        <v>0</v>
      </c>
      <c r="U1291">
        <v>1</v>
      </c>
      <c r="W1291">
        <v>0</v>
      </c>
      <c r="Y1291">
        <v>0</v>
      </c>
      <c r="AA1291">
        <v>0</v>
      </c>
    </row>
    <row r="1292" spans="1:27" x14ac:dyDescent="0.3">
      <c r="A1292" t="s">
        <v>1333</v>
      </c>
      <c r="B1292">
        <v>45675</v>
      </c>
      <c r="C1292" t="s">
        <v>733</v>
      </c>
      <c r="D1292" t="s">
        <v>42</v>
      </c>
      <c r="E1292" t="s">
        <v>29</v>
      </c>
      <c r="F1292" t="s">
        <v>35</v>
      </c>
      <c r="G1292" t="s">
        <v>40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P1292">
        <v>42.5</v>
      </c>
      <c r="S1292">
        <v>0</v>
      </c>
      <c r="U1292">
        <v>1</v>
      </c>
      <c r="W1292">
        <v>0</v>
      </c>
      <c r="Y1292">
        <v>0</v>
      </c>
      <c r="AA1292">
        <v>0</v>
      </c>
    </row>
    <row r="1293" spans="1:27" x14ac:dyDescent="0.3">
      <c r="A1293" t="s">
        <v>1334</v>
      </c>
      <c r="B1293">
        <v>45746</v>
      </c>
      <c r="C1293" t="s">
        <v>733</v>
      </c>
      <c r="D1293" t="s">
        <v>28</v>
      </c>
      <c r="E1293" t="s">
        <v>34</v>
      </c>
      <c r="F1293" t="s">
        <v>39</v>
      </c>
      <c r="G1293" t="s">
        <v>36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P1293">
        <v>72.5</v>
      </c>
      <c r="S1293">
        <v>0</v>
      </c>
      <c r="U1293">
        <v>0</v>
      </c>
      <c r="W1293">
        <v>0</v>
      </c>
      <c r="Y1293">
        <v>0</v>
      </c>
      <c r="AA1293">
        <v>0</v>
      </c>
    </row>
    <row r="1294" spans="1:27" x14ac:dyDescent="0.3">
      <c r="A1294" t="s">
        <v>1335</v>
      </c>
      <c r="B1294">
        <v>45803</v>
      </c>
      <c r="C1294" t="s">
        <v>733</v>
      </c>
      <c r="D1294" t="s">
        <v>33</v>
      </c>
      <c r="E1294" t="s">
        <v>34</v>
      </c>
      <c r="F1294" t="s">
        <v>51</v>
      </c>
      <c r="G1294" t="s">
        <v>40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P1294">
        <v>74.400000000000006</v>
      </c>
      <c r="S1294">
        <v>0</v>
      </c>
      <c r="U1294">
        <v>0</v>
      </c>
      <c r="W1294">
        <v>0</v>
      </c>
      <c r="Y1294">
        <v>0</v>
      </c>
      <c r="AA1294">
        <v>0</v>
      </c>
    </row>
    <row r="1295" spans="1:27" x14ac:dyDescent="0.3">
      <c r="A1295" t="s">
        <v>1336</v>
      </c>
      <c r="B1295">
        <v>45735</v>
      </c>
      <c r="C1295" t="s">
        <v>733</v>
      </c>
      <c r="D1295" t="s">
        <v>38</v>
      </c>
      <c r="E1295" t="s">
        <v>29</v>
      </c>
      <c r="F1295" t="s">
        <v>51</v>
      </c>
      <c r="G1295" t="s">
        <v>36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P1295">
        <v>78.400000000000006</v>
      </c>
      <c r="S1295">
        <v>0</v>
      </c>
      <c r="U1295">
        <v>0</v>
      </c>
      <c r="W1295">
        <v>0</v>
      </c>
      <c r="Y1295">
        <v>0</v>
      </c>
      <c r="AA1295">
        <v>0</v>
      </c>
    </row>
    <row r="1296" spans="1:27" x14ac:dyDescent="0.3">
      <c r="A1296" t="s">
        <v>1337</v>
      </c>
      <c r="B1296">
        <v>45744</v>
      </c>
      <c r="C1296" t="s">
        <v>733</v>
      </c>
      <c r="D1296" t="s">
        <v>28</v>
      </c>
      <c r="E1296" t="s">
        <v>29</v>
      </c>
      <c r="F1296" t="s">
        <v>49</v>
      </c>
      <c r="G1296" t="s">
        <v>36</v>
      </c>
      <c r="H1296">
        <v>1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P1296">
        <v>71.5</v>
      </c>
      <c r="S1296">
        <v>0</v>
      </c>
      <c r="U1296">
        <v>1</v>
      </c>
      <c r="W1296">
        <v>0</v>
      </c>
      <c r="Y1296">
        <v>0</v>
      </c>
      <c r="AA1296">
        <v>0</v>
      </c>
    </row>
    <row r="1297" spans="1:27" x14ac:dyDescent="0.3">
      <c r="A1297" t="s">
        <v>1338</v>
      </c>
      <c r="B1297">
        <v>45805</v>
      </c>
      <c r="C1297" t="s">
        <v>733</v>
      </c>
      <c r="D1297" t="s">
        <v>42</v>
      </c>
      <c r="E1297" t="s">
        <v>29</v>
      </c>
      <c r="F1297" t="s">
        <v>51</v>
      </c>
      <c r="G1297" t="s">
        <v>36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P1297">
        <v>66.7</v>
      </c>
      <c r="S1297">
        <v>0</v>
      </c>
      <c r="U1297">
        <v>1</v>
      </c>
      <c r="W1297">
        <v>0</v>
      </c>
      <c r="Y1297">
        <v>0</v>
      </c>
      <c r="AA1297">
        <v>0</v>
      </c>
    </row>
    <row r="1298" spans="1:27" x14ac:dyDescent="0.3">
      <c r="A1298" t="s">
        <v>1339</v>
      </c>
      <c r="B1298">
        <v>45808</v>
      </c>
      <c r="C1298" t="s">
        <v>733</v>
      </c>
      <c r="D1298" t="s">
        <v>42</v>
      </c>
      <c r="E1298" t="s">
        <v>29</v>
      </c>
      <c r="F1298" t="s">
        <v>49</v>
      </c>
      <c r="G1298" t="s">
        <v>40</v>
      </c>
      <c r="H1298">
        <v>1</v>
      </c>
      <c r="I1298">
        <v>1</v>
      </c>
      <c r="J1298">
        <v>1</v>
      </c>
      <c r="K1298">
        <v>1</v>
      </c>
      <c r="L1298">
        <v>1496.09</v>
      </c>
      <c r="M1298">
        <v>0</v>
      </c>
      <c r="N1298">
        <v>0</v>
      </c>
      <c r="O1298">
        <v>7</v>
      </c>
      <c r="P1298">
        <v>60.4</v>
      </c>
      <c r="S1298">
        <v>0</v>
      </c>
      <c r="U1298">
        <v>1</v>
      </c>
      <c r="W1298">
        <v>1</v>
      </c>
      <c r="Y1298">
        <v>1</v>
      </c>
      <c r="AA1298">
        <v>0</v>
      </c>
    </row>
    <row r="1299" spans="1:27" x14ac:dyDescent="0.3">
      <c r="A1299" t="s">
        <v>1340</v>
      </c>
      <c r="B1299">
        <v>45787</v>
      </c>
      <c r="C1299" t="s">
        <v>733</v>
      </c>
      <c r="D1299" t="s">
        <v>28</v>
      </c>
      <c r="E1299" t="s">
        <v>34</v>
      </c>
      <c r="F1299" t="s">
        <v>49</v>
      </c>
      <c r="G1299" t="s">
        <v>36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1</v>
      </c>
      <c r="N1299">
        <v>0</v>
      </c>
      <c r="P1299">
        <v>72.900000000000006</v>
      </c>
      <c r="S1299">
        <v>1</v>
      </c>
      <c r="U1299">
        <v>0</v>
      </c>
      <c r="W1299">
        <v>0</v>
      </c>
      <c r="Y1299">
        <v>0</v>
      </c>
      <c r="AA1299">
        <v>1</v>
      </c>
    </row>
    <row r="1300" spans="1:27" x14ac:dyDescent="0.3">
      <c r="A1300" t="s">
        <v>1341</v>
      </c>
      <c r="B1300">
        <v>45794</v>
      </c>
      <c r="C1300" t="s">
        <v>733</v>
      </c>
      <c r="D1300" t="s">
        <v>33</v>
      </c>
      <c r="E1300" t="s">
        <v>34</v>
      </c>
      <c r="F1300" t="s">
        <v>35</v>
      </c>
      <c r="G1300" t="s">
        <v>36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3</v>
      </c>
      <c r="N1300">
        <v>0</v>
      </c>
      <c r="S1300">
        <v>0</v>
      </c>
      <c r="U1300">
        <v>0</v>
      </c>
      <c r="W1300">
        <v>0</v>
      </c>
      <c r="Y1300">
        <v>0</v>
      </c>
      <c r="AA1300">
        <v>3</v>
      </c>
    </row>
    <row r="1301" spans="1:27" x14ac:dyDescent="0.3">
      <c r="A1301" t="s">
        <v>1342</v>
      </c>
      <c r="B1301">
        <v>45675</v>
      </c>
      <c r="C1301" t="s">
        <v>733</v>
      </c>
      <c r="D1301" t="s">
        <v>42</v>
      </c>
      <c r="E1301" t="s">
        <v>34</v>
      </c>
      <c r="F1301" t="s">
        <v>35</v>
      </c>
      <c r="G1301" t="s">
        <v>40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P1301">
        <v>55.2</v>
      </c>
      <c r="S1301">
        <v>0</v>
      </c>
      <c r="U1301">
        <v>1</v>
      </c>
      <c r="W1301">
        <v>0</v>
      </c>
      <c r="Y1301">
        <v>0</v>
      </c>
      <c r="AA1301">
        <v>0</v>
      </c>
    </row>
    <row r="1302" spans="1:27" x14ac:dyDescent="0.3">
      <c r="A1302" t="s">
        <v>1343</v>
      </c>
      <c r="B1302">
        <v>45781</v>
      </c>
      <c r="C1302" t="s">
        <v>733</v>
      </c>
      <c r="D1302" t="s">
        <v>33</v>
      </c>
      <c r="E1302" t="s">
        <v>34</v>
      </c>
      <c r="F1302" t="s">
        <v>51</v>
      </c>
      <c r="G1302" t="s">
        <v>36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P1302">
        <v>67.8</v>
      </c>
      <c r="S1302">
        <v>0</v>
      </c>
      <c r="U1302">
        <v>1</v>
      </c>
      <c r="W1302">
        <v>0</v>
      </c>
      <c r="Y1302">
        <v>0</v>
      </c>
      <c r="AA1302">
        <v>0</v>
      </c>
    </row>
    <row r="1303" spans="1:27" x14ac:dyDescent="0.3">
      <c r="A1303" t="s">
        <v>1344</v>
      </c>
      <c r="B1303">
        <v>45741</v>
      </c>
      <c r="C1303" t="s">
        <v>733</v>
      </c>
      <c r="D1303" t="s">
        <v>28</v>
      </c>
      <c r="E1303" t="s">
        <v>34</v>
      </c>
      <c r="F1303" t="s">
        <v>35</v>
      </c>
      <c r="G1303" t="s">
        <v>36</v>
      </c>
      <c r="H1303">
        <v>1</v>
      </c>
      <c r="I1303">
        <v>0</v>
      </c>
      <c r="J1303">
        <v>0</v>
      </c>
      <c r="K1303">
        <v>0</v>
      </c>
      <c r="L1303">
        <v>0</v>
      </c>
      <c r="M1303">
        <v>2</v>
      </c>
      <c r="N1303">
        <v>0</v>
      </c>
      <c r="P1303">
        <v>70</v>
      </c>
      <c r="S1303">
        <v>0</v>
      </c>
      <c r="U1303">
        <v>1</v>
      </c>
      <c r="W1303">
        <v>0</v>
      </c>
      <c r="Y1303">
        <v>0</v>
      </c>
      <c r="AA1303">
        <v>2</v>
      </c>
    </row>
    <row r="1304" spans="1:27" x14ac:dyDescent="0.3">
      <c r="A1304" t="s">
        <v>1345</v>
      </c>
      <c r="B1304">
        <v>45715</v>
      </c>
      <c r="C1304" t="s">
        <v>733</v>
      </c>
      <c r="D1304" t="s">
        <v>28</v>
      </c>
      <c r="E1304" t="s">
        <v>34</v>
      </c>
      <c r="F1304" t="s">
        <v>51</v>
      </c>
      <c r="G1304" t="s">
        <v>31</v>
      </c>
      <c r="H1304">
        <v>1</v>
      </c>
      <c r="I1304">
        <v>1</v>
      </c>
      <c r="J1304">
        <v>1</v>
      </c>
      <c r="K1304">
        <v>0</v>
      </c>
      <c r="L1304">
        <v>0</v>
      </c>
      <c r="M1304">
        <v>0</v>
      </c>
      <c r="N1304">
        <v>0</v>
      </c>
      <c r="P1304">
        <v>51.1</v>
      </c>
      <c r="S1304">
        <v>0</v>
      </c>
      <c r="U1304">
        <v>1</v>
      </c>
      <c r="W1304">
        <v>1</v>
      </c>
      <c r="Y1304">
        <v>1</v>
      </c>
      <c r="AA1304">
        <v>0</v>
      </c>
    </row>
    <row r="1305" spans="1:27" x14ac:dyDescent="0.3">
      <c r="A1305" t="s">
        <v>1346</v>
      </c>
      <c r="B1305">
        <v>45671</v>
      </c>
      <c r="C1305" t="s">
        <v>733</v>
      </c>
      <c r="D1305" t="s">
        <v>33</v>
      </c>
      <c r="E1305" t="s">
        <v>34</v>
      </c>
      <c r="F1305" t="s">
        <v>39</v>
      </c>
      <c r="G1305" t="s">
        <v>31</v>
      </c>
      <c r="H1305">
        <v>1</v>
      </c>
      <c r="I1305">
        <v>1</v>
      </c>
      <c r="J1305">
        <v>1</v>
      </c>
      <c r="K1305">
        <v>0</v>
      </c>
      <c r="L1305">
        <v>0</v>
      </c>
      <c r="M1305">
        <v>0</v>
      </c>
      <c r="N1305">
        <v>0</v>
      </c>
      <c r="P1305">
        <v>57</v>
      </c>
      <c r="S1305">
        <v>0</v>
      </c>
      <c r="U1305">
        <v>1</v>
      </c>
      <c r="W1305">
        <v>1</v>
      </c>
      <c r="Y1305">
        <v>1</v>
      </c>
      <c r="AA1305">
        <v>0</v>
      </c>
    </row>
    <row r="1306" spans="1:27" x14ac:dyDescent="0.3">
      <c r="A1306" t="s">
        <v>1347</v>
      </c>
      <c r="B1306">
        <v>45758</v>
      </c>
      <c r="C1306" t="s">
        <v>733</v>
      </c>
      <c r="D1306" t="s">
        <v>38</v>
      </c>
      <c r="E1306" t="s">
        <v>34</v>
      </c>
      <c r="F1306" t="s">
        <v>51</v>
      </c>
      <c r="G1306" t="s">
        <v>36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1</v>
      </c>
      <c r="N1306">
        <v>0</v>
      </c>
      <c r="P1306">
        <v>47.1</v>
      </c>
      <c r="S1306">
        <v>0</v>
      </c>
      <c r="U1306">
        <v>0</v>
      </c>
      <c r="W1306">
        <v>0</v>
      </c>
      <c r="Y1306">
        <v>0</v>
      </c>
      <c r="AA1306">
        <v>1</v>
      </c>
    </row>
    <row r="1307" spans="1:27" x14ac:dyDescent="0.3">
      <c r="A1307" t="s">
        <v>1348</v>
      </c>
      <c r="B1307">
        <v>45742</v>
      </c>
      <c r="C1307" t="s">
        <v>733</v>
      </c>
      <c r="D1307" t="s">
        <v>38</v>
      </c>
      <c r="E1307" t="s">
        <v>29</v>
      </c>
      <c r="F1307" t="s">
        <v>51</v>
      </c>
      <c r="G1307" t="s">
        <v>31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P1307">
        <v>30.7</v>
      </c>
      <c r="S1307">
        <v>0</v>
      </c>
      <c r="U1307">
        <v>0</v>
      </c>
      <c r="W1307">
        <v>0</v>
      </c>
      <c r="Y1307">
        <v>0</v>
      </c>
      <c r="AA1307">
        <v>0</v>
      </c>
    </row>
    <row r="1308" spans="1:27" x14ac:dyDescent="0.3">
      <c r="A1308" t="s">
        <v>1349</v>
      </c>
      <c r="B1308">
        <v>45700</v>
      </c>
      <c r="C1308" t="s">
        <v>733</v>
      </c>
      <c r="D1308" t="s">
        <v>33</v>
      </c>
      <c r="E1308" t="s">
        <v>29</v>
      </c>
      <c r="F1308" t="s">
        <v>51</v>
      </c>
      <c r="G1308" t="s">
        <v>36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P1308">
        <v>57.3</v>
      </c>
      <c r="S1308">
        <v>0</v>
      </c>
      <c r="U1308">
        <v>1</v>
      </c>
      <c r="W1308">
        <v>0</v>
      </c>
      <c r="Y1308">
        <v>0</v>
      </c>
      <c r="AA1308">
        <v>0</v>
      </c>
    </row>
    <row r="1309" spans="1:27" x14ac:dyDescent="0.3">
      <c r="A1309" t="s">
        <v>1350</v>
      </c>
      <c r="B1309">
        <v>45706</v>
      </c>
      <c r="C1309" t="s">
        <v>733</v>
      </c>
      <c r="D1309" t="s">
        <v>33</v>
      </c>
      <c r="E1309" t="s">
        <v>44</v>
      </c>
      <c r="F1309" t="s">
        <v>39</v>
      </c>
      <c r="G1309" t="s">
        <v>31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P1309">
        <v>70</v>
      </c>
      <c r="S1309">
        <v>0</v>
      </c>
      <c r="U1309">
        <v>1</v>
      </c>
      <c r="W1309">
        <v>0</v>
      </c>
      <c r="Y1309">
        <v>0</v>
      </c>
      <c r="AA1309">
        <v>0</v>
      </c>
    </row>
    <row r="1310" spans="1:27" x14ac:dyDescent="0.3">
      <c r="A1310" t="s">
        <v>1351</v>
      </c>
      <c r="B1310">
        <v>45802</v>
      </c>
      <c r="C1310" t="s">
        <v>733</v>
      </c>
      <c r="D1310" t="s">
        <v>38</v>
      </c>
      <c r="E1310" t="s">
        <v>29</v>
      </c>
      <c r="F1310" t="s">
        <v>51</v>
      </c>
      <c r="G1310" t="s">
        <v>36</v>
      </c>
      <c r="H1310">
        <v>1</v>
      </c>
      <c r="I1310">
        <v>1</v>
      </c>
      <c r="J1310">
        <v>1</v>
      </c>
      <c r="K1310">
        <v>0</v>
      </c>
      <c r="L1310">
        <v>0</v>
      </c>
      <c r="M1310">
        <v>0</v>
      </c>
      <c r="N1310">
        <v>0</v>
      </c>
      <c r="P1310">
        <v>59.7</v>
      </c>
      <c r="S1310">
        <v>0</v>
      </c>
      <c r="U1310">
        <v>1</v>
      </c>
      <c r="W1310">
        <v>1</v>
      </c>
      <c r="Y1310">
        <v>1</v>
      </c>
      <c r="AA1310">
        <v>0</v>
      </c>
    </row>
    <row r="1311" spans="1:27" x14ac:dyDescent="0.3">
      <c r="A1311" t="s">
        <v>1352</v>
      </c>
      <c r="B1311">
        <v>45800</v>
      </c>
      <c r="C1311" t="s">
        <v>733</v>
      </c>
      <c r="D1311" t="s">
        <v>38</v>
      </c>
      <c r="E1311" t="s">
        <v>29</v>
      </c>
      <c r="F1311" t="s">
        <v>39</v>
      </c>
      <c r="G1311" t="s">
        <v>31</v>
      </c>
      <c r="H1311">
        <v>1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P1311">
        <v>68.8</v>
      </c>
      <c r="S1311">
        <v>0</v>
      </c>
      <c r="U1311">
        <v>1</v>
      </c>
      <c r="W1311">
        <v>0</v>
      </c>
      <c r="Y1311">
        <v>0</v>
      </c>
      <c r="AA1311">
        <v>0</v>
      </c>
    </row>
    <row r="1312" spans="1:27" x14ac:dyDescent="0.3">
      <c r="A1312" t="s">
        <v>1353</v>
      </c>
      <c r="B1312">
        <v>45673</v>
      </c>
      <c r="C1312" t="s">
        <v>733</v>
      </c>
      <c r="D1312" t="s">
        <v>28</v>
      </c>
      <c r="E1312" t="s">
        <v>29</v>
      </c>
      <c r="F1312" t="s">
        <v>35</v>
      </c>
      <c r="G1312" t="s">
        <v>36</v>
      </c>
      <c r="H1312">
        <v>1</v>
      </c>
      <c r="I1312">
        <v>1</v>
      </c>
      <c r="J1312">
        <v>1</v>
      </c>
      <c r="K1312">
        <v>1</v>
      </c>
      <c r="L1312">
        <v>428.37</v>
      </c>
      <c r="M1312">
        <v>0</v>
      </c>
      <c r="N1312">
        <v>0</v>
      </c>
      <c r="O1312">
        <v>9</v>
      </c>
      <c r="P1312">
        <v>88.3</v>
      </c>
      <c r="S1312">
        <v>0</v>
      </c>
      <c r="U1312">
        <v>1</v>
      </c>
      <c r="W1312">
        <v>1</v>
      </c>
      <c r="Y1312">
        <v>1</v>
      </c>
      <c r="AA1312">
        <v>0</v>
      </c>
    </row>
    <row r="1313" spans="1:27" x14ac:dyDescent="0.3">
      <c r="A1313" t="s">
        <v>1354</v>
      </c>
      <c r="B1313">
        <v>45676</v>
      </c>
      <c r="C1313" t="s">
        <v>733</v>
      </c>
      <c r="D1313" t="s">
        <v>33</v>
      </c>
      <c r="E1313" t="s">
        <v>29</v>
      </c>
      <c r="F1313" t="s">
        <v>30</v>
      </c>
      <c r="G1313" t="s">
        <v>31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P1313">
        <v>83.4</v>
      </c>
      <c r="S1313">
        <v>1</v>
      </c>
      <c r="U1313">
        <v>0</v>
      </c>
      <c r="W1313">
        <v>0</v>
      </c>
      <c r="Y1313">
        <v>0</v>
      </c>
      <c r="AA1313">
        <v>0</v>
      </c>
    </row>
    <row r="1314" spans="1:27" x14ac:dyDescent="0.3">
      <c r="A1314" t="s">
        <v>1355</v>
      </c>
      <c r="B1314">
        <v>45795</v>
      </c>
      <c r="C1314" t="s">
        <v>733</v>
      </c>
      <c r="D1314" t="s">
        <v>42</v>
      </c>
      <c r="E1314" t="s">
        <v>34</v>
      </c>
      <c r="F1314" t="s">
        <v>49</v>
      </c>
      <c r="G1314" t="s">
        <v>36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1</v>
      </c>
      <c r="N1314">
        <v>0</v>
      </c>
      <c r="P1314">
        <v>81.599999999999994</v>
      </c>
      <c r="S1314">
        <v>0</v>
      </c>
      <c r="U1314">
        <v>0</v>
      </c>
      <c r="W1314">
        <v>0</v>
      </c>
      <c r="Y1314">
        <v>0</v>
      </c>
      <c r="AA1314">
        <v>1</v>
      </c>
    </row>
    <row r="1315" spans="1:27" x14ac:dyDescent="0.3">
      <c r="A1315" t="s">
        <v>1356</v>
      </c>
      <c r="B1315">
        <v>45680</v>
      </c>
      <c r="C1315" t="s">
        <v>733</v>
      </c>
      <c r="D1315" t="s">
        <v>38</v>
      </c>
      <c r="E1315" t="s">
        <v>44</v>
      </c>
      <c r="F1315" t="s">
        <v>51</v>
      </c>
      <c r="G1315" t="s">
        <v>40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P1315">
        <v>91.6</v>
      </c>
      <c r="S1315">
        <v>0</v>
      </c>
      <c r="U1315">
        <v>1</v>
      </c>
      <c r="W1315">
        <v>0</v>
      </c>
      <c r="Y1315">
        <v>0</v>
      </c>
      <c r="AA1315">
        <v>0</v>
      </c>
    </row>
    <row r="1316" spans="1:27" x14ac:dyDescent="0.3">
      <c r="A1316" t="s">
        <v>1357</v>
      </c>
      <c r="B1316">
        <v>45665</v>
      </c>
      <c r="C1316" t="s">
        <v>733</v>
      </c>
      <c r="D1316" t="s">
        <v>38</v>
      </c>
      <c r="E1316" t="s">
        <v>44</v>
      </c>
      <c r="G1316" t="s">
        <v>40</v>
      </c>
      <c r="H1316">
        <v>1</v>
      </c>
      <c r="I1316">
        <v>1</v>
      </c>
      <c r="J1316">
        <v>1</v>
      </c>
      <c r="K1316">
        <v>0</v>
      </c>
      <c r="L1316">
        <v>0</v>
      </c>
      <c r="M1316">
        <v>1</v>
      </c>
      <c r="N1316">
        <v>0</v>
      </c>
      <c r="P1316">
        <v>61.5</v>
      </c>
      <c r="S1316">
        <v>0</v>
      </c>
      <c r="U1316">
        <v>1</v>
      </c>
      <c r="W1316">
        <v>1</v>
      </c>
      <c r="Y1316">
        <v>1</v>
      </c>
      <c r="AA1316">
        <v>1</v>
      </c>
    </row>
    <row r="1317" spans="1:27" x14ac:dyDescent="0.3">
      <c r="A1317" t="s">
        <v>1358</v>
      </c>
      <c r="B1317">
        <v>45707</v>
      </c>
      <c r="C1317" t="s">
        <v>733</v>
      </c>
      <c r="D1317" t="s">
        <v>28</v>
      </c>
      <c r="E1317" t="s">
        <v>34</v>
      </c>
      <c r="F1317" t="s">
        <v>35</v>
      </c>
      <c r="G1317" t="s">
        <v>40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S1317">
        <v>0</v>
      </c>
      <c r="U1317">
        <v>0</v>
      </c>
      <c r="W1317">
        <v>0</v>
      </c>
      <c r="Y1317">
        <v>0</v>
      </c>
      <c r="AA1317">
        <v>0</v>
      </c>
    </row>
    <row r="1318" spans="1:27" x14ac:dyDescent="0.3">
      <c r="A1318" t="s">
        <v>1359</v>
      </c>
      <c r="B1318">
        <v>45698</v>
      </c>
      <c r="C1318" t="s">
        <v>733</v>
      </c>
      <c r="D1318" t="s">
        <v>42</v>
      </c>
      <c r="E1318" t="s">
        <v>34</v>
      </c>
      <c r="F1318" t="s">
        <v>35</v>
      </c>
      <c r="G1318" t="s">
        <v>36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P1318">
        <v>32.6</v>
      </c>
      <c r="S1318">
        <v>0</v>
      </c>
      <c r="U1318">
        <v>1</v>
      </c>
      <c r="W1318">
        <v>0</v>
      </c>
      <c r="Y1318">
        <v>0</v>
      </c>
      <c r="AA1318">
        <v>0</v>
      </c>
    </row>
    <row r="1319" spans="1:27" x14ac:dyDescent="0.3">
      <c r="A1319" t="s">
        <v>1360</v>
      </c>
      <c r="B1319">
        <v>45760</v>
      </c>
      <c r="C1319" t="s">
        <v>733</v>
      </c>
      <c r="D1319" t="s">
        <v>42</v>
      </c>
      <c r="E1319" t="s">
        <v>34</v>
      </c>
      <c r="F1319" t="s">
        <v>39</v>
      </c>
      <c r="G1319" t="s">
        <v>36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P1319">
        <v>73.900000000000006</v>
      </c>
      <c r="S1319">
        <v>0</v>
      </c>
      <c r="U1319">
        <v>1</v>
      </c>
      <c r="W1319">
        <v>0</v>
      </c>
      <c r="Y1319">
        <v>0</v>
      </c>
      <c r="AA1319">
        <v>0</v>
      </c>
    </row>
    <row r="1320" spans="1:27" x14ac:dyDescent="0.3">
      <c r="A1320" t="s">
        <v>1361</v>
      </c>
      <c r="B1320">
        <v>45797</v>
      </c>
      <c r="C1320" t="s">
        <v>733</v>
      </c>
      <c r="D1320" t="s">
        <v>38</v>
      </c>
      <c r="E1320" t="s">
        <v>34</v>
      </c>
      <c r="F1320" t="s">
        <v>35</v>
      </c>
      <c r="G1320" t="s">
        <v>36</v>
      </c>
      <c r="H1320">
        <v>1</v>
      </c>
      <c r="I1320">
        <v>1</v>
      </c>
      <c r="J1320">
        <v>1</v>
      </c>
      <c r="K1320">
        <v>1</v>
      </c>
      <c r="L1320">
        <v>444.06</v>
      </c>
      <c r="M1320">
        <v>0</v>
      </c>
      <c r="N1320">
        <v>0</v>
      </c>
      <c r="O1320">
        <v>9</v>
      </c>
      <c r="P1320">
        <v>99.9</v>
      </c>
      <c r="S1320">
        <v>0</v>
      </c>
      <c r="U1320">
        <v>1</v>
      </c>
      <c r="W1320">
        <v>1</v>
      </c>
      <c r="Y1320">
        <v>1</v>
      </c>
      <c r="AA1320">
        <v>0</v>
      </c>
    </row>
    <row r="1321" spans="1:27" x14ac:dyDescent="0.3">
      <c r="A1321" t="s">
        <v>1362</v>
      </c>
      <c r="B1321">
        <v>45790</v>
      </c>
      <c r="C1321" t="s">
        <v>733</v>
      </c>
      <c r="D1321" t="s">
        <v>42</v>
      </c>
      <c r="E1321" t="s">
        <v>34</v>
      </c>
      <c r="F1321" t="s">
        <v>39</v>
      </c>
      <c r="G1321" t="s">
        <v>31</v>
      </c>
      <c r="H1321">
        <v>1</v>
      </c>
      <c r="I1321">
        <v>1</v>
      </c>
      <c r="J1321">
        <v>0</v>
      </c>
      <c r="K1321">
        <v>0</v>
      </c>
      <c r="L1321">
        <v>0</v>
      </c>
      <c r="M1321">
        <v>1</v>
      </c>
      <c r="N1321">
        <v>0</v>
      </c>
      <c r="P1321">
        <v>62.4</v>
      </c>
      <c r="S1321">
        <v>1</v>
      </c>
      <c r="U1321">
        <v>1</v>
      </c>
      <c r="W1321">
        <v>1</v>
      </c>
      <c r="Y1321">
        <v>0</v>
      </c>
      <c r="AA1321">
        <v>1</v>
      </c>
    </row>
    <row r="1322" spans="1:27" x14ac:dyDescent="0.3">
      <c r="A1322" t="s">
        <v>1363</v>
      </c>
      <c r="B1322">
        <v>45805</v>
      </c>
      <c r="C1322" t="s">
        <v>733</v>
      </c>
      <c r="D1322" t="s">
        <v>42</v>
      </c>
      <c r="E1322" t="s">
        <v>29</v>
      </c>
      <c r="F1322" t="s">
        <v>39</v>
      </c>
      <c r="G1322" t="s">
        <v>31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P1322">
        <v>46.1</v>
      </c>
      <c r="S1322">
        <v>0</v>
      </c>
      <c r="U1322">
        <v>1</v>
      </c>
      <c r="W1322">
        <v>0</v>
      </c>
      <c r="Y1322">
        <v>0</v>
      </c>
      <c r="AA1322">
        <v>0</v>
      </c>
    </row>
    <row r="1323" spans="1:27" x14ac:dyDescent="0.3">
      <c r="A1323" t="s">
        <v>1364</v>
      </c>
      <c r="B1323">
        <v>45735</v>
      </c>
      <c r="C1323" t="s">
        <v>733</v>
      </c>
      <c r="D1323" t="s">
        <v>33</v>
      </c>
      <c r="E1323" t="s">
        <v>34</v>
      </c>
      <c r="F1323" t="s">
        <v>35</v>
      </c>
      <c r="G1323" t="s">
        <v>36</v>
      </c>
      <c r="H1323">
        <v>1</v>
      </c>
      <c r="I1323">
        <v>1</v>
      </c>
      <c r="J1323">
        <v>1</v>
      </c>
      <c r="K1323">
        <v>1</v>
      </c>
      <c r="L1323">
        <v>2660.21</v>
      </c>
      <c r="M1323">
        <v>0</v>
      </c>
      <c r="N1323">
        <v>0</v>
      </c>
      <c r="O1323">
        <v>3</v>
      </c>
      <c r="P1323">
        <v>73.900000000000006</v>
      </c>
      <c r="S1323">
        <v>0</v>
      </c>
      <c r="U1323">
        <v>1</v>
      </c>
      <c r="W1323">
        <v>1</v>
      </c>
      <c r="Y1323">
        <v>1</v>
      </c>
      <c r="AA1323">
        <v>0</v>
      </c>
    </row>
    <row r="1324" spans="1:27" x14ac:dyDescent="0.3">
      <c r="A1324" t="s">
        <v>1365</v>
      </c>
      <c r="B1324">
        <v>45691</v>
      </c>
      <c r="C1324" t="s">
        <v>733</v>
      </c>
      <c r="D1324" t="s">
        <v>28</v>
      </c>
      <c r="E1324" t="s">
        <v>34</v>
      </c>
      <c r="F1324" t="s">
        <v>30</v>
      </c>
      <c r="G1324" t="s">
        <v>40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P1324">
        <v>90</v>
      </c>
      <c r="S1324">
        <v>1</v>
      </c>
      <c r="U1324">
        <v>0</v>
      </c>
      <c r="W1324">
        <v>0</v>
      </c>
      <c r="Y1324">
        <v>0</v>
      </c>
      <c r="AA1324">
        <v>0</v>
      </c>
    </row>
    <row r="1325" spans="1:27" x14ac:dyDescent="0.3">
      <c r="A1325" t="s">
        <v>1366</v>
      </c>
      <c r="B1325">
        <v>45714</v>
      </c>
      <c r="C1325" t="s">
        <v>733</v>
      </c>
      <c r="D1325" t="s">
        <v>42</v>
      </c>
      <c r="E1325" t="s">
        <v>34</v>
      </c>
      <c r="F1325" t="s">
        <v>30</v>
      </c>
      <c r="G1325" t="s">
        <v>31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1</v>
      </c>
      <c r="N1325">
        <v>0</v>
      </c>
      <c r="P1325">
        <v>68.8</v>
      </c>
      <c r="S1325">
        <v>0</v>
      </c>
      <c r="U1325">
        <v>1</v>
      </c>
      <c r="W1325">
        <v>0</v>
      </c>
      <c r="Y1325">
        <v>0</v>
      </c>
      <c r="AA1325">
        <v>1</v>
      </c>
    </row>
    <row r="1326" spans="1:27" x14ac:dyDescent="0.3">
      <c r="A1326" t="s">
        <v>1367</v>
      </c>
      <c r="B1326">
        <v>45683</v>
      </c>
      <c r="C1326" t="s">
        <v>733</v>
      </c>
      <c r="D1326" t="s">
        <v>33</v>
      </c>
      <c r="E1326" t="s">
        <v>34</v>
      </c>
      <c r="F1326" t="s">
        <v>39</v>
      </c>
      <c r="G1326" t="s">
        <v>36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P1326">
        <v>66.599999999999994</v>
      </c>
      <c r="S1326">
        <v>0</v>
      </c>
      <c r="U1326">
        <v>1</v>
      </c>
      <c r="W1326">
        <v>0</v>
      </c>
      <c r="Y1326">
        <v>0</v>
      </c>
      <c r="AA1326">
        <v>0</v>
      </c>
    </row>
    <row r="1327" spans="1:27" x14ac:dyDescent="0.3">
      <c r="A1327" t="s">
        <v>1368</v>
      </c>
      <c r="B1327">
        <v>45790</v>
      </c>
      <c r="C1327" t="s">
        <v>733</v>
      </c>
      <c r="D1327" t="s">
        <v>28</v>
      </c>
      <c r="E1327" t="s">
        <v>34</v>
      </c>
      <c r="F1327" t="s">
        <v>35</v>
      </c>
      <c r="G1327" t="s">
        <v>40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P1327">
        <v>49.7</v>
      </c>
      <c r="S1327">
        <v>0</v>
      </c>
      <c r="U1327">
        <v>1</v>
      </c>
      <c r="W1327">
        <v>0</v>
      </c>
      <c r="Y1327">
        <v>0</v>
      </c>
      <c r="AA1327">
        <v>0</v>
      </c>
    </row>
    <row r="1328" spans="1:27" x14ac:dyDescent="0.3">
      <c r="A1328" t="s">
        <v>1369</v>
      </c>
      <c r="B1328">
        <v>45690</v>
      </c>
      <c r="C1328" t="s">
        <v>733</v>
      </c>
      <c r="D1328" t="s">
        <v>42</v>
      </c>
      <c r="E1328" t="s">
        <v>34</v>
      </c>
      <c r="F1328" t="s">
        <v>39</v>
      </c>
      <c r="G1328" t="s">
        <v>31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P1328">
        <v>67.900000000000006</v>
      </c>
      <c r="S1328">
        <v>0</v>
      </c>
      <c r="U1328">
        <v>0</v>
      </c>
      <c r="W1328">
        <v>0</v>
      </c>
      <c r="Y1328">
        <v>0</v>
      </c>
      <c r="AA1328">
        <v>0</v>
      </c>
    </row>
    <row r="1329" spans="1:27" x14ac:dyDescent="0.3">
      <c r="A1329" t="s">
        <v>1370</v>
      </c>
      <c r="B1329">
        <v>45777</v>
      </c>
      <c r="C1329" t="s">
        <v>733</v>
      </c>
      <c r="D1329" t="s">
        <v>33</v>
      </c>
      <c r="E1329" t="s">
        <v>34</v>
      </c>
      <c r="G1329" t="s">
        <v>31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P1329">
        <v>66.900000000000006</v>
      </c>
      <c r="S1329">
        <v>0</v>
      </c>
      <c r="U1329">
        <v>0</v>
      </c>
      <c r="W1329">
        <v>0</v>
      </c>
      <c r="Y1329">
        <v>0</v>
      </c>
      <c r="AA1329">
        <v>0</v>
      </c>
    </row>
    <row r="1330" spans="1:27" x14ac:dyDescent="0.3">
      <c r="A1330" t="s">
        <v>1371</v>
      </c>
      <c r="B1330">
        <v>45745</v>
      </c>
      <c r="C1330" t="s">
        <v>733</v>
      </c>
      <c r="D1330" t="s">
        <v>38</v>
      </c>
      <c r="E1330" t="s">
        <v>34</v>
      </c>
      <c r="F1330" t="s">
        <v>35</v>
      </c>
      <c r="G1330" t="s">
        <v>36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P1330">
        <v>46.1</v>
      </c>
      <c r="S1330">
        <v>0</v>
      </c>
      <c r="U1330">
        <v>0</v>
      </c>
      <c r="W1330">
        <v>0</v>
      </c>
      <c r="Y1330">
        <v>0</v>
      </c>
      <c r="AA1330">
        <v>0</v>
      </c>
    </row>
    <row r="1331" spans="1:27" x14ac:dyDescent="0.3">
      <c r="A1331" t="s">
        <v>1372</v>
      </c>
      <c r="B1331">
        <v>45756</v>
      </c>
      <c r="C1331" t="s">
        <v>733</v>
      </c>
      <c r="D1331" t="s">
        <v>33</v>
      </c>
      <c r="E1331" t="s">
        <v>29</v>
      </c>
      <c r="F1331" t="s">
        <v>49</v>
      </c>
      <c r="G1331" t="s">
        <v>40</v>
      </c>
      <c r="H1331">
        <v>1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P1331">
        <v>85.6</v>
      </c>
      <c r="S1331">
        <v>0</v>
      </c>
      <c r="U1331">
        <v>1</v>
      </c>
      <c r="W1331">
        <v>0</v>
      </c>
      <c r="Y1331">
        <v>0</v>
      </c>
      <c r="AA1331">
        <v>0</v>
      </c>
    </row>
    <row r="1332" spans="1:27" x14ac:dyDescent="0.3">
      <c r="A1332" t="s">
        <v>1373</v>
      </c>
      <c r="B1332">
        <v>45679</v>
      </c>
      <c r="C1332" t="s">
        <v>733</v>
      </c>
      <c r="D1332" t="s">
        <v>42</v>
      </c>
      <c r="E1332" t="s">
        <v>44</v>
      </c>
      <c r="F1332" t="s">
        <v>35</v>
      </c>
      <c r="G1332" t="s">
        <v>36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P1332">
        <v>39.6</v>
      </c>
      <c r="S1332">
        <v>0</v>
      </c>
      <c r="U1332">
        <v>0</v>
      </c>
      <c r="W1332">
        <v>0</v>
      </c>
      <c r="Y1332">
        <v>0</v>
      </c>
      <c r="AA1332">
        <v>0</v>
      </c>
    </row>
    <row r="1333" spans="1:27" x14ac:dyDescent="0.3">
      <c r="A1333" t="s">
        <v>1374</v>
      </c>
      <c r="B1333">
        <v>45684</v>
      </c>
      <c r="C1333" t="s">
        <v>733</v>
      </c>
      <c r="D1333" t="s">
        <v>42</v>
      </c>
      <c r="E1333" t="s">
        <v>34</v>
      </c>
      <c r="F1333" t="s">
        <v>35</v>
      </c>
      <c r="G1333" t="s">
        <v>31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P1333">
        <v>52.5</v>
      </c>
      <c r="S1333">
        <v>0</v>
      </c>
      <c r="U1333">
        <v>1</v>
      </c>
      <c r="W1333">
        <v>0</v>
      </c>
      <c r="Y1333">
        <v>0</v>
      </c>
      <c r="AA1333">
        <v>0</v>
      </c>
    </row>
    <row r="1334" spans="1:27" x14ac:dyDescent="0.3">
      <c r="A1334" t="s">
        <v>1375</v>
      </c>
      <c r="B1334">
        <v>45679</v>
      </c>
      <c r="C1334" t="s">
        <v>733</v>
      </c>
      <c r="D1334" t="s">
        <v>38</v>
      </c>
      <c r="E1334" t="s">
        <v>34</v>
      </c>
      <c r="F1334" t="s">
        <v>51</v>
      </c>
      <c r="G1334" t="s">
        <v>40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P1334">
        <v>73.5</v>
      </c>
      <c r="S1334">
        <v>0</v>
      </c>
      <c r="U1334">
        <v>1</v>
      </c>
      <c r="W1334">
        <v>0</v>
      </c>
      <c r="Y1334">
        <v>0</v>
      </c>
      <c r="AA1334">
        <v>0</v>
      </c>
    </row>
    <row r="1335" spans="1:27" x14ac:dyDescent="0.3">
      <c r="A1335" t="s">
        <v>1376</v>
      </c>
      <c r="B1335">
        <v>45663</v>
      </c>
      <c r="C1335" t="s">
        <v>733</v>
      </c>
      <c r="D1335" t="s">
        <v>33</v>
      </c>
      <c r="E1335" t="s">
        <v>29</v>
      </c>
      <c r="F1335" t="s">
        <v>39</v>
      </c>
      <c r="G1335" t="s">
        <v>36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P1335">
        <v>62.5</v>
      </c>
      <c r="S1335">
        <v>0</v>
      </c>
      <c r="U1335">
        <v>0</v>
      </c>
      <c r="W1335">
        <v>0</v>
      </c>
      <c r="Y1335">
        <v>0</v>
      </c>
      <c r="AA1335">
        <v>0</v>
      </c>
    </row>
    <row r="1336" spans="1:27" x14ac:dyDescent="0.3">
      <c r="A1336" t="s">
        <v>1377</v>
      </c>
      <c r="B1336">
        <v>45763</v>
      </c>
      <c r="C1336" t="s">
        <v>733</v>
      </c>
      <c r="D1336" t="s">
        <v>42</v>
      </c>
      <c r="F1336" t="s">
        <v>35</v>
      </c>
      <c r="G1336" t="s">
        <v>36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P1336">
        <v>76.900000000000006</v>
      </c>
      <c r="S1336">
        <v>0</v>
      </c>
      <c r="U1336">
        <v>1</v>
      </c>
      <c r="W1336">
        <v>0</v>
      </c>
      <c r="Y1336">
        <v>0</v>
      </c>
      <c r="AA1336">
        <v>0</v>
      </c>
    </row>
    <row r="1337" spans="1:27" x14ac:dyDescent="0.3">
      <c r="A1337" t="s">
        <v>1378</v>
      </c>
      <c r="B1337">
        <v>45761</v>
      </c>
      <c r="C1337" t="s">
        <v>733</v>
      </c>
      <c r="D1337" t="s">
        <v>42</v>
      </c>
      <c r="E1337" t="s">
        <v>34</v>
      </c>
      <c r="F1337" t="s">
        <v>35</v>
      </c>
      <c r="G1337" t="s">
        <v>36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P1337">
        <v>51.4</v>
      </c>
      <c r="S1337">
        <v>0</v>
      </c>
      <c r="U1337">
        <v>1</v>
      </c>
      <c r="W1337">
        <v>0</v>
      </c>
      <c r="Y1337">
        <v>0</v>
      </c>
      <c r="AA1337">
        <v>0</v>
      </c>
    </row>
    <row r="1338" spans="1:27" x14ac:dyDescent="0.3">
      <c r="A1338" t="s">
        <v>1379</v>
      </c>
      <c r="B1338">
        <v>45710</v>
      </c>
      <c r="C1338" t="s">
        <v>733</v>
      </c>
      <c r="D1338" t="s">
        <v>33</v>
      </c>
      <c r="E1338" t="s">
        <v>34</v>
      </c>
      <c r="F1338" t="s">
        <v>39</v>
      </c>
      <c r="G1338" t="s">
        <v>31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P1338">
        <v>59.3</v>
      </c>
      <c r="S1338">
        <v>0</v>
      </c>
      <c r="U1338">
        <v>1</v>
      </c>
      <c r="W1338">
        <v>0</v>
      </c>
      <c r="Y1338">
        <v>0</v>
      </c>
      <c r="AA1338">
        <v>0</v>
      </c>
    </row>
    <row r="1339" spans="1:27" x14ac:dyDescent="0.3">
      <c r="A1339" t="s">
        <v>1380</v>
      </c>
      <c r="B1339">
        <v>45725</v>
      </c>
      <c r="C1339" t="s">
        <v>733</v>
      </c>
      <c r="D1339" t="s">
        <v>28</v>
      </c>
      <c r="E1339" t="s">
        <v>34</v>
      </c>
      <c r="F1339" t="s">
        <v>35</v>
      </c>
      <c r="G1339" t="s">
        <v>31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P1339">
        <v>74.900000000000006</v>
      </c>
      <c r="S1339">
        <v>0</v>
      </c>
      <c r="U1339">
        <v>0</v>
      </c>
      <c r="W1339">
        <v>0</v>
      </c>
      <c r="Y1339">
        <v>0</v>
      </c>
      <c r="AA1339">
        <v>0</v>
      </c>
    </row>
    <row r="1340" spans="1:27" x14ac:dyDescent="0.3">
      <c r="A1340" t="s">
        <v>1381</v>
      </c>
      <c r="B1340">
        <v>45767</v>
      </c>
      <c r="C1340" t="s">
        <v>733</v>
      </c>
      <c r="D1340" t="s">
        <v>33</v>
      </c>
      <c r="E1340" t="s">
        <v>29</v>
      </c>
      <c r="F1340" t="s">
        <v>35</v>
      </c>
      <c r="G1340" t="s">
        <v>36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P1340">
        <v>67</v>
      </c>
      <c r="S1340">
        <v>0</v>
      </c>
      <c r="U1340">
        <v>1</v>
      </c>
      <c r="W1340">
        <v>0</v>
      </c>
      <c r="Y1340">
        <v>0</v>
      </c>
      <c r="AA1340">
        <v>0</v>
      </c>
    </row>
    <row r="1341" spans="1:27" x14ac:dyDescent="0.3">
      <c r="A1341" t="s">
        <v>1382</v>
      </c>
      <c r="B1341">
        <v>45726</v>
      </c>
      <c r="C1341" t="s">
        <v>733</v>
      </c>
      <c r="D1341" t="s">
        <v>42</v>
      </c>
      <c r="E1341" t="s">
        <v>34</v>
      </c>
      <c r="F1341" t="s">
        <v>30</v>
      </c>
      <c r="G1341" t="s">
        <v>36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P1341">
        <v>63.6</v>
      </c>
      <c r="S1341">
        <v>0</v>
      </c>
      <c r="U1341">
        <v>0</v>
      </c>
      <c r="W1341">
        <v>0</v>
      </c>
      <c r="Y1341">
        <v>0</v>
      </c>
      <c r="AA1341">
        <v>0</v>
      </c>
    </row>
    <row r="1342" spans="1:27" x14ac:dyDescent="0.3">
      <c r="A1342" t="s">
        <v>1383</v>
      </c>
      <c r="B1342">
        <v>45709</v>
      </c>
      <c r="C1342" t="s">
        <v>733</v>
      </c>
      <c r="D1342" t="s">
        <v>42</v>
      </c>
      <c r="E1342" t="s">
        <v>34</v>
      </c>
      <c r="F1342" t="s">
        <v>30</v>
      </c>
      <c r="G1342" t="s">
        <v>36</v>
      </c>
      <c r="H1342">
        <v>1</v>
      </c>
      <c r="I1342">
        <v>1</v>
      </c>
      <c r="J1342">
        <v>0</v>
      </c>
      <c r="K1342">
        <v>0</v>
      </c>
      <c r="L1342">
        <v>0</v>
      </c>
      <c r="M1342">
        <v>1</v>
      </c>
      <c r="N1342">
        <v>0</v>
      </c>
      <c r="P1342">
        <v>58.4</v>
      </c>
      <c r="S1342">
        <v>0</v>
      </c>
      <c r="U1342">
        <v>1</v>
      </c>
      <c r="W1342">
        <v>1</v>
      </c>
      <c r="Y1342">
        <v>0</v>
      </c>
      <c r="AA1342">
        <v>1</v>
      </c>
    </row>
    <row r="1343" spans="1:27" x14ac:dyDescent="0.3">
      <c r="A1343" t="s">
        <v>1384</v>
      </c>
      <c r="B1343">
        <v>45663</v>
      </c>
      <c r="C1343" t="s">
        <v>733</v>
      </c>
      <c r="D1343" t="s">
        <v>28</v>
      </c>
      <c r="E1343" t="s">
        <v>29</v>
      </c>
      <c r="F1343" t="s">
        <v>51</v>
      </c>
      <c r="G1343" t="s">
        <v>36</v>
      </c>
      <c r="H1343">
        <v>1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P1343">
        <v>36.799999999999997</v>
      </c>
      <c r="S1343">
        <v>0</v>
      </c>
      <c r="U1343">
        <v>1</v>
      </c>
      <c r="W1343">
        <v>0</v>
      </c>
      <c r="Y1343">
        <v>0</v>
      </c>
      <c r="AA1343">
        <v>0</v>
      </c>
    </row>
    <row r="1344" spans="1:27" x14ac:dyDescent="0.3">
      <c r="A1344" t="s">
        <v>1385</v>
      </c>
      <c r="B1344">
        <v>45764</v>
      </c>
      <c r="C1344" t="s">
        <v>733</v>
      </c>
      <c r="D1344" t="s">
        <v>42</v>
      </c>
      <c r="E1344" t="s">
        <v>34</v>
      </c>
      <c r="F1344" t="s">
        <v>35</v>
      </c>
      <c r="G1344" t="s">
        <v>40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P1344">
        <v>71.599999999999994</v>
      </c>
      <c r="S1344">
        <v>0</v>
      </c>
      <c r="U1344">
        <v>1</v>
      </c>
      <c r="W1344">
        <v>0</v>
      </c>
      <c r="Y1344">
        <v>0</v>
      </c>
      <c r="AA1344">
        <v>0</v>
      </c>
    </row>
    <row r="1345" spans="1:27" x14ac:dyDescent="0.3">
      <c r="A1345" t="s">
        <v>1386</v>
      </c>
      <c r="B1345">
        <v>45800</v>
      </c>
      <c r="C1345" t="s">
        <v>733</v>
      </c>
      <c r="D1345" t="s">
        <v>42</v>
      </c>
      <c r="E1345" t="s">
        <v>34</v>
      </c>
      <c r="F1345" t="s">
        <v>30</v>
      </c>
      <c r="G1345" t="s">
        <v>31</v>
      </c>
      <c r="H1345">
        <v>1</v>
      </c>
      <c r="I1345">
        <v>1</v>
      </c>
      <c r="J1345">
        <v>0</v>
      </c>
      <c r="K1345">
        <v>0</v>
      </c>
      <c r="L1345">
        <v>0</v>
      </c>
      <c r="M1345">
        <v>1</v>
      </c>
      <c r="N1345">
        <v>0</v>
      </c>
      <c r="P1345">
        <v>79.7</v>
      </c>
      <c r="S1345">
        <v>0</v>
      </c>
      <c r="U1345">
        <v>1</v>
      </c>
      <c r="W1345">
        <v>1</v>
      </c>
      <c r="Y1345">
        <v>0</v>
      </c>
      <c r="AA1345">
        <v>1</v>
      </c>
    </row>
    <row r="1346" spans="1:27" x14ac:dyDescent="0.3">
      <c r="A1346" t="s">
        <v>1387</v>
      </c>
      <c r="B1346">
        <v>45730</v>
      </c>
      <c r="C1346" t="s">
        <v>733</v>
      </c>
      <c r="D1346" t="s">
        <v>33</v>
      </c>
      <c r="E1346" t="s">
        <v>29</v>
      </c>
      <c r="F1346" t="s">
        <v>35</v>
      </c>
      <c r="G1346" t="s">
        <v>31</v>
      </c>
      <c r="H1346">
        <v>1</v>
      </c>
      <c r="I1346">
        <v>0</v>
      </c>
      <c r="J1346">
        <v>0</v>
      </c>
      <c r="K1346">
        <v>0</v>
      </c>
      <c r="L1346">
        <v>0</v>
      </c>
      <c r="M1346">
        <v>1</v>
      </c>
      <c r="N1346">
        <v>0</v>
      </c>
      <c r="P1346">
        <v>56.5</v>
      </c>
      <c r="S1346">
        <v>0</v>
      </c>
      <c r="U1346">
        <v>1</v>
      </c>
      <c r="W1346">
        <v>0</v>
      </c>
      <c r="Y1346">
        <v>0</v>
      </c>
      <c r="AA1346">
        <v>1</v>
      </c>
    </row>
    <row r="1347" spans="1:27" x14ac:dyDescent="0.3">
      <c r="A1347" t="s">
        <v>1388</v>
      </c>
      <c r="B1347">
        <v>45768</v>
      </c>
      <c r="C1347" t="s">
        <v>733</v>
      </c>
      <c r="D1347" t="s">
        <v>28</v>
      </c>
      <c r="E1347" t="s">
        <v>34</v>
      </c>
      <c r="F1347" t="s">
        <v>51</v>
      </c>
      <c r="G1347" t="s">
        <v>40</v>
      </c>
      <c r="H1347">
        <v>1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P1347">
        <v>44.7</v>
      </c>
      <c r="S1347">
        <v>0</v>
      </c>
      <c r="U1347">
        <v>1</v>
      </c>
      <c r="W1347">
        <v>0</v>
      </c>
      <c r="Y1347">
        <v>0</v>
      </c>
      <c r="AA1347">
        <v>0</v>
      </c>
    </row>
    <row r="1348" spans="1:27" x14ac:dyDescent="0.3">
      <c r="A1348" t="s">
        <v>1389</v>
      </c>
      <c r="B1348">
        <v>45660</v>
      </c>
      <c r="C1348" t="s">
        <v>733</v>
      </c>
      <c r="D1348" t="s">
        <v>42</v>
      </c>
      <c r="E1348" t="s">
        <v>34</v>
      </c>
      <c r="F1348" t="s">
        <v>51</v>
      </c>
      <c r="G1348" t="s">
        <v>36</v>
      </c>
      <c r="H1348">
        <v>1</v>
      </c>
      <c r="I1348">
        <v>1</v>
      </c>
      <c r="J1348">
        <v>1</v>
      </c>
      <c r="K1348">
        <v>0</v>
      </c>
      <c r="L1348">
        <v>0</v>
      </c>
      <c r="M1348">
        <v>1</v>
      </c>
      <c r="N1348">
        <v>0</v>
      </c>
      <c r="P1348">
        <v>66</v>
      </c>
      <c r="S1348">
        <v>0</v>
      </c>
      <c r="U1348">
        <v>1</v>
      </c>
      <c r="W1348">
        <v>1</v>
      </c>
      <c r="Y1348">
        <v>1</v>
      </c>
      <c r="AA1348">
        <v>1</v>
      </c>
    </row>
    <row r="1349" spans="1:27" x14ac:dyDescent="0.3">
      <c r="A1349" t="s">
        <v>1390</v>
      </c>
      <c r="B1349">
        <v>45786</v>
      </c>
      <c r="C1349" t="s">
        <v>733</v>
      </c>
      <c r="D1349" t="s">
        <v>28</v>
      </c>
      <c r="E1349" t="s">
        <v>29</v>
      </c>
      <c r="F1349" t="s">
        <v>35</v>
      </c>
      <c r="G1349" t="s">
        <v>31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P1349">
        <v>73</v>
      </c>
      <c r="S1349">
        <v>0</v>
      </c>
      <c r="U1349">
        <v>1</v>
      </c>
      <c r="W1349">
        <v>0</v>
      </c>
      <c r="Y1349">
        <v>0</v>
      </c>
      <c r="AA1349">
        <v>0</v>
      </c>
    </row>
    <row r="1350" spans="1:27" x14ac:dyDescent="0.3">
      <c r="A1350" t="s">
        <v>1391</v>
      </c>
      <c r="B1350">
        <v>45799</v>
      </c>
      <c r="C1350" t="s">
        <v>733</v>
      </c>
      <c r="D1350" t="s">
        <v>42</v>
      </c>
      <c r="E1350" t="s">
        <v>34</v>
      </c>
      <c r="F1350" t="s">
        <v>35</v>
      </c>
      <c r="G1350" t="s">
        <v>31</v>
      </c>
      <c r="H1350">
        <v>1</v>
      </c>
      <c r="I1350">
        <v>1</v>
      </c>
      <c r="J1350">
        <v>1</v>
      </c>
      <c r="K1350">
        <v>0</v>
      </c>
      <c r="L1350">
        <v>0</v>
      </c>
      <c r="M1350">
        <v>1</v>
      </c>
      <c r="N1350">
        <v>0</v>
      </c>
      <c r="P1350">
        <v>72.5</v>
      </c>
      <c r="S1350">
        <v>0</v>
      </c>
      <c r="U1350">
        <v>1</v>
      </c>
      <c r="W1350">
        <v>1</v>
      </c>
      <c r="Y1350">
        <v>1</v>
      </c>
      <c r="AA1350">
        <v>1</v>
      </c>
    </row>
    <row r="1351" spans="1:27" x14ac:dyDescent="0.3">
      <c r="A1351" t="s">
        <v>1392</v>
      </c>
      <c r="B1351">
        <v>45784</v>
      </c>
      <c r="C1351" t="s">
        <v>733</v>
      </c>
      <c r="D1351" t="s">
        <v>42</v>
      </c>
      <c r="E1351" t="s">
        <v>29</v>
      </c>
      <c r="F1351" t="s">
        <v>39</v>
      </c>
      <c r="G1351" t="s">
        <v>36</v>
      </c>
      <c r="H1351">
        <v>1</v>
      </c>
      <c r="I1351">
        <v>1</v>
      </c>
      <c r="J1351">
        <v>1</v>
      </c>
      <c r="K1351">
        <v>1</v>
      </c>
      <c r="L1351">
        <v>323.60000000000002</v>
      </c>
      <c r="M1351">
        <v>0</v>
      </c>
      <c r="N1351">
        <v>0</v>
      </c>
      <c r="O1351">
        <v>6</v>
      </c>
      <c r="P1351">
        <v>100</v>
      </c>
      <c r="S1351">
        <v>0</v>
      </c>
      <c r="U1351">
        <v>1</v>
      </c>
      <c r="W1351">
        <v>1</v>
      </c>
      <c r="Y1351">
        <v>1</v>
      </c>
      <c r="AA1351">
        <v>0</v>
      </c>
    </row>
    <row r="1352" spans="1:27" x14ac:dyDescent="0.3">
      <c r="A1352" t="s">
        <v>1393</v>
      </c>
      <c r="B1352">
        <v>45696</v>
      </c>
      <c r="C1352" t="s">
        <v>733</v>
      </c>
      <c r="D1352" t="s">
        <v>38</v>
      </c>
      <c r="E1352" t="s">
        <v>34</v>
      </c>
      <c r="F1352" t="s">
        <v>51</v>
      </c>
      <c r="G1352" t="s">
        <v>36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1</v>
      </c>
      <c r="N1352">
        <v>0</v>
      </c>
      <c r="P1352">
        <v>90.5</v>
      </c>
      <c r="S1352">
        <v>1</v>
      </c>
      <c r="U1352">
        <v>0</v>
      </c>
      <c r="W1352">
        <v>0</v>
      </c>
      <c r="Y1352">
        <v>0</v>
      </c>
      <c r="AA1352">
        <v>1</v>
      </c>
    </row>
    <row r="1353" spans="1:27" x14ac:dyDescent="0.3">
      <c r="A1353" t="s">
        <v>1394</v>
      </c>
      <c r="B1353">
        <v>45750</v>
      </c>
      <c r="C1353" t="s">
        <v>733</v>
      </c>
      <c r="D1353" t="s">
        <v>28</v>
      </c>
      <c r="E1353" t="s">
        <v>44</v>
      </c>
      <c r="F1353" t="s">
        <v>51</v>
      </c>
      <c r="G1353" t="s">
        <v>31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P1353">
        <v>70.2</v>
      </c>
      <c r="S1353">
        <v>0</v>
      </c>
      <c r="U1353">
        <v>1</v>
      </c>
      <c r="W1353">
        <v>0</v>
      </c>
      <c r="Y1353">
        <v>0</v>
      </c>
      <c r="AA1353">
        <v>0</v>
      </c>
    </row>
    <row r="1354" spans="1:27" x14ac:dyDescent="0.3">
      <c r="A1354" t="s">
        <v>1395</v>
      </c>
      <c r="B1354">
        <v>45764</v>
      </c>
      <c r="C1354" t="s">
        <v>733</v>
      </c>
      <c r="D1354" t="s">
        <v>38</v>
      </c>
      <c r="E1354" t="s">
        <v>29</v>
      </c>
      <c r="F1354" t="s">
        <v>39</v>
      </c>
      <c r="G1354" t="s">
        <v>36</v>
      </c>
      <c r="H1354">
        <v>1</v>
      </c>
      <c r="I1354">
        <v>0</v>
      </c>
      <c r="J1354">
        <v>0</v>
      </c>
      <c r="K1354">
        <v>0</v>
      </c>
      <c r="L1354">
        <v>0</v>
      </c>
      <c r="M1354">
        <v>1</v>
      </c>
      <c r="N1354">
        <v>0</v>
      </c>
      <c r="P1354">
        <v>67.099999999999994</v>
      </c>
      <c r="S1354">
        <v>0</v>
      </c>
      <c r="U1354">
        <v>1</v>
      </c>
      <c r="W1354">
        <v>0</v>
      </c>
      <c r="Y1354">
        <v>0</v>
      </c>
      <c r="AA1354">
        <v>1</v>
      </c>
    </row>
    <row r="1355" spans="1:27" x14ac:dyDescent="0.3">
      <c r="A1355" t="s">
        <v>1396</v>
      </c>
      <c r="B1355">
        <v>45781</v>
      </c>
      <c r="C1355" t="s">
        <v>733</v>
      </c>
      <c r="D1355" t="s">
        <v>38</v>
      </c>
      <c r="E1355" t="s">
        <v>34</v>
      </c>
      <c r="F1355" t="s">
        <v>35</v>
      </c>
      <c r="G1355" t="s">
        <v>36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P1355">
        <v>54.5</v>
      </c>
      <c r="S1355">
        <v>0</v>
      </c>
      <c r="U1355">
        <v>0</v>
      </c>
      <c r="W1355">
        <v>0</v>
      </c>
      <c r="Y1355">
        <v>0</v>
      </c>
      <c r="AA1355">
        <v>0</v>
      </c>
    </row>
    <row r="1356" spans="1:27" x14ac:dyDescent="0.3">
      <c r="A1356" t="s">
        <v>1397</v>
      </c>
      <c r="B1356">
        <v>45788</v>
      </c>
      <c r="C1356" t="s">
        <v>733</v>
      </c>
      <c r="D1356" t="s">
        <v>33</v>
      </c>
      <c r="E1356" t="s">
        <v>29</v>
      </c>
      <c r="F1356" t="s">
        <v>35</v>
      </c>
      <c r="G1356" t="s">
        <v>36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P1356">
        <v>63.4</v>
      </c>
      <c r="S1356">
        <v>0</v>
      </c>
      <c r="U1356">
        <v>1</v>
      </c>
      <c r="W1356">
        <v>0</v>
      </c>
      <c r="Y1356">
        <v>0</v>
      </c>
      <c r="AA1356">
        <v>0</v>
      </c>
    </row>
    <row r="1357" spans="1:27" x14ac:dyDescent="0.3">
      <c r="A1357" t="s">
        <v>1398</v>
      </c>
      <c r="B1357">
        <v>45717</v>
      </c>
      <c r="C1357" t="s">
        <v>733</v>
      </c>
      <c r="D1357" t="s">
        <v>28</v>
      </c>
      <c r="E1357" t="s">
        <v>29</v>
      </c>
      <c r="G1357" t="s">
        <v>36</v>
      </c>
      <c r="H1357">
        <v>1</v>
      </c>
      <c r="I1357">
        <v>1</v>
      </c>
      <c r="J1357">
        <v>1</v>
      </c>
      <c r="K1357">
        <v>0</v>
      </c>
      <c r="L1357">
        <v>0</v>
      </c>
      <c r="M1357">
        <v>0</v>
      </c>
      <c r="N1357">
        <v>0</v>
      </c>
      <c r="P1357">
        <v>84.3</v>
      </c>
      <c r="S1357">
        <v>0</v>
      </c>
      <c r="U1357">
        <v>1</v>
      </c>
      <c r="W1357">
        <v>1</v>
      </c>
      <c r="Y1357">
        <v>1</v>
      </c>
      <c r="AA1357">
        <v>0</v>
      </c>
    </row>
    <row r="1358" spans="1:27" x14ac:dyDescent="0.3">
      <c r="A1358" t="s">
        <v>1399</v>
      </c>
      <c r="B1358">
        <v>45708</v>
      </c>
      <c r="C1358" t="s">
        <v>733</v>
      </c>
      <c r="D1358" t="s">
        <v>33</v>
      </c>
      <c r="E1358" t="s">
        <v>29</v>
      </c>
      <c r="F1358" t="s">
        <v>35</v>
      </c>
      <c r="G1358" t="s">
        <v>36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1</v>
      </c>
      <c r="N1358">
        <v>0</v>
      </c>
      <c r="P1358">
        <v>55</v>
      </c>
      <c r="S1358">
        <v>0</v>
      </c>
      <c r="U1358">
        <v>1</v>
      </c>
      <c r="W1358">
        <v>0</v>
      </c>
      <c r="Y1358">
        <v>0</v>
      </c>
      <c r="AA1358">
        <v>1</v>
      </c>
    </row>
    <row r="1359" spans="1:27" x14ac:dyDescent="0.3">
      <c r="A1359" t="s">
        <v>1400</v>
      </c>
      <c r="B1359">
        <v>45786</v>
      </c>
      <c r="C1359" t="s">
        <v>733</v>
      </c>
      <c r="D1359" t="s">
        <v>33</v>
      </c>
      <c r="E1359" t="s">
        <v>34</v>
      </c>
      <c r="F1359" t="s">
        <v>51</v>
      </c>
      <c r="G1359" t="s">
        <v>36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P1359">
        <v>63.6</v>
      </c>
      <c r="S1359">
        <v>0</v>
      </c>
      <c r="U1359">
        <v>1</v>
      </c>
      <c r="W1359">
        <v>0</v>
      </c>
      <c r="Y1359">
        <v>0</v>
      </c>
      <c r="AA1359">
        <v>0</v>
      </c>
    </row>
    <row r="1360" spans="1:27" x14ac:dyDescent="0.3">
      <c r="A1360" t="s">
        <v>1401</v>
      </c>
      <c r="B1360">
        <v>45777</v>
      </c>
      <c r="C1360" t="s">
        <v>733</v>
      </c>
      <c r="D1360" t="s">
        <v>33</v>
      </c>
      <c r="E1360" t="s">
        <v>34</v>
      </c>
      <c r="F1360" t="s">
        <v>35</v>
      </c>
      <c r="G1360" t="s">
        <v>36</v>
      </c>
      <c r="H1360">
        <v>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P1360">
        <v>55.5</v>
      </c>
      <c r="S1360">
        <v>0</v>
      </c>
      <c r="U1360">
        <v>1</v>
      </c>
      <c r="W1360">
        <v>0</v>
      </c>
      <c r="Y1360">
        <v>0</v>
      </c>
      <c r="AA1360">
        <v>0</v>
      </c>
    </row>
    <row r="1361" spans="1:27" x14ac:dyDescent="0.3">
      <c r="A1361" t="s">
        <v>1402</v>
      </c>
      <c r="B1361">
        <v>45664</v>
      </c>
      <c r="C1361" t="s">
        <v>733</v>
      </c>
      <c r="D1361" t="s">
        <v>42</v>
      </c>
      <c r="E1361" t="s">
        <v>34</v>
      </c>
      <c r="F1361" t="s">
        <v>51</v>
      </c>
      <c r="G1361" t="s">
        <v>31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P1361">
        <v>50.5</v>
      </c>
      <c r="S1361">
        <v>0</v>
      </c>
      <c r="U1361">
        <v>0</v>
      </c>
      <c r="W1361">
        <v>0</v>
      </c>
      <c r="Y1361">
        <v>0</v>
      </c>
      <c r="AA1361">
        <v>0</v>
      </c>
    </row>
    <row r="1362" spans="1:27" x14ac:dyDescent="0.3">
      <c r="A1362" t="s">
        <v>1403</v>
      </c>
      <c r="B1362">
        <v>45777</v>
      </c>
      <c r="C1362" t="s">
        <v>733</v>
      </c>
      <c r="D1362" t="s">
        <v>28</v>
      </c>
      <c r="E1362" t="s">
        <v>34</v>
      </c>
      <c r="F1362" t="s">
        <v>51</v>
      </c>
      <c r="G1362" t="s">
        <v>31</v>
      </c>
      <c r="H1362">
        <v>1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P1362">
        <v>45.3</v>
      </c>
      <c r="S1362">
        <v>0</v>
      </c>
      <c r="U1362">
        <v>1</v>
      </c>
      <c r="W1362">
        <v>0</v>
      </c>
      <c r="Y1362">
        <v>0</v>
      </c>
      <c r="AA1362">
        <v>0</v>
      </c>
    </row>
    <row r="1363" spans="1:27" x14ac:dyDescent="0.3">
      <c r="A1363" t="s">
        <v>1404</v>
      </c>
      <c r="B1363">
        <v>45800</v>
      </c>
      <c r="C1363" t="s">
        <v>733</v>
      </c>
      <c r="D1363" t="s">
        <v>38</v>
      </c>
      <c r="E1363" t="s">
        <v>34</v>
      </c>
      <c r="F1363" t="s">
        <v>35</v>
      </c>
      <c r="G1363" t="s">
        <v>31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P1363">
        <v>33.6</v>
      </c>
      <c r="S1363">
        <v>0</v>
      </c>
      <c r="U1363">
        <v>1</v>
      </c>
      <c r="W1363">
        <v>0</v>
      </c>
      <c r="Y1363">
        <v>0</v>
      </c>
      <c r="AA1363">
        <v>0</v>
      </c>
    </row>
    <row r="1364" spans="1:27" x14ac:dyDescent="0.3">
      <c r="A1364" t="s">
        <v>1405</v>
      </c>
      <c r="B1364">
        <v>45728</v>
      </c>
      <c r="C1364" t="s">
        <v>733</v>
      </c>
      <c r="D1364" t="s">
        <v>42</v>
      </c>
      <c r="E1364" t="s">
        <v>34</v>
      </c>
      <c r="F1364" t="s">
        <v>39</v>
      </c>
      <c r="G1364" t="s">
        <v>40</v>
      </c>
      <c r="H1364">
        <v>1</v>
      </c>
      <c r="I1364">
        <v>1</v>
      </c>
      <c r="J1364">
        <v>1</v>
      </c>
      <c r="K1364">
        <v>0</v>
      </c>
      <c r="L1364">
        <v>0</v>
      </c>
      <c r="M1364">
        <v>0</v>
      </c>
      <c r="N1364">
        <v>0</v>
      </c>
      <c r="P1364">
        <v>88.2</v>
      </c>
      <c r="S1364">
        <v>0</v>
      </c>
      <c r="U1364">
        <v>1</v>
      </c>
      <c r="W1364">
        <v>1</v>
      </c>
      <c r="Y1364">
        <v>1</v>
      </c>
      <c r="AA1364">
        <v>0</v>
      </c>
    </row>
    <row r="1365" spans="1:27" x14ac:dyDescent="0.3">
      <c r="A1365" t="s">
        <v>1406</v>
      </c>
      <c r="B1365">
        <v>45705</v>
      </c>
      <c r="C1365" t="s">
        <v>733</v>
      </c>
      <c r="D1365" t="s">
        <v>28</v>
      </c>
      <c r="E1365" t="s">
        <v>34</v>
      </c>
      <c r="F1365" t="s">
        <v>35</v>
      </c>
      <c r="G1365" t="s">
        <v>40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P1365">
        <v>51.8</v>
      </c>
      <c r="S1365">
        <v>0</v>
      </c>
      <c r="U1365">
        <v>1</v>
      </c>
      <c r="W1365">
        <v>0</v>
      </c>
      <c r="Y1365">
        <v>0</v>
      </c>
      <c r="AA1365">
        <v>0</v>
      </c>
    </row>
    <row r="1366" spans="1:27" x14ac:dyDescent="0.3">
      <c r="A1366" t="s">
        <v>1407</v>
      </c>
      <c r="B1366">
        <v>45804</v>
      </c>
      <c r="C1366" t="s">
        <v>733</v>
      </c>
      <c r="D1366" t="s">
        <v>28</v>
      </c>
      <c r="E1366" t="s">
        <v>29</v>
      </c>
      <c r="F1366" t="s">
        <v>35</v>
      </c>
      <c r="G1366" t="s">
        <v>31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P1366">
        <v>87.9</v>
      </c>
      <c r="S1366">
        <v>0</v>
      </c>
      <c r="U1366">
        <v>0</v>
      </c>
      <c r="W1366">
        <v>0</v>
      </c>
      <c r="Y1366">
        <v>0</v>
      </c>
      <c r="AA1366">
        <v>0</v>
      </c>
    </row>
    <row r="1367" spans="1:27" x14ac:dyDescent="0.3">
      <c r="A1367" t="s">
        <v>1408</v>
      </c>
      <c r="B1367">
        <v>45787</v>
      </c>
      <c r="C1367" t="s">
        <v>733</v>
      </c>
      <c r="D1367" t="s">
        <v>42</v>
      </c>
      <c r="E1367" t="s">
        <v>34</v>
      </c>
      <c r="F1367" t="s">
        <v>51</v>
      </c>
      <c r="G1367" t="s">
        <v>40</v>
      </c>
      <c r="H1367">
        <v>1</v>
      </c>
      <c r="I1367">
        <v>0</v>
      </c>
      <c r="J1367">
        <v>0</v>
      </c>
      <c r="K1367">
        <v>0</v>
      </c>
      <c r="L1367">
        <v>0</v>
      </c>
      <c r="M1367">
        <v>2</v>
      </c>
      <c r="N1367">
        <v>0</v>
      </c>
      <c r="P1367">
        <v>70.5</v>
      </c>
      <c r="S1367">
        <v>0</v>
      </c>
      <c r="U1367">
        <v>1</v>
      </c>
      <c r="W1367">
        <v>0</v>
      </c>
      <c r="Y1367">
        <v>0</v>
      </c>
      <c r="AA1367">
        <v>2</v>
      </c>
    </row>
    <row r="1368" spans="1:27" x14ac:dyDescent="0.3">
      <c r="A1368" t="s">
        <v>1409</v>
      </c>
      <c r="B1368">
        <v>45677</v>
      </c>
      <c r="C1368" t="s">
        <v>733</v>
      </c>
      <c r="D1368" t="s">
        <v>28</v>
      </c>
      <c r="E1368" t="s">
        <v>34</v>
      </c>
      <c r="F1368" t="s">
        <v>35</v>
      </c>
      <c r="G1368" t="s">
        <v>31</v>
      </c>
      <c r="H1368">
        <v>1</v>
      </c>
      <c r="I1368">
        <v>1</v>
      </c>
      <c r="J1368">
        <v>0</v>
      </c>
      <c r="K1368">
        <v>0</v>
      </c>
      <c r="L1368">
        <v>0</v>
      </c>
      <c r="M1368">
        <v>2</v>
      </c>
      <c r="N1368">
        <v>0</v>
      </c>
      <c r="P1368">
        <v>58.5</v>
      </c>
      <c r="S1368">
        <v>0</v>
      </c>
      <c r="U1368">
        <v>1</v>
      </c>
      <c r="W1368">
        <v>1</v>
      </c>
      <c r="Y1368">
        <v>0</v>
      </c>
      <c r="AA1368">
        <v>2</v>
      </c>
    </row>
    <row r="1369" spans="1:27" x14ac:dyDescent="0.3">
      <c r="A1369" t="s">
        <v>1410</v>
      </c>
      <c r="B1369">
        <v>45676</v>
      </c>
      <c r="C1369" t="s">
        <v>733</v>
      </c>
      <c r="D1369" t="s">
        <v>38</v>
      </c>
      <c r="E1369" t="s">
        <v>34</v>
      </c>
      <c r="F1369" t="s">
        <v>49</v>
      </c>
      <c r="G1369" t="s">
        <v>36</v>
      </c>
      <c r="H1369">
        <v>1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P1369">
        <v>65.599999999999994</v>
      </c>
      <c r="S1369">
        <v>0</v>
      </c>
      <c r="U1369">
        <v>1</v>
      </c>
      <c r="W1369">
        <v>0</v>
      </c>
      <c r="Y1369">
        <v>0</v>
      </c>
      <c r="AA1369">
        <v>0</v>
      </c>
    </row>
    <row r="1370" spans="1:27" x14ac:dyDescent="0.3">
      <c r="A1370" t="s">
        <v>1411</v>
      </c>
      <c r="B1370">
        <v>45723</v>
      </c>
      <c r="C1370" t="s">
        <v>733</v>
      </c>
      <c r="D1370" t="s">
        <v>33</v>
      </c>
      <c r="E1370" t="s">
        <v>29</v>
      </c>
      <c r="F1370" t="s">
        <v>39</v>
      </c>
      <c r="G1370" t="s">
        <v>31</v>
      </c>
      <c r="H1370">
        <v>1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P1370">
        <v>62.7</v>
      </c>
      <c r="S1370">
        <v>0</v>
      </c>
      <c r="U1370">
        <v>1</v>
      </c>
      <c r="W1370">
        <v>1</v>
      </c>
      <c r="Y1370">
        <v>0</v>
      </c>
      <c r="AA1370">
        <v>0</v>
      </c>
    </row>
    <row r="1371" spans="1:27" x14ac:dyDescent="0.3">
      <c r="A1371" t="s">
        <v>1412</v>
      </c>
      <c r="B1371">
        <v>45690</v>
      </c>
      <c r="C1371" t="s">
        <v>733</v>
      </c>
      <c r="D1371" t="s">
        <v>38</v>
      </c>
      <c r="E1371" t="s">
        <v>34</v>
      </c>
      <c r="F1371" t="s">
        <v>35</v>
      </c>
      <c r="G1371" t="s">
        <v>36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1</v>
      </c>
      <c r="N1371">
        <v>0</v>
      </c>
      <c r="P1371">
        <v>50.9</v>
      </c>
      <c r="S1371">
        <v>0</v>
      </c>
      <c r="U1371">
        <v>0</v>
      </c>
      <c r="W1371">
        <v>0</v>
      </c>
      <c r="Y1371">
        <v>0</v>
      </c>
      <c r="AA1371">
        <v>1</v>
      </c>
    </row>
    <row r="1372" spans="1:27" x14ac:dyDescent="0.3">
      <c r="A1372" t="s">
        <v>1413</v>
      </c>
      <c r="B1372">
        <v>45723</v>
      </c>
      <c r="C1372" t="s">
        <v>733</v>
      </c>
      <c r="D1372" t="s">
        <v>28</v>
      </c>
      <c r="E1372" t="s">
        <v>34</v>
      </c>
      <c r="F1372" t="s">
        <v>35</v>
      </c>
      <c r="G1372" t="s">
        <v>36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1</v>
      </c>
      <c r="N1372">
        <v>0</v>
      </c>
      <c r="P1372">
        <v>60.6</v>
      </c>
      <c r="S1372">
        <v>0</v>
      </c>
      <c r="U1372">
        <v>0</v>
      </c>
      <c r="W1372">
        <v>0</v>
      </c>
      <c r="Y1372">
        <v>0</v>
      </c>
      <c r="AA1372">
        <v>1</v>
      </c>
    </row>
    <row r="1373" spans="1:27" x14ac:dyDescent="0.3">
      <c r="A1373" t="s">
        <v>1414</v>
      </c>
      <c r="B1373">
        <v>45746</v>
      </c>
      <c r="C1373" t="s">
        <v>733</v>
      </c>
      <c r="D1373" t="s">
        <v>38</v>
      </c>
      <c r="E1373" t="s">
        <v>29</v>
      </c>
      <c r="F1373" t="s">
        <v>35</v>
      </c>
      <c r="G1373" t="s">
        <v>36</v>
      </c>
      <c r="H1373">
        <v>1</v>
      </c>
      <c r="I1373">
        <v>1</v>
      </c>
      <c r="J1373">
        <v>1</v>
      </c>
      <c r="K1373">
        <v>0</v>
      </c>
      <c r="L1373">
        <v>0</v>
      </c>
      <c r="M1373">
        <v>0</v>
      </c>
      <c r="N1373">
        <v>0</v>
      </c>
      <c r="P1373">
        <v>76.599999999999994</v>
      </c>
      <c r="S1373">
        <v>0</v>
      </c>
      <c r="U1373">
        <v>1</v>
      </c>
      <c r="W1373">
        <v>1</v>
      </c>
      <c r="Y1373">
        <v>1</v>
      </c>
      <c r="AA1373">
        <v>0</v>
      </c>
    </row>
    <row r="1374" spans="1:27" x14ac:dyDescent="0.3">
      <c r="A1374" t="s">
        <v>1415</v>
      </c>
      <c r="B1374">
        <v>45782</v>
      </c>
      <c r="C1374" t="s">
        <v>733</v>
      </c>
      <c r="D1374" t="s">
        <v>38</v>
      </c>
      <c r="E1374" t="s">
        <v>29</v>
      </c>
      <c r="F1374" t="s">
        <v>39</v>
      </c>
      <c r="G1374" t="s">
        <v>36</v>
      </c>
      <c r="H1374">
        <v>1</v>
      </c>
      <c r="I1374">
        <v>1</v>
      </c>
      <c r="J1374">
        <v>1</v>
      </c>
      <c r="K1374">
        <v>0</v>
      </c>
      <c r="L1374">
        <v>0</v>
      </c>
      <c r="M1374">
        <v>0</v>
      </c>
      <c r="N1374">
        <v>0</v>
      </c>
      <c r="P1374">
        <v>54.4</v>
      </c>
      <c r="S1374">
        <v>0</v>
      </c>
      <c r="U1374">
        <v>1</v>
      </c>
      <c r="W1374">
        <v>1</v>
      </c>
      <c r="Y1374">
        <v>1</v>
      </c>
      <c r="AA1374">
        <v>0</v>
      </c>
    </row>
    <row r="1375" spans="1:27" x14ac:dyDescent="0.3">
      <c r="A1375" t="s">
        <v>1416</v>
      </c>
      <c r="B1375">
        <v>45758</v>
      </c>
      <c r="C1375" t="s">
        <v>733</v>
      </c>
      <c r="D1375" t="s">
        <v>42</v>
      </c>
      <c r="E1375" t="s">
        <v>34</v>
      </c>
      <c r="F1375" t="s">
        <v>51</v>
      </c>
      <c r="G1375" t="s">
        <v>36</v>
      </c>
      <c r="H1375">
        <v>1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P1375">
        <v>31.2</v>
      </c>
      <c r="S1375">
        <v>0</v>
      </c>
      <c r="U1375">
        <v>1</v>
      </c>
      <c r="W1375">
        <v>0</v>
      </c>
      <c r="Y1375">
        <v>0</v>
      </c>
      <c r="AA1375">
        <v>0</v>
      </c>
    </row>
    <row r="1376" spans="1:27" x14ac:dyDescent="0.3">
      <c r="A1376" t="s">
        <v>1417</v>
      </c>
      <c r="B1376">
        <v>45741</v>
      </c>
      <c r="C1376" t="s">
        <v>733</v>
      </c>
      <c r="D1376" t="s">
        <v>33</v>
      </c>
      <c r="E1376" t="s">
        <v>29</v>
      </c>
      <c r="F1376" t="s">
        <v>30</v>
      </c>
      <c r="G1376" t="s">
        <v>40</v>
      </c>
      <c r="H1376">
        <v>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P1376">
        <v>72.400000000000006</v>
      </c>
      <c r="S1376">
        <v>0</v>
      </c>
      <c r="U1376">
        <v>1</v>
      </c>
      <c r="W1376">
        <v>0</v>
      </c>
      <c r="Y1376">
        <v>0</v>
      </c>
      <c r="AA1376">
        <v>0</v>
      </c>
    </row>
    <row r="1377" spans="1:27" x14ac:dyDescent="0.3">
      <c r="A1377" t="s">
        <v>1418</v>
      </c>
      <c r="B1377">
        <v>45740</v>
      </c>
      <c r="C1377" t="s">
        <v>733</v>
      </c>
      <c r="D1377" t="s">
        <v>28</v>
      </c>
      <c r="E1377" t="s">
        <v>34</v>
      </c>
      <c r="F1377" t="s">
        <v>35</v>
      </c>
      <c r="G1377" t="s">
        <v>40</v>
      </c>
      <c r="H1377">
        <v>1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P1377">
        <v>74.5</v>
      </c>
      <c r="S1377">
        <v>0</v>
      </c>
      <c r="U1377">
        <v>1</v>
      </c>
      <c r="W1377">
        <v>0</v>
      </c>
      <c r="Y1377">
        <v>0</v>
      </c>
      <c r="AA1377">
        <v>0</v>
      </c>
    </row>
    <row r="1378" spans="1:27" x14ac:dyDescent="0.3">
      <c r="A1378" t="s">
        <v>1419</v>
      </c>
      <c r="B1378">
        <v>45774</v>
      </c>
      <c r="C1378" t="s">
        <v>733</v>
      </c>
      <c r="D1378" t="s">
        <v>38</v>
      </c>
      <c r="E1378" t="s">
        <v>34</v>
      </c>
      <c r="F1378" t="s">
        <v>35</v>
      </c>
      <c r="G1378" t="s">
        <v>31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P1378">
        <v>52.6</v>
      </c>
      <c r="S1378">
        <v>0</v>
      </c>
      <c r="U1378">
        <v>0</v>
      </c>
      <c r="W1378">
        <v>0</v>
      </c>
      <c r="Y1378">
        <v>0</v>
      </c>
      <c r="AA1378">
        <v>0</v>
      </c>
    </row>
    <row r="1379" spans="1:27" x14ac:dyDescent="0.3">
      <c r="A1379" t="s">
        <v>1420</v>
      </c>
      <c r="B1379">
        <v>45682</v>
      </c>
      <c r="C1379" t="s">
        <v>733</v>
      </c>
      <c r="D1379" t="s">
        <v>28</v>
      </c>
      <c r="E1379" t="s">
        <v>29</v>
      </c>
      <c r="F1379" t="s">
        <v>39</v>
      </c>
      <c r="G1379" t="s">
        <v>36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P1379">
        <v>75.400000000000006</v>
      </c>
      <c r="S1379">
        <v>0</v>
      </c>
      <c r="U1379">
        <v>1</v>
      </c>
      <c r="W1379">
        <v>0</v>
      </c>
      <c r="Y1379">
        <v>0</v>
      </c>
      <c r="AA1379">
        <v>0</v>
      </c>
    </row>
    <row r="1380" spans="1:27" x14ac:dyDescent="0.3">
      <c r="A1380" t="s">
        <v>1421</v>
      </c>
      <c r="B1380">
        <v>45705</v>
      </c>
      <c r="C1380" t="s">
        <v>733</v>
      </c>
      <c r="D1380" t="s">
        <v>28</v>
      </c>
      <c r="E1380" t="s">
        <v>44</v>
      </c>
      <c r="F1380" t="s">
        <v>51</v>
      </c>
      <c r="G1380" t="s">
        <v>31</v>
      </c>
      <c r="H1380">
        <v>1</v>
      </c>
      <c r="I1380">
        <v>1</v>
      </c>
      <c r="J1380">
        <v>1</v>
      </c>
      <c r="K1380">
        <v>1</v>
      </c>
      <c r="L1380">
        <v>751.33</v>
      </c>
      <c r="M1380">
        <v>0</v>
      </c>
      <c r="N1380">
        <v>0</v>
      </c>
      <c r="O1380">
        <v>9</v>
      </c>
      <c r="P1380">
        <v>34</v>
      </c>
      <c r="S1380">
        <v>0</v>
      </c>
      <c r="U1380">
        <v>1</v>
      </c>
      <c r="W1380">
        <v>1</v>
      </c>
      <c r="Y1380">
        <v>1</v>
      </c>
      <c r="AA1380">
        <v>0</v>
      </c>
    </row>
    <row r="1381" spans="1:27" x14ac:dyDescent="0.3">
      <c r="A1381" t="s">
        <v>1422</v>
      </c>
      <c r="B1381">
        <v>45760</v>
      </c>
      <c r="C1381" t="s">
        <v>733</v>
      </c>
      <c r="D1381" t="s">
        <v>42</v>
      </c>
      <c r="E1381" t="s">
        <v>29</v>
      </c>
      <c r="F1381" t="s">
        <v>35</v>
      </c>
      <c r="G1381" t="s">
        <v>36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P1381">
        <v>67.099999999999994</v>
      </c>
      <c r="S1381">
        <v>1</v>
      </c>
      <c r="U1381">
        <v>1</v>
      </c>
      <c r="W1381">
        <v>0</v>
      </c>
      <c r="Y1381">
        <v>0</v>
      </c>
      <c r="AA1381">
        <v>0</v>
      </c>
    </row>
    <row r="1382" spans="1:27" x14ac:dyDescent="0.3">
      <c r="A1382" t="s">
        <v>1423</v>
      </c>
      <c r="B1382">
        <v>45780</v>
      </c>
      <c r="C1382" t="s">
        <v>733</v>
      </c>
      <c r="D1382" t="s">
        <v>33</v>
      </c>
      <c r="E1382" t="s">
        <v>29</v>
      </c>
      <c r="F1382" t="s">
        <v>39</v>
      </c>
      <c r="G1382" t="s">
        <v>40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P1382">
        <v>37.299999999999997</v>
      </c>
      <c r="S1382">
        <v>0</v>
      </c>
      <c r="U1382">
        <v>1</v>
      </c>
      <c r="W1382">
        <v>0</v>
      </c>
      <c r="Y1382">
        <v>0</v>
      </c>
      <c r="AA1382">
        <v>0</v>
      </c>
    </row>
    <row r="1383" spans="1:27" x14ac:dyDescent="0.3">
      <c r="A1383" t="s">
        <v>1424</v>
      </c>
      <c r="B1383">
        <v>45776</v>
      </c>
      <c r="C1383" t="s">
        <v>733</v>
      </c>
      <c r="D1383" t="s">
        <v>33</v>
      </c>
      <c r="E1383" t="s">
        <v>34</v>
      </c>
      <c r="F1383" t="s">
        <v>30</v>
      </c>
      <c r="G1383" t="s">
        <v>36</v>
      </c>
      <c r="H1383">
        <v>1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P1383">
        <v>54.7</v>
      </c>
      <c r="S1383">
        <v>0</v>
      </c>
      <c r="U1383">
        <v>1</v>
      </c>
      <c r="W1383">
        <v>0</v>
      </c>
      <c r="Y1383">
        <v>0</v>
      </c>
      <c r="AA1383">
        <v>0</v>
      </c>
    </row>
    <row r="1384" spans="1:27" x14ac:dyDescent="0.3">
      <c r="A1384" t="s">
        <v>1425</v>
      </c>
      <c r="B1384">
        <v>45780</v>
      </c>
      <c r="C1384" t="s">
        <v>733</v>
      </c>
      <c r="D1384" t="s">
        <v>38</v>
      </c>
      <c r="E1384" t="s">
        <v>29</v>
      </c>
      <c r="F1384" t="s">
        <v>39</v>
      </c>
      <c r="G1384" t="s">
        <v>36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P1384">
        <v>51.8</v>
      </c>
      <c r="S1384">
        <v>0</v>
      </c>
      <c r="U1384">
        <v>1</v>
      </c>
      <c r="W1384">
        <v>0</v>
      </c>
      <c r="Y1384">
        <v>0</v>
      </c>
      <c r="AA1384">
        <v>0</v>
      </c>
    </row>
    <row r="1385" spans="1:27" x14ac:dyDescent="0.3">
      <c r="A1385" t="s">
        <v>1426</v>
      </c>
      <c r="B1385">
        <v>45775</v>
      </c>
      <c r="C1385" t="s">
        <v>733</v>
      </c>
      <c r="D1385" t="s">
        <v>33</v>
      </c>
      <c r="E1385" t="s">
        <v>34</v>
      </c>
      <c r="F1385" t="s">
        <v>39</v>
      </c>
      <c r="G1385" t="s">
        <v>36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P1385">
        <v>49.2</v>
      </c>
      <c r="S1385">
        <v>0</v>
      </c>
      <c r="U1385">
        <v>0</v>
      </c>
      <c r="W1385">
        <v>0</v>
      </c>
      <c r="Y1385">
        <v>0</v>
      </c>
      <c r="AA1385">
        <v>0</v>
      </c>
    </row>
    <row r="1386" spans="1:27" x14ac:dyDescent="0.3">
      <c r="A1386" t="s">
        <v>1427</v>
      </c>
      <c r="B1386">
        <v>45678</v>
      </c>
      <c r="C1386" t="s">
        <v>733</v>
      </c>
      <c r="D1386" t="s">
        <v>33</v>
      </c>
      <c r="E1386" t="s">
        <v>34</v>
      </c>
      <c r="F1386" t="s">
        <v>35</v>
      </c>
      <c r="G1386" t="s">
        <v>36</v>
      </c>
      <c r="H1386">
        <v>1</v>
      </c>
      <c r="I1386">
        <v>0</v>
      </c>
      <c r="J1386">
        <v>0</v>
      </c>
      <c r="K1386">
        <v>0</v>
      </c>
      <c r="L1386">
        <v>0</v>
      </c>
      <c r="M1386">
        <v>2</v>
      </c>
      <c r="N1386">
        <v>0</v>
      </c>
      <c r="P1386">
        <v>58.8</v>
      </c>
      <c r="S1386">
        <v>0</v>
      </c>
      <c r="U1386">
        <v>1</v>
      </c>
      <c r="W1386">
        <v>0</v>
      </c>
      <c r="Y1386">
        <v>0</v>
      </c>
      <c r="AA1386">
        <v>2</v>
      </c>
    </row>
    <row r="1387" spans="1:27" x14ac:dyDescent="0.3">
      <c r="A1387" t="s">
        <v>1428</v>
      </c>
      <c r="B1387">
        <v>45678</v>
      </c>
      <c r="C1387" t="s">
        <v>733</v>
      </c>
      <c r="D1387" t="s">
        <v>28</v>
      </c>
      <c r="E1387" t="s">
        <v>44</v>
      </c>
      <c r="F1387" t="s">
        <v>39</v>
      </c>
      <c r="G1387" t="s">
        <v>31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1</v>
      </c>
      <c r="N1387">
        <v>0</v>
      </c>
      <c r="P1387">
        <v>59.1</v>
      </c>
      <c r="S1387">
        <v>0</v>
      </c>
      <c r="U1387">
        <v>0</v>
      </c>
      <c r="W1387">
        <v>0</v>
      </c>
      <c r="Y1387">
        <v>0</v>
      </c>
      <c r="AA1387">
        <v>1</v>
      </c>
    </row>
    <row r="1388" spans="1:27" x14ac:dyDescent="0.3">
      <c r="A1388" t="s">
        <v>1429</v>
      </c>
      <c r="B1388">
        <v>45798</v>
      </c>
      <c r="C1388" t="s">
        <v>733</v>
      </c>
      <c r="D1388" t="s">
        <v>33</v>
      </c>
      <c r="E1388" t="s">
        <v>29</v>
      </c>
      <c r="F1388" t="s">
        <v>39</v>
      </c>
      <c r="G1388" t="s">
        <v>36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2</v>
      </c>
      <c r="N1388">
        <v>0</v>
      </c>
      <c r="P1388">
        <v>49.6</v>
      </c>
      <c r="S1388">
        <v>0</v>
      </c>
      <c r="U1388">
        <v>1</v>
      </c>
      <c r="W1388">
        <v>0</v>
      </c>
      <c r="Y1388">
        <v>0</v>
      </c>
      <c r="AA1388">
        <v>2</v>
      </c>
    </row>
    <row r="1389" spans="1:27" x14ac:dyDescent="0.3">
      <c r="A1389" t="s">
        <v>1430</v>
      </c>
      <c r="B1389">
        <v>45662</v>
      </c>
      <c r="C1389" t="s">
        <v>733</v>
      </c>
      <c r="D1389" t="s">
        <v>28</v>
      </c>
      <c r="E1389" t="s">
        <v>34</v>
      </c>
      <c r="F1389" t="s">
        <v>49</v>
      </c>
      <c r="G1389" t="s">
        <v>36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P1389">
        <v>58.2</v>
      </c>
      <c r="S1389">
        <v>0</v>
      </c>
      <c r="U1389">
        <v>0</v>
      </c>
      <c r="W1389">
        <v>0</v>
      </c>
      <c r="Y1389">
        <v>0</v>
      </c>
      <c r="AA1389">
        <v>0</v>
      </c>
    </row>
    <row r="1390" spans="1:27" x14ac:dyDescent="0.3">
      <c r="A1390" t="s">
        <v>1431</v>
      </c>
      <c r="B1390">
        <v>45722</v>
      </c>
      <c r="C1390" t="s">
        <v>733</v>
      </c>
      <c r="D1390" t="s">
        <v>42</v>
      </c>
      <c r="E1390" t="s">
        <v>29</v>
      </c>
      <c r="F1390" t="s">
        <v>35</v>
      </c>
      <c r="G1390" t="s">
        <v>36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P1390">
        <v>66.8</v>
      </c>
      <c r="S1390">
        <v>0</v>
      </c>
      <c r="U1390">
        <v>1</v>
      </c>
      <c r="W1390">
        <v>0</v>
      </c>
      <c r="Y1390">
        <v>0</v>
      </c>
      <c r="AA1390">
        <v>0</v>
      </c>
    </row>
    <row r="1391" spans="1:27" x14ac:dyDescent="0.3">
      <c r="A1391" t="s">
        <v>1432</v>
      </c>
      <c r="B1391">
        <v>45765</v>
      </c>
      <c r="C1391" t="s">
        <v>733</v>
      </c>
      <c r="D1391" t="s">
        <v>28</v>
      </c>
      <c r="E1391" t="s">
        <v>34</v>
      </c>
      <c r="F1391" t="s">
        <v>39</v>
      </c>
      <c r="G1391" t="s">
        <v>36</v>
      </c>
      <c r="H1391">
        <v>1</v>
      </c>
      <c r="I1391">
        <v>0</v>
      </c>
      <c r="J1391">
        <v>0</v>
      </c>
      <c r="K1391">
        <v>0</v>
      </c>
      <c r="L1391">
        <v>0</v>
      </c>
      <c r="M1391">
        <v>3</v>
      </c>
      <c r="N1391">
        <v>0</v>
      </c>
      <c r="P1391">
        <v>58.3</v>
      </c>
      <c r="S1391">
        <v>0</v>
      </c>
      <c r="U1391">
        <v>1</v>
      </c>
      <c r="W1391">
        <v>0</v>
      </c>
      <c r="Y1391">
        <v>0</v>
      </c>
      <c r="AA1391">
        <v>3</v>
      </c>
    </row>
    <row r="1392" spans="1:27" x14ac:dyDescent="0.3">
      <c r="A1392" t="s">
        <v>1433</v>
      </c>
      <c r="B1392">
        <v>45762</v>
      </c>
      <c r="C1392" t="s">
        <v>733</v>
      </c>
      <c r="D1392" t="s">
        <v>33</v>
      </c>
      <c r="E1392" t="s">
        <v>34</v>
      </c>
      <c r="F1392" t="s">
        <v>35</v>
      </c>
      <c r="G1392" t="s">
        <v>31</v>
      </c>
      <c r="H1392">
        <v>1</v>
      </c>
      <c r="I1392">
        <v>1</v>
      </c>
      <c r="J1392">
        <v>1</v>
      </c>
      <c r="K1392">
        <v>0</v>
      </c>
      <c r="L1392">
        <v>0</v>
      </c>
      <c r="M1392">
        <v>0</v>
      </c>
      <c r="N1392">
        <v>0</v>
      </c>
      <c r="P1392">
        <v>38.5</v>
      </c>
      <c r="S1392">
        <v>0</v>
      </c>
      <c r="U1392">
        <v>1</v>
      </c>
      <c r="W1392">
        <v>1</v>
      </c>
      <c r="Y1392">
        <v>1</v>
      </c>
      <c r="AA1392">
        <v>0</v>
      </c>
    </row>
    <row r="1393" spans="1:27" x14ac:dyDescent="0.3">
      <c r="A1393" t="s">
        <v>1434</v>
      </c>
      <c r="B1393">
        <v>45698</v>
      </c>
      <c r="C1393" t="s">
        <v>733</v>
      </c>
      <c r="D1393" t="s">
        <v>38</v>
      </c>
      <c r="E1393" t="s">
        <v>34</v>
      </c>
      <c r="F1393" t="s">
        <v>39</v>
      </c>
      <c r="G1393" t="s">
        <v>36</v>
      </c>
      <c r="H1393">
        <v>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P1393">
        <v>76.900000000000006</v>
      </c>
      <c r="S1393">
        <v>0</v>
      </c>
      <c r="U1393">
        <v>1</v>
      </c>
      <c r="W1393">
        <v>0</v>
      </c>
      <c r="Y1393">
        <v>0</v>
      </c>
      <c r="AA1393">
        <v>0</v>
      </c>
    </row>
    <row r="1394" spans="1:27" x14ac:dyDescent="0.3">
      <c r="A1394" t="s">
        <v>1435</v>
      </c>
      <c r="B1394">
        <v>45785</v>
      </c>
      <c r="C1394" t="s">
        <v>733</v>
      </c>
      <c r="D1394" t="s">
        <v>38</v>
      </c>
      <c r="E1394" t="s">
        <v>34</v>
      </c>
      <c r="F1394" t="s">
        <v>35</v>
      </c>
      <c r="G1394" t="s">
        <v>36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P1394">
        <v>54</v>
      </c>
      <c r="S1394">
        <v>0</v>
      </c>
      <c r="U1394">
        <v>1</v>
      </c>
      <c r="W1394">
        <v>0</v>
      </c>
      <c r="Y1394">
        <v>0</v>
      </c>
      <c r="AA1394">
        <v>0</v>
      </c>
    </row>
    <row r="1395" spans="1:27" x14ac:dyDescent="0.3">
      <c r="A1395" t="s">
        <v>1436</v>
      </c>
      <c r="B1395">
        <v>45805</v>
      </c>
      <c r="C1395" t="s">
        <v>733</v>
      </c>
      <c r="D1395" t="s">
        <v>38</v>
      </c>
      <c r="E1395" t="s">
        <v>44</v>
      </c>
      <c r="F1395" t="s">
        <v>35</v>
      </c>
      <c r="G1395" t="s">
        <v>36</v>
      </c>
      <c r="H1395">
        <v>1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P1395">
        <v>70.599999999999994</v>
      </c>
      <c r="S1395">
        <v>0</v>
      </c>
      <c r="U1395">
        <v>1</v>
      </c>
      <c r="W1395">
        <v>0</v>
      </c>
      <c r="Y1395">
        <v>0</v>
      </c>
      <c r="AA1395">
        <v>0</v>
      </c>
    </row>
    <row r="1396" spans="1:27" x14ac:dyDescent="0.3">
      <c r="A1396" t="s">
        <v>1437</v>
      </c>
      <c r="B1396">
        <v>45772</v>
      </c>
      <c r="C1396" t="s">
        <v>733</v>
      </c>
      <c r="D1396" t="s">
        <v>28</v>
      </c>
      <c r="E1396" t="s">
        <v>44</v>
      </c>
      <c r="F1396" t="s">
        <v>49</v>
      </c>
      <c r="G1396" t="s">
        <v>40</v>
      </c>
      <c r="H1396">
        <v>1</v>
      </c>
      <c r="I1396">
        <v>1</v>
      </c>
      <c r="J1396">
        <v>1</v>
      </c>
      <c r="K1396">
        <v>0</v>
      </c>
      <c r="L1396">
        <v>0</v>
      </c>
      <c r="M1396">
        <v>1</v>
      </c>
      <c r="N1396">
        <v>0</v>
      </c>
      <c r="P1396">
        <v>69.400000000000006</v>
      </c>
      <c r="S1396">
        <v>0</v>
      </c>
      <c r="U1396">
        <v>1</v>
      </c>
      <c r="W1396">
        <v>1</v>
      </c>
      <c r="Y1396">
        <v>1</v>
      </c>
      <c r="AA1396">
        <v>1</v>
      </c>
    </row>
    <row r="1397" spans="1:27" x14ac:dyDescent="0.3">
      <c r="A1397" t="s">
        <v>1438</v>
      </c>
      <c r="B1397">
        <v>45699</v>
      </c>
      <c r="C1397" t="s">
        <v>733</v>
      </c>
      <c r="D1397" t="s">
        <v>42</v>
      </c>
      <c r="E1397" t="s">
        <v>34</v>
      </c>
      <c r="G1397" t="s">
        <v>40</v>
      </c>
      <c r="H1397">
        <v>1</v>
      </c>
      <c r="I1397">
        <v>1</v>
      </c>
      <c r="J1397">
        <v>1</v>
      </c>
      <c r="K1397">
        <v>1</v>
      </c>
      <c r="L1397">
        <v>1009.9</v>
      </c>
      <c r="M1397">
        <v>0</v>
      </c>
      <c r="N1397">
        <v>0</v>
      </c>
      <c r="O1397">
        <v>6</v>
      </c>
      <c r="P1397">
        <v>89.7</v>
      </c>
      <c r="S1397">
        <v>0</v>
      </c>
      <c r="U1397">
        <v>1</v>
      </c>
      <c r="W1397">
        <v>1</v>
      </c>
      <c r="Y1397">
        <v>1</v>
      </c>
      <c r="AA1397">
        <v>0</v>
      </c>
    </row>
    <row r="1398" spans="1:27" x14ac:dyDescent="0.3">
      <c r="A1398" t="s">
        <v>1439</v>
      </c>
      <c r="B1398">
        <v>45761</v>
      </c>
      <c r="C1398" t="s">
        <v>733</v>
      </c>
      <c r="D1398" t="s">
        <v>33</v>
      </c>
      <c r="E1398" t="s">
        <v>34</v>
      </c>
      <c r="F1398" t="s">
        <v>35</v>
      </c>
      <c r="G1398" t="s">
        <v>36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P1398">
        <v>62.4</v>
      </c>
      <c r="S1398">
        <v>1</v>
      </c>
      <c r="U1398">
        <v>1</v>
      </c>
      <c r="W1398">
        <v>0</v>
      </c>
      <c r="Y1398">
        <v>0</v>
      </c>
      <c r="AA1398">
        <v>0</v>
      </c>
    </row>
    <row r="1399" spans="1:27" x14ac:dyDescent="0.3">
      <c r="A1399" t="s">
        <v>1440</v>
      </c>
      <c r="B1399">
        <v>45692</v>
      </c>
      <c r="C1399" t="s">
        <v>733</v>
      </c>
      <c r="D1399" t="s">
        <v>33</v>
      </c>
      <c r="E1399" t="s">
        <v>44</v>
      </c>
      <c r="F1399" t="s">
        <v>35</v>
      </c>
      <c r="G1399" t="s">
        <v>40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P1399">
        <v>67.3</v>
      </c>
      <c r="S1399">
        <v>0</v>
      </c>
      <c r="U1399">
        <v>0</v>
      </c>
      <c r="W1399">
        <v>0</v>
      </c>
      <c r="Y1399">
        <v>0</v>
      </c>
      <c r="AA1399">
        <v>0</v>
      </c>
    </row>
    <row r="1400" spans="1:27" x14ac:dyDescent="0.3">
      <c r="A1400" t="s">
        <v>1441</v>
      </c>
      <c r="B1400">
        <v>45738</v>
      </c>
      <c r="C1400" t="s">
        <v>733</v>
      </c>
      <c r="D1400" t="s">
        <v>38</v>
      </c>
      <c r="E1400" t="s">
        <v>34</v>
      </c>
      <c r="F1400" t="s">
        <v>49</v>
      </c>
      <c r="G1400" t="s">
        <v>36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P1400">
        <v>54.9</v>
      </c>
      <c r="S1400">
        <v>0</v>
      </c>
      <c r="U1400">
        <v>1</v>
      </c>
      <c r="W1400">
        <v>0</v>
      </c>
      <c r="Y1400">
        <v>0</v>
      </c>
      <c r="AA1400">
        <v>0</v>
      </c>
    </row>
    <row r="1401" spans="1:27" x14ac:dyDescent="0.3">
      <c r="A1401" t="s">
        <v>1442</v>
      </c>
      <c r="B1401">
        <v>45765</v>
      </c>
      <c r="C1401" t="s">
        <v>733</v>
      </c>
      <c r="D1401" t="s">
        <v>38</v>
      </c>
      <c r="E1401" t="s">
        <v>29</v>
      </c>
      <c r="F1401" t="s">
        <v>51</v>
      </c>
      <c r="G1401" t="s">
        <v>36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P1401">
        <v>55.7</v>
      </c>
      <c r="S1401">
        <v>0</v>
      </c>
      <c r="U1401">
        <v>0</v>
      </c>
      <c r="W1401">
        <v>0</v>
      </c>
      <c r="Y1401">
        <v>0</v>
      </c>
      <c r="AA1401">
        <v>0</v>
      </c>
    </row>
    <row r="1402" spans="1:27" x14ac:dyDescent="0.3">
      <c r="A1402" t="s">
        <v>959</v>
      </c>
      <c r="B1402">
        <v>45711</v>
      </c>
      <c r="C1402" t="s">
        <v>733</v>
      </c>
      <c r="D1402" t="s">
        <v>33</v>
      </c>
      <c r="E1402" t="s">
        <v>29</v>
      </c>
      <c r="F1402" t="s">
        <v>51</v>
      </c>
      <c r="G1402" t="s">
        <v>31</v>
      </c>
      <c r="H1402">
        <v>1</v>
      </c>
      <c r="I1402">
        <v>1</v>
      </c>
      <c r="J1402">
        <v>1</v>
      </c>
      <c r="K1402">
        <v>0</v>
      </c>
      <c r="L1402">
        <v>0</v>
      </c>
      <c r="M1402">
        <v>0</v>
      </c>
      <c r="N1402">
        <v>0</v>
      </c>
      <c r="P1402">
        <v>70.599999999999994</v>
      </c>
      <c r="S1402">
        <v>0</v>
      </c>
      <c r="U1402">
        <v>1</v>
      </c>
      <c r="W1402">
        <v>1</v>
      </c>
      <c r="Y1402">
        <v>1</v>
      </c>
      <c r="AA1402">
        <v>0</v>
      </c>
    </row>
    <row r="1403" spans="1:27" x14ac:dyDescent="0.3">
      <c r="A1403" t="s">
        <v>474</v>
      </c>
      <c r="B1403">
        <v>45691</v>
      </c>
      <c r="C1403" t="s">
        <v>27</v>
      </c>
      <c r="D1403" t="s">
        <v>28</v>
      </c>
      <c r="E1403" t="s">
        <v>44</v>
      </c>
      <c r="F1403" t="s">
        <v>30</v>
      </c>
      <c r="G1403" t="s">
        <v>31</v>
      </c>
      <c r="H1403">
        <v>1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P1403">
        <v>60.9</v>
      </c>
      <c r="S1403">
        <v>0</v>
      </c>
      <c r="U1403">
        <v>1</v>
      </c>
      <c r="W1403">
        <v>0</v>
      </c>
      <c r="Y1403">
        <v>0</v>
      </c>
      <c r="AA1403">
        <v>0</v>
      </c>
    </row>
    <row r="1404" spans="1:27" x14ac:dyDescent="0.3">
      <c r="A1404" t="s">
        <v>1404</v>
      </c>
      <c r="B1404">
        <v>45800</v>
      </c>
      <c r="C1404" t="s">
        <v>733</v>
      </c>
      <c r="D1404" t="s">
        <v>38</v>
      </c>
      <c r="E1404" t="s">
        <v>34</v>
      </c>
      <c r="F1404" t="s">
        <v>35</v>
      </c>
      <c r="G1404" t="s">
        <v>31</v>
      </c>
      <c r="H1404">
        <v>1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P1404">
        <v>33.6</v>
      </c>
      <c r="S1404">
        <v>0</v>
      </c>
      <c r="U1404">
        <v>1</v>
      </c>
      <c r="W1404">
        <v>0</v>
      </c>
      <c r="Y1404">
        <v>0</v>
      </c>
      <c r="AA1404">
        <v>0</v>
      </c>
    </row>
    <row r="1405" spans="1:27" x14ac:dyDescent="0.3">
      <c r="A1405" t="s">
        <v>137</v>
      </c>
      <c r="B1405">
        <v>45693</v>
      </c>
      <c r="C1405" t="s">
        <v>27</v>
      </c>
      <c r="D1405" t="s">
        <v>38</v>
      </c>
      <c r="E1405" t="s">
        <v>34</v>
      </c>
      <c r="F1405" t="s">
        <v>51</v>
      </c>
      <c r="G1405" t="s">
        <v>36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P1405">
        <v>68</v>
      </c>
      <c r="S1405">
        <v>0</v>
      </c>
      <c r="U1405">
        <v>1</v>
      </c>
      <c r="W1405">
        <v>1</v>
      </c>
      <c r="Y1405">
        <v>1</v>
      </c>
      <c r="AA1405">
        <v>1</v>
      </c>
    </row>
    <row r="1406" spans="1:27" x14ac:dyDescent="0.3">
      <c r="A1406" t="s">
        <v>1252</v>
      </c>
      <c r="B1406">
        <v>45712</v>
      </c>
      <c r="C1406" t="s">
        <v>733</v>
      </c>
      <c r="D1406" t="s">
        <v>33</v>
      </c>
      <c r="E1406" t="s">
        <v>34</v>
      </c>
      <c r="F1406" t="s">
        <v>35</v>
      </c>
      <c r="G1406" t="s">
        <v>31</v>
      </c>
      <c r="H1406">
        <v>1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P1406">
        <v>62</v>
      </c>
      <c r="S1406">
        <v>0</v>
      </c>
      <c r="U1406">
        <v>1</v>
      </c>
      <c r="W1406">
        <v>0</v>
      </c>
      <c r="Y1406">
        <v>0</v>
      </c>
      <c r="AA1406">
        <v>0</v>
      </c>
    </row>
    <row r="1407" spans="1:27" x14ac:dyDescent="0.3">
      <c r="A1407" t="s">
        <v>1274</v>
      </c>
      <c r="B1407">
        <v>45746</v>
      </c>
      <c r="C1407" t="s">
        <v>733</v>
      </c>
      <c r="D1407" t="s">
        <v>38</v>
      </c>
      <c r="E1407" t="s">
        <v>34</v>
      </c>
      <c r="F1407" t="s">
        <v>35</v>
      </c>
      <c r="G1407" t="s">
        <v>36</v>
      </c>
      <c r="H1407">
        <v>1</v>
      </c>
      <c r="I1407">
        <v>1</v>
      </c>
      <c r="J1407">
        <v>1</v>
      </c>
      <c r="K1407">
        <v>0</v>
      </c>
      <c r="L1407">
        <v>0</v>
      </c>
      <c r="M1407">
        <v>1</v>
      </c>
      <c r="N1407">
        <v>0</v>
      </c>
      <c r="P1407">
        <v>72.5</v>
      </c>
      <c r="S1407">
        <v>0</v>
      </c>
    </row>
    <row r="1408" spans="1:27" x14ac:dyDescent="0.3">
      <c r="A1408" t="s">
        <v>1101</v>
      </c>
      <c r="B1408">
        <v>45793</v>
      </c>
      <c r="C1408" t="s">
        <v>733</v>
      </c>
      <c r="D1408" t="s">
        <v>42</v>
      </c>
      <c r="E1408" t="s">
        <v>34</v>
      </c>
      <c r="F1408" t="s">
        <v>35</v>
      </c>
      <c r="G1408" t="s">
        <v>36</v>
      </c>
      <c r="H1408">
        <v>1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P1408">
        <v>70.3</v>
      </c>
    </row>
    <row r="1409" spans="1:16" x14ac:dyDescent="0.3">
      <c r="A1409" t="s">
        <v>582</v>
      </c>
      <c r="B1409">
        <v>45799</v>
      </c>
      <c r="C1409" t="s">
        <v>27</v>
      </c>
      <c r="D1409" t="s">
        <v>28</v>
      </c>
      <c r="E1409" t="s">
        <v>34</v>
      </c>
      <c r="F1409" t="s">
        <v>39</v>
      </c>
      <c r="G1409" t="s">
        <v>31</v>
      </c>
      <c r="H1409">
        <v>1</v>
      </c>
      <c r="I1409">
        <v>1</v>
      </c>
      <c r="J1409">
        <v>0</v>
      </c>
      <c r="K1409">
        <v>0</v>
      </c>
      <c r="L1409">
        <v>0</v>
      </c>
      <c r="M1409">
        <v>0</v>
      </c>
      <c r="N1409">
        <v>0</v>
      </c>
      <c r="P1409">
        <v>39.9</v>
      </c>
    </row>
    <row r="1411" spans="1:16" x14ac:dyDescent="0.3">
      <c r="L1411">
        <v>418</v>
      </c>
    </row>
  </sheetData>
  <autoFilter ref="A1:P1409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2578C-5C05-4214-983B-EE6B5CBC782A}">
  <dimension ref="A1:J12"/>
  <sheetViews>
    <sheetView tabSelected="1" workbookViewId="0">
      <selection activeCell="C12" sqref="C12"/>
    </sheetView>
  </sheetViews>
  <sheetFormatPr defaultRowHeight="14.4" x14ac:dyDescent="0.3"/>
  <cols>
    <col min="1" max="1" width="33.77734375" customWidth="1"/>
    <col min="2" max="2" width="53.77734375" customWidth="1"/>
    <col min="3" max="3" width="15" customWidth="1"/>
    <col min="4" max="4" width="14.109375" customWidth="1"/>
    <col min="5" max="5" width="16.33203125" customWidth="1"/>
    <col min="6" max="6" width="21" customWidth="1"/>
    <col min="7" max="7" width="12.5546875" bestFit="1" customWidth="1"/>
    <col min="8" max="8" width="15" bestFit="1" customWidth="1"/>
    <col min="9" max="9" width="12.5546875" bestFit="1" customWidth="1"/>
    <col min="10" max="10" width="13.44140625" customWidth="1"/>
  </cols>
  <sheetData>
    <row r="1" spans="1:10" ht="21.6" thickBot="1" x14ac:dyDescent="0.45">
      <c r="A1" s="13" t="s">
        <v>1475</v>
      </c>
      <c r="B1" s="13" t="s">
        <v>1476</v>
      </c>
      <c r="C1" s="1" t="s">
        <v>1480</v>
      </c>
      <c r="D1" s="2" t="s">
        <v>1478</v>
      </c>
      <c r="E1" s="2" t="s">
        <v>1479</v>
      </c>
      <c r="F1" s="21"/>
    </row>
    <row r="2" spans="1:10" ht="42" customHeight="1" thickBot="1" x14ac:dyDescent="0.35">
      <c r="A2" s="11" t="s">
        <v>1453</v>
      </c>
      <c r="B2" s="11" t="s">
        <v>1454</v>
      </c>
      <c r="C2">
        <f>COUNTA(experiment_data!A2:A1409)</f>
        <v>1408</v>
      </c>
      <c r="D2">
        <f>COUNTIF(experiment_data!C:C, "Control")</f>
        <v>693</v>
      </c>
      <c r="E2">
        <f>COUNTIF(experiment_data!C:C, "Treatment")</f>
        <v>715</v>
      </c>
      <c r="G2" s="3" t="s">
        <v>1443</v>
      </c>
      <c r="H2" t="s">
        <v>1446</v>
      </c>
      <c r="I2" s="3" t="s">
        <v>1443</v>
      </c>
      <c r="J2" s="20" t="s">
        <v>1477</v>
      </c>
    </row>
    <row r="3" spans="1:10" ht="45.6" customHeight="1" thickBot="1" x14ac:dyDescent="0.35">
      <c r="A3" s="12" t="s">
        <v>1455</v>
      </c>
      <c r="B3" s="12" t="s">
        <v>1456</v>
      </c>
      <c r="C3" s="15">
        <f>COUNTIF(experiment_data!H:H, "1") / (COUNTA(experiment_data!A:A) - 1)</f>
        <v>0.68181818181818177</v>
      </c>
      <c r="D3" s="22">
        <v>0.63623188405797104</v>
      </c>
      <c r="E3" s="23">
        <v>0.72394366197183102</v>
      </c>
      <c r="G3" s="4" t="s">
        <v>27</v>
      </c>
      <c r="H3" s="6">
        <v>693</v>
      </c>
      <c r="I3" s="4" t="s">
        <v>27</v>
      </c>
      <c r="J3" s="6">
        <v>439</v>
      </c>
    </row>
    <row r="4" spans="1:10" ht="41.4" customHeight="1" thickBot="1" x14ac:dyDescent="0.35">
      <c r="A4" s="11" t="s">
        <v>1457</v>
      </c>
      <c r="B4" s="11" t="s">
        <v>1458</v>
      </c>
      <c r="C4" s="15">
        <f>COUNTIF(experiment_data!I:I, "1") / (COUNTA(experiment_data!A:A) - 1)</f>
        <v>0.27130681818181818</v>
      </c>
      <c r="D4" s="22">
        <v>0.25072463768115899</v>
      </c>
      <c r="E4" s="23">
        <v>0.29014084507042298</v>
      </c>
      <c r="G4" s="4" t="s">
        <v>733</v>
      </c>
      <c r="H4" s="6">
        <v>715</v>
      </c>
      <c r="I4" s="4" t="s">
        <v>733</v>
      </c>
      <c r="J4" s="6">
        <v>2</v>
      </c>
    </row>
    <row r="5" spans="1:10" ht="42.6" customHeight="1" thickBot="1" x14ac:dyDescent="0.35">
      <c r="A5" s="12" t="s">
        <v>1459</v>
      </c>
      <c r="B5" s="12" t="s">
        <v>1460</v>
      </c>
      <c r="C5" s="15">
        <f>COUNTIF(experiment_data!J:J, "1") / (COUNTA(experiment_data!A:A) - 1)</f>
        <v>0.18465909090909091</v>
      </c>
      <c r="D5" s="22">
        <v>0.15652173913043499</v>
      </c>
      <c r="E5" s="23">
        <v>0.21126760563380301</v>
      </c>
      <c r="G5" s="4" t="s">
        <v>1444</v>
      </c>
      <c r="H5" s="6"/>
      <c r="I5" s="4" t="s">
        <v>1444</v>
      </c>
      <c r="J5" s="6"/>
    </row>
    <row r="6" spans="1:10" ht="31.2" customHeight="1" thickBot="1" x14ac:dyDescent="0.35">
      <c r="A6" s="11" t="s">
        <v>1461</v>
      </c>
      <c r="B6" s="11" t="s">
        <v>1462</v>
      </c>
      <c r="C6" s="15">
        <f>COUNTIF(experiment_data!K:K, "1") / (COUNTA(experiment_data!A:A) - 1)</f>
        <v>5.113636363636364E-2</v>
      </c>
      <c r="D6" s="22">
        <v>3.1884057971014498E-2</v>
      </c>
      <c r="E6" s="23">
        <v>7.0422535211267595E-2</v>
      </c>
      <c r="G6" s="4" t="s">
        <v>1445</v>
      </c>
      <c r="H6" s="6">
        <v>1408</v>
      </c>
      <c r="I6" s="4" t="s">
        <v>1445</v>
      </c>
      <c r="J6" s="6">
        <v>441</v>
      </c>
    </row>
    <row r="7" spans="1:10" ht="28.2" customHeight="1" thickBot="1" x14ac:dyDescent="0.35">
      <c r="A7" s="12" t="s">
        <v>1463</v>
      </c>
      <c r="B7" s="12" t="s">
        <v>1464</v>
      </c>
      <c r="C7" s="18">
        <f>SUM(experiment_data!L:L) / (COUNTA(experiment_data!A:A) - 1)</f>
        <v>53.125703124999994</v>
      </c>
      <c r="D7" s="24">
        <v>51.974318840579699</v>
      </c>
      <c r="E7" s="25">
        <v>54.254521126760601</v>
      </c>
    </row>
    <row r="8" spans="1:10" ht="33.6" customHeight="1" thickBot="1" x14ac:dyDescent="0.35">
      <c r="A8" s="11" t="s">
        <v>1465</v>
      </c>
      <c r="B8" s="11" t="s">
        <v>1466</v>
      </c>
      <c r="C8" s="18">
        <f>SUM(experiment_data!L:L) / COUNTIF(experiment_data!K:K, "1")</f>
        <v>1038.9026388888888</v>
      </c>
      <c r="D8" s="24">
        <v>1630.1036363636399</v>
      </c>
      <c r="E8" s="25">
        <v>770.41420000000005</v>
      </c>
    </row>
    <row r="9" spans="1:10" ht="35.4" customHeight="1" thickBot="1" x14ac:dyDescent="0.35">
      <c r="A9" s="12" t="s">
        <v>1467</v>
      </c>
      <c r="B9" s="12" t="s">
        <v>1468</v>
      </c>
      <c r="C9" s="16">
        <f>COUNTIF(experiment_data!N2:N1409,"1") / COUNTA(experiment_data!A2:A1409)</f>
        <v>2.130681818181818E-3</v>
      </c>
      <c r="D9" s="22">
        <v>0</v>
      </c>
      <c r="E9" s="23">
        <v>4.2253521126760602E-3</v>
      </c>
    </row>
    <row r="10" spans="1:10" ht="31.2" customHeight="1" thickBot="1" x14ac:dyDescent="0.35">
      <c r="A10" s="11" t="s">
        <v>1469</v>
      </c>
      <c r="B10" s="11" t="s">
        <v>1470</v>
      </c>
      <c r="C10" s="14">
        <f>SUM(experiment_data!M2:M1409) / COUNTA(experiment_data!C2:C1409)</f>
        <v>0.296875</v>
      </c>
      <c r="D10" s="22">
        <v>0.147826086956522</v>
      </c>
      <c r="E10" s="23">
        <v>0.247887323943662</v>
      </c>
    </row>
    <row r="11" spans="1:10" ht="33.6" customHeight="1" thickBot="1" x14ac:dyDescent="0.35">
      <c r="A11" s="12" t="s">
        <v>1471</v>
      </c>
      <c r="B11" s="12" t="s">
        <v>1472</v>
      </c>
      <c r="C11" s="26" t="s">
        <v>1481</v>
      </c>
      <c r="D11" s="17">
        <f>AVERAGEIF(experiment_data!C2:C1409,"Control",experiment_data!P2:P1409)</f>
        <v>57.026200873362491</v>
      </c>
      <c r="E11" s="17">
        <f>AVERAGEIF(experiment_data!C2:C1409,"Treatment",experiment_data!P2:P1409)</f>
        <v>62.931966053748233</v>
      </c>
    </row>
    <row r="12" spans="1:10" ht="41.4" customHeight="1" thickBot="1" x14ac:dyDescent="0.35">
      <c r="A12" s="11" t="s">
        <v>1473</v>
      </c>
      <c r="B12" s="11" t="s">
        <v>1474</v>
      </c>
      <c r="C12" s="27" t="s">
        <v>1482</v>
      </c>
      <c r="D12" s="19">
        <f ca="1">AVERAGEIF(experiment_data!C2:C1409, "Control", experiment_data!O2:O61)</f>
        <v>8.8636363636363633</v>
      </c>
      <c r="E12">
        <f ca="1">AVERAGEIF(experiment_data!C2:C1409, "Treatment", experiment_data!O2:O61)</f>
        <v>6.4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DA077-2B9C-4988-B66B-73FAC2FF53C0}">
  <dimension ref="B2:H30"/>
  <sheetViews>
    <sheetView workbookViewId="0">
      <selection activeCell="H29" sqref="H29"/>
    </sheetView>
  </sheetViews>
  <sheetFormatPr defaultRowHeight="14.4" x14ac:dyDescent="0.3"/>
  <cols>
    <col min="2" max="2" width="15" bestFit="1" customWidth="1"/>
    <col min="3" max="3" width="15.5546875" bestFit="1" customWidth="1"/>
    <col min="4" max="4" width="17.88671875" customWidth="1"/>
    <col min="5" max="5" width="13.21875" customWidth="1"/>
    <col min="6" max="6" width="25.109375" customWidth="1"/>
    <col min="7" max="7" width="7" bestFit="1" customWidth="1"/>
    <col min="8" max="8" width="10.77734375" bestFit="1" customWidth="1"/>
    <col min="9" max="9" width="6" bestFit="1" customWidth="1"/>
    <col min="10" max="10" width="5.21875" bestFit="1" customWidth="1"/>
    <col min="11" max="11" width="7" bestFit="1" customWidth="1"/>
    <col min="12" max="12" width="10.77734375" bestFit="1" customWidth="1"/>
    <col min="13" max="16" width="7" bestFit="1" customWidth="1"/>
    <col min="17" max="25" width="8" bestFit="1" customWidth="1"/>
    <col min="26" max="26" width="11.88671875" bestFit="1" customWidth="1"/>
    <col min="27" max="27" width="11.77734375" bestFit="1" customWidth="1"/>
    <col min="28" max="34" width="7" bestFit="1" customWidth="1"/>
    <col min="35" max="35" width="6" bestFit="1" customWidth="1"/>
    <col min="36" max="46" width="7" bestFit="1" customWidth="1"/>
    <col min="47" max="47" width="6" bestFit="1" customWidth="1"/>
    <col min="48" max="65" width="7" bestFit="1" customWidth="1"/>
    <col min="66" max="77" width="8" bestFit="1" customWidth="1"/>
    <col min="78" max="78" width="14.5546875" bestFit="1" customWidth="1"/>
    <col min="79" max="79" width="9" bestFit="1" customWidth="1"/>
    <col min="80" max="80" width="7" bestFit="1" customWidth="1"/>
    <col min="81" max="81" width="11.6640625" bestFit="1" customWidth="1"/>
    <col min="82" max="82" width="10.77734375" bestFit="1" customWidth="1"/>
  </cols>
  <sheetData>
    <row r="2" spans="2:8" x14ac:dyDescent="0.3">
      <c r="B2" s="8" t="s">
        <v>1452</v>
      </c>
      <c r="C2" s="9"/>
      <c r="D2" s="9"/>
      <c r="E2" s="9"/>
      <c r="F2" s="9"/>
    </row>
    <row r="3" spans="2:8" x14ac:dyDescent="0.3">
      <c r="B3" s="9"/>
      <c r="C3" s="9"/>
      <c r="D3" s="9"/>
      <c r="E3" s="9"/>
      <c r="F3" s="9"/>
    </row>
    <row r="7" spans="2:8" x14ac:dyDescent="0.3">
      <c r="B7" s="3" t="s">
        <v>1446</v>
      </c>
      <c r="C7" s="3" t="s">
        <v>1447</v>
      </c>
    </row>
    <row r="8" spans="2:8" x14ac:dyDescent="0.3">
      <c r="B8" s="3" t="s">
        <v>1443</v>
      </c>
      <c r="C8" t="s">
        <v>38</v>
      </c>
      <c r="D8" t="s">
        <v>28</v>
      </c>
      <c r="E8" t="s">
        <v>42</v>
      </c>
      <c r="F8" t="s">
        <v>33</v>
      </c>
      <c r="G8" t="s">
        <v>1444</v>
      </c>
      <c r="H8" t="s">
        <v>1445</v>
      </c>
    </row>
    <row r="9" spans="2:8" x14ac:dyDescent="0.3">
      <c r="B9" s="4" t="s">
        <v>27</v>
      </c>
      <c r="C9" s="6">
        <v>158</v>
      </c>
      <c r="D9" s="6">
        <v>203</v>
      </c>
      <c r="E9" s="6">
        <v>184</v>
      </c>
      <c r="F9" s="6">
        <v>148</v>
      </c>
      <c r="G9" s="6"/>
      <c r="H9" s="6">
        <v>693</v>
      </c>
    </row>
    <row r="10" spans="2:8" x14ac:dyDescent="0.3">
      <c r="B10" s="4" t="s">
        <v>733</v>
      </c>
      <c r="C10" s="6">
        <v>172</v>
      </c>
      <c r="D10" s="6">
        <v>180</v>
      </c>
      <c r="E10" s="6">
        <v>184</v>
      </c>
      <c r="F10" s="6">
        <v>179</v>
      </c>
      <c r="G10" s="6"/>
      <c r="H10" s="6">
        <v>715</v>
      </c>
    </row>
    <row r="11" spans="2:8" x14ac:dyDescent="0.3">
      <c r="B11" s="4" t="s">
        <v>1444</v>
      </c>
      <c r="C11" s="6"/>
      <c r="D11" s="6"/>
      <c r="E11" s="6"/>
      <c r="F11" s="6"/>
      <c r="G11" s="6"/>
      <c r="H11" s="6"/>
    </row>
    <row r="12" spans="2:8" x14ac:dyDescent="0.3">
      <c r="B12" s="4" t="s">
        <v>1445</v>
      </c>
      <c r="C12" s="6">
        <v>330</v>
      </c>
      <c r="D12" s="6">
        <v>383</v>
      </c>
      <c r="E12" s="6">
        <v>368</v>
      </c>
      <c r="F12" s="6">
        <v>327</v>
      </c>
      <c r="G12" s="6"/>
      <c r="H12" s="6">
        <v>1408</v>
      </c>
    </row>
    <row r="15" spans="2:8" x14ac:dyDescent="0.3">
      <c r="B15" s="3" t="s">
        <v>1443</v>
      </c>
      <c r="C15" s="3" t="s">
        <v>1446</v>
      </c>
      <c r="D15" t="s">
        <v>1451</v>
      </c>
    </row>
    <row r="16" spans="2:8" x14ac:dyDescent="0.3">
      <c r="B16" s="4" t="s">
        <v>38</v>
      </c>
      <c r="C16" s="6">
        <v>330</v>
      </c>
      <c r="D16" s="6">
        <v>10861.14</v>
      </c>
    </row>
    <row r="17" spans="2:4" x14ac:dyDescent="0.3">
      <c r="B17" s="5" t="s">
        <v>27</v>
      </c>
      <c r="C17" s="6">
        <v>158</v>
      </c>
      <c r="D17" s="6">
        <v>2862.34</v>
      </c>
    </row>
    <row r="18" spans="2:4" x14ac:dyDescent="0.3">
      <c r="B18" s="5" t="s">
        <v>733</v>
      </c>
      <c r="C18" s="6">
        <v>172</v>
      </c>
      <c r="D18" s="6">
        <v>7998.8</v>
      </c>
    </row>
    <row r="19" spans="2:4" x14ac:dyDescent="0.3">
      <c r="B19" s="4" t="s">
        <v>28</v>
      </c>
      <c r="C19" s="6">
        <v>383</v>
      </c>
      <c r="D19" s="6">
        <v>31558.670000000006</v>
      </c>
    </row>
    <row r="20" spans="2:4" x14ac:dyDescent="0.3">
      <c r="B20" s="5" t="s">
        <v>27</v>
      </c>
      <c r="C20" s="6">
        <v>203</v>
      </c>
      <c r="D20" s="6">
        <v>16984.52</v>
      </c>
    </row>
    <row r="21" spans="2:4" x14ac:dyDescent="0.3">
      <c r="B21" s="5" t="s">
        <v>733</v>
      </c>
      <c r="C21" s="6">
        <v>180</v>
      </c>
      <c r="D21" s="6">
        <v>14574.15</v>
      </c>
    </row>
    <row r="22" spans="2:4" x14ac:dyDescent="0.3">
      <c r="B22" s="4" t="s">
        <v>42</v>
      </c>
      <c r="C22" s="6">
        <v>368</v>
      </c>
      <c r="D22" s="6">
        <v>22638.399999999994</v>
      </c>
    </row>
    <row r="23" spans="2:4" x14ac:dyDescent="0.3">
      <c r="B23" s="5" t="s">
        <v>27</v>
      </c>
      <c r="C23" s="6">
        <v>184</v>
      </c>
      <c r="D23" s="6">
        <v>13990.09</v>
      </c>
    </row>
    <row r="24" spans="2:4" x14ac:dyDescent="0.3">
      <c r="B24" s="5" t="s">
        <v>733</v>
      </c>
      <c r="C24" s="6">
        <v>184</v>
      </c>
      <c r="D24" s="6">
        <v>8648.31</v>
      </c>
    </row>
    <row r="25" spans="2:4" x14ac:dyDescent="0.3">
      <c r="B25" s="4" t="s">
        <v>33</v>
      </c>
      <c r="C25" s="6">
        <v>327</v>
      </c>
      <c r="D25" s="6">
        <v>9324.7799999999988</v>
      </c>
    </row>
    <row r="26" spans="2:4" x14ac:dyDescent="0.3">
      <c r="B26" s="5" t="s">
        <v>27</v>
      </c>
      <c r="C26" s="6">
        <v>148</v>
      </c>
      <c r="D26" s="6">
        <v>2025.33</v>
      </c>
    </row>
    <row r="27" spans="2:4" x14ac:dyDescent="0.3">
      <c r="B27" s="5" t="s">
        <v>733</v>
      </c>
      <c r="C27" s="6">
        <v>179</v>
      </c>
      <c r="D27" s="6">
        <v>7299.4500000000007</v>
      </c>
    </row>
    <row r="28" spans="2:4" x14ac:dyDescent="0.3">
      <c r="B28" s="4" t="s">
        <v>1444</v>
      </c>
      <c r="C28" s="6"/>
      <c r="D28" s="6">
        <v>418</v>
      </c>
    </row>
    <row r="29" spans="2:4" x14ac:dyDescent="0.3">
      <c r="B29" s="5" t="s">
        <v>1444</v>
      </c>
      <c r="C29" s="6"/>
      <c r="D29" s="6">
        <v>418</v>
      </c>
    </row>
    <row r="30" spans="2:4" x14ac:dyDescent="0.3">
      <c r="B30" s="4" t="s">
        <v>1445</v>
      </c>
      <c r="C30" s="6">
        <v>1408</v>
      </c>
      <c r="D30" s="6">
        <v>74800.990000000005</v>
      </c>
    </row>
  </sheetData>
  <mergeCells count="1">
    <mergeCell ref="B2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68FFF-DB1B-4B5C-A53C-EA8E093F3347}">
  <dimension ref="B3:F11"/>
  <sheetViews>
    <sheetView workbookViewId="0">
      <selection activeCell="B3" sqref="B3:F4"/>
    </sheetView>
  </sheetViews>
  <sheetFormatPr defaultRowHeight="14.4" x14ac:dyDescent="0.3"/>
  <cols>
    <col min="2" max="2" width="15" bestFit="1" customWidth="1"/>
    <col min="3" max="3" width="15.5546875" bestFit="1" customWidth="1"/>
    <col min="4" max="4" width="9.77734375" bestFit="1" customWidth="1"/>
    <col min="5" max="5" width="7" bestFit="1" customWidth="1"/>
    <col min="6" max="6" width="10.77734375" bestFit="1" customWidth="1"/>
    <col min="7" max="1402" width="11.109375" bestFit="1" customWidth="1"/>
    <col min="1403" max="1403" width="7" bestFit="1" customWidth="1"/>
    <col min="1404" max="1404" width="10.77734375" bestFit="1" customWidth="1"/>
  </cols>
  <sheetData>
    <row r="3" spans="2:6" x14ac:dyDescent="0.3">
      <c r="B3" s="8" t="s">
        <v>1449</v>
      </c>
      <c r="C3" s="8"/>
      <c r="D3" s="8"/>
      <c r="E3" s="8"/>
      <c r="F3" s="8"/>
    </row>
    <row r="4" spans="2:6" x14ac:dyDescent="0.3">
      <c r="B4" s="8"/>
      <c r="C4" s="8"/>
      <c r="D4" s="8"/>
      <c r="E4" s="8"/>
      <c r="F4" s="8"/>
    </row>
    <row r="5" spans="2:6" x14ac:dyDescent="0.3">
      <c r="B5" s="3" t="s">
        <v>1446</v>
      </c>
      <c r="C5" s="3" t="s">
        <v>1447</v>
      </c>
    </row>
    <row r="6" spans="2:6" x14ac:dyDescent="0.3">
      <c r="B6" s="3" t="s">
        <v>1443</v>
      </c>
      <c r="C6" t="s">
        <v>27</v>
      </c>
      <c r="D6" t="s">
        <v>733</v>
      </c>
      <c r="E6" t="s">
        <v>1444</v>
      </c>
      <c r="F6" t="s">
        <v>1445</v>
      </c>
    </row>
    <row r="7" spans="2:6" x14ac:dyDescent="0.3">
      <c r="B7" s="4" t="s">
        <v>31</v>
      </c>
      <c r="C7" s="6">
        <v>223</v>
      </c>
      <c r="D7" s="6">
        <v>235</v>
      </c>
      <c r="E7" s="6"/>
      <c r="F7" s="6">
        <v>458</v>
      </c>
    </row>
    <row r="8" spans="2:6" x14ac:dyDescent="0.3">
      <c r="B8" s="4" t="s">
        <v>36</v>
      </c>
      <c r="C8" s="6">
        <v>361</v>
      </c>
      <c r="D8" s="6">
        <v>368</v>
      </c>
      <c r="E8" s="6"/>
      <c r="F8" s="6">
        <v>729</v>
      </c>
    </row>
    <row r="9" spans="2:6" x14ac:dyDescent="0.3">
      <c r="B9" s="4" t="s">
        <v>40</v>
      </c>
      <c r="C9" s="6">
        <v>109</v>
      </c>
      <c r="D9" s="6">
        <v>112</v>
      </c>
      <c r="E9" s="6"/>
      <c r="F9" s="6">
        <v>221</v>
      </c>
    </row>
    <row r="10" spans="2:6" x14ac:dyDescent="0.3">
      <c r="B10" s="4" t="s">
        <v>1444</v>
      </c>
      <c r="C10" s="6"/>
      <c r="D10" s="6"/>
      <c r="E10" s="6"/>
      <c r="F10" s="6"/>
    </row>
    <row r="11" spans="2:6" x14ac:dyDescent="0.3">
      <c r="B11" s="4" t="s">
        <v>1445</v>
      </c>
      <c r="C11" s="6">
        <v>693</v>
      </c>
      <c r="D11" s="6">
        <v>715</v>
      </c>
      <c r="E11" s="6"/>
      <c r="F11" s="6">
        <v>1408</v>
      </c>
    </row>
  </sheetData>
  <mergeCells count="1">
    <mergeCell ref="B3:F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A3B05-EBD9-4A9B-A074-0E562EAFCF57}">
  <dimension ref="B3:F11"/>
  <sheetViews>
    <sheetView workbookViewId="0">
      <selection activeCell="B3" sqref="B3:F4"/>
    </sheetView>
  </sheetViews>
  <sheetFormatPr defaultRowHeight="14.4" x14ac:dyDescent="0.3"/>
  <cols>
    <col min="2" max="2" width="15" bestFit="1" customWidth="1"/>
    <col min="3" max="3" width="15.5546875" bestFit="1" customWidth="1"/>
    <col min="4" max="4" width="9.77734375" bestFit="1" customWidth="1"/>
    <col min="5" max="5" width="7" bestFit="1" customWidth="1"/>
    <col min="6" max="6" width="10.77734375" bestFit="1" customWidth="1"/>
  </cols>
  <sheetData>
    <row r="3" spans="2:6" x14ac:dyDescent="0.3">
      <c r="B3" s="8" t="s">
        <v>1448</v>
      </c>
      <c r="C3" s="7"/>
      <c r="D3" s="7"/>
      <c r="E3" s="7"/>
      <c r="F3" s="7"/>
    </row>
    <row r="4" spans="2:6" x14ac:dyDescent="0.3">
      <c r="B4" s="7"/>
      <c r="C4" s="7"/>
      <c r="D4" s="7"/>
      <c r="E4" s="7"/>
      <c r="F4" s="7"/>
    </row>
    <row r="5" spans="2:6" x14ac:dyDescent="0.3">
      <c r="B5" s="3" t="s">
        <v>1446</v>
      </c>
      <c r="C5" s="3" t="s">
        <v>1447</v>
      </c>
    </row>
    <row r="6" spans="2:6" x14ac:dyDescent="0.3">
      <c r="B6" s="3" t="s">
        <v>1443</v>
      </c>
      <c r="C6" t="s">
        <v>27</v>
      </c>
      <c r="D6" t="s">
        <v>733</v>
      </c>
      <c r="E6" t="s">
        <v>1444</v>
      </c>
      <c r="F6" t="s">
        <v>1445</v>
      </c>
    </row>
    <row r="7" spans="2:6" x14ac:dyDescent="0.3">
      <c r="B7" s="4" t="s">
        <v>29</v>
      </c>
      <c r="C7" s="6">
        <v>200</v>
      </c>
      <c r="D7" s="6">
        <v>214</v>
      </c>
      <c r="E7" s="6"/>
      <c r="F7" s="6">
        <v>414</v>
      </c>
    </row>
    <row r="8" spans="2:6" x14ac:dyDescent="0.3">
      <c r="B8" s="4" t="s">
        <v>34</v>
      </c>
      <c r="C8" s="6">
        <v>428</v>
      </c>
      <c r="D8" s="6">
        <v>436</v>
      </c>
      <c r="E8" s="6"/>
      <c r="F8" s="6">
        <v>864</v>
      </c>
    </row>
    <row r="9" spans="2:6" x14ac:dyDescent="0.3">
      <c r="B9" s="4" t="s">
        <v>44</v>
      </c>
      <c r="C9" s="6">
        <v>56</v>
      </c>
      <c r="D9" s="6">
        <v>56</v>
      </c>
      <c r="E9" s="6"/>
      <c r="F9" s="6">
        <v>112</v>
      </c>
    </row>
    <row r="10" spans="2:6" x14ac:dyDescent="0.3">
      <c r="B10" s="4" t="s">
        <v>1444</v>
      </c>
      <c r="C10" s="6">
        <v>9</v>
      </c>
      <c r="D10" s="6">
        <v>9</v>
      </c>
      <c r="E10" s="6"/>
      <c r="F10" s="6">
        <v>18</v>
      </c>
    </row>
    <row r="11" spans="2:6" x14ac:dyDescent="0.3">
      <c r="B11" s="4" t="s">
        <v>1445</v>
      </c>
      <c r="C11" s="6">
        <v>693</v>
      </c>
      <c r="D11" s="6">
        <v>715</v>
      </c>
      <c r="E11" s="6"/>
      <c r="F11" s="6">
        <v>1408</v>
      </c>
    </row>
  </sheetData>
  <mergeCells count="1">
    <mergeCell ref="B3:F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C3FF2-EA0F-4D43-BEE6-D6FDCADD355D}">
  <dimension ref="C3:G13"/>
  <sheetViews>
    <sheetView workbookViewId="0">
      <selection activeCell="D4" sqref="D4"/>
    </sheetView>
  </sheetViews>
  <sheetFormatPr defaultRowHeight="14.4" x14ac:dyDescent="0.3"/>
  <cols>
    <col min="3" max="3" width="15" bestFit="1" customWidth="1"/>
    <col min="4" max="4" width="15.5546875" bestFit="1" customWidth="1"/>
    <col min="5" max="5" width="9.77734375" bestFit="1" customWidth="1"/>
    <col min="6" max="6" width="7" bestFit="1" customWidth="1"/>
    <col min="7" max="7" width="10.77734375" bestFit="1" customWidth="1"/>
  </cols>
  <sheetData>
    <row r="3" spans="3:7" ht="25.8" x14ac:dyDescent="0.5">
      <c r="C3" s="10"/>
      <c r="D3" s="10"/>
      <c r="E3" s="10"/>
      <c r="F3" s="10"/>
      <c r="G3" s="10"/>
    </row>
    <row r="4" spans="3:7" ht="25.8" x14ac:dyDescent="0.5">
      <c r="C4" s="10"/>
      <c r="D4" s="10" t="s">
        <v>1450</v>
      </c>
      <c r="E4" s="10"/>
      <c r="F4" s="10"/>
      <c r="G4" s="10"/>
    </row>
    <row r="5" spans="3:7" x14ac:dyDescent="0.3">
      <c r="C5" s="3" t="s">
        <v>1446</v>
      </c>
      <c r="D5" s="3" t="s">
        <v>1447</v>
      </c>
    </row>
    <row r="6" spans="3:7" x14ac:dyDescent="0.3">
      <c r="C6" s="3" t="s">
        <v>1443</v>
      </c>
      <c r="D6" t="s">
        <v>27</v>
      </c>
      <c r="E6" t="s">
        <v>733</v>
      </c>
      <c r="F6" t="s">
        <v>1444</v>
      </c>
      <c r="G6" t="s">
        <v>1445</v>
      </c>
    </row>
    <row r="7" spans="3:7" x14ac:dyDescent="0.3">
      <c r="C7" s="4" t="s">
        <v>30</v>
      </c>
      <c r="D7" s="6">
        <v>74</v>
      </c>
      <c r="E7" s="6">
        <v>56</v>
      </c>
      <c r="F7" s="6"/>
      <c r="G7" s="6">
        <v>130</v>
      </c>
    </row>
    <row r="8" spans="3:7" x14ac:dyDescent="0.3">
      <c r="C8" s="4" t="s">
        <v>35</v>
      </c>
      <c r="D8" s="6">
        <v>246</v>
      </c>
      <c r="E8" s="6">
        <v>241</v>
      </c>
      <c r="F8" s="6"/>
      <c r="G8" s="6">
        <v>487</v>
      </c>
    </row>
    <row r="9" spans="3:7" x14ac:dyDescent="0.3">
      <c r="C9" s="4" t="s">
        <v>39</v>
      </c>
      <c r="D9" s="6">
        <v>156</v>
      </c>
      <c r="E9" s="6">
        <v>176</v>
      </c>
      <c r="F9" s="6"/>
      <c r="G9" s="6">
        <v>332</v>
      </c>
    </row>
    <row r="10" spans="3:7" x14ac:dyDescent="0.3">
      <c r="C10" s="4" t="s">
        <v>49</v>
      </c>
      <c r="D10" s="6">
        <v>81</v>
      </c>
      <c r="E10" s="6">
        <v>91</v>
      </c>
      <c r="F10" s="6"/>
      <c r="G10" s="6">
        <v>172</v>
      </c>
    </row>
    <row r="11" spans="3:7" x14ac:dyDescent="0.3">
      <c r="C11" s="4" t="s">
        <v>51</v>
      </c>
      <c r="D11" s="6">
        <v>130</v>
      </c>
      <c r="E11" s="6">
        <v>133</v>
      </c>
      <c r="F11" s="6"/>
      <c r="G11" s="6">
        <v>263</v>
      </c>
    </row>
    <row r="12" spans="3:7" x14ac:dyDescent="0.3">
      <c r="C12" s="4" t="s">
        <v>1444</v>
      </c>
      <c r="D12" s="6">
        <v>6</v>
      </c>
      <c r="E12" s="6">
        <v>18</v>
      </c>
      <c r="F12" s="6"/>
      <c r="G12" s="6">
        <v>24</v>
      </c>
    </row>
    <row r="13" spans="3:7" x14ac:dyDescent="0.3">
      <c r="C13" s="4" t="s">
        <v>1445</v>
      </c>
      <c r="D13" s="6">
        <v>693</v>
      </c>
      <c r="E13" s="6">
        <v>715</v>
      </c>
      <c r="F13" s="6"/>
      <c r="G13" s="6">
        <v>1408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experiment_data</vt:lpstr>
      <vt:lpstr>experiment_summary</vt:lpstr>
      <vt:lpstr>segment_region_distribution</vt:lpstr>
      <vt:lpstr>_byplantype</vt:lpstr>
      <vt:lpstr>segment_conversion_device</vt:lpstr>
      <vt:lpstr>segment_engagement_traffic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Swetha Brahmanlapalli</dc:creator>
  <cp:lastModifiedBy>Rishi da pro gamer</cp:lastModifiedBy>
  <dcterms:created xsi:type="dcterms:W3CDTF">2015-06-05T18:17:20Z</dcterms:created>
  <dcterms:modified xsi:type="dcterms:W3CDTF">2026-06-25T19:28:24Z</dcterms:modified>
</cp:coreProperties>
</file>